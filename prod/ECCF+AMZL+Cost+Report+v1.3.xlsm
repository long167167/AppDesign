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2" codeName="{3D1A710C-6663-3D7B-7F91-EC182F24A4BC}"/>
  <workbookPr showInkAnnotation="0" updateLinks="never" codeName="ThisWorkbook"/>
  <mc:AlternateContent xmlns:mc="http://schemas.openxmlformats.org/markup-compatibility/2006">
    <mc:Choice Requires="x15">
      <x15ac:absPath xmlns:x15ac="http://schemas.microsoft.com/office/spreadsheetml/2010/11/ac" url="C:\Users\londing\Desktop\Macro Excel\ECCF AMZL\prod\"/>
    </mc:Choice>
  </mc:AlternateContent>
  <xr:revisionPtr revIDLastSave="0" documentId="13_ncr:1_{D72A20B1-8E4F-4FEE-B89A-49C0A3F9249A}" xr6:coauthVersionLast="36" xr6:coauthVersionMax="36" xr10:uidLastSave="{00000000-0000-0000-0000-000000000000}"/>
  <workbookProtection workbookAlgorithmName="SHA-512" workbookHashValue="4xtiEhtMDGC6jyLaFwF9xMUzCUkS9Ry65Nu0ebYubiIvjV36kjKvDUYmJs5y0dtclVI7/NJp8R4gC3n+I7GGXg==" workbookSaltValue="PDjeI3VIOm40/Jh4NtgrCQ==" workbookSpinCount="100000" lockStructure="1"/>
  <bookViews>
    <workbookView xWindow="0" yWindow="0" windowWidth="23040" windowHeight="8210" activeTab="3" xr2:uid="{00000000-000D-0000-FFFF-FFFF00000000}"/>
  </bookViews>
  <sheets>
    <sheet name="Macro Instructions" sheetId="20" r:id="rId1"/>
    <sheet name="GMP COST DATA" sheetId="26" r:id="rId2"/>
    <sheet name="GMP-PO Breakdown" sheetId="2" r:id="rId3"/>
    <sheet name="Change Control Summary" sheetId="27" r:id="rId4"/>
    <sheet name="PO Tracker" sheetId="28" r:id="rId5"/>
    <sheet name="Cash Flow" sheetId="24" state="hidden" r:id="rId6"/>
    <sheet name="Drop Down Menus" sheetId="19" state="hidden" r:id="rId7"/>
  </sheets>
  <functionGroups builtInGroupCount="19"/>
  <externalReferences>
    <externalReference r:id="rId8"/>
    <externalReference r:id="rId9"/>
    <externalReference r:id="rId10"/>
    <externalReference r:id="rId11"/>
  </externalReferences>
  <definedNames>
    <definedName name="_xlnm._FilterDatabase" localSheetId="6" hidden="1">'Drop Down Menus'!$G$1:$G$13</definedName>
    <definedName name="ActualBill">#REF!</definedName>
    <definedName name="ActualDevCont">#REF!</definedName>
    <definedName name="ajalfdj" localSheetId="0" hidden="1">{"'vert'!$A$1:$T$117"}</definedName>
    <definedName name="ajalfdj" hidden="1">{"'vert'!$A$1:$T$117"}</definedName>
    <definedName name="ajalfdj_1" localSheetId="0" hidden="1">{"'vert'!$A$1:$T$117"}</definedName>
    <definedName name="ajalfdj_1" hidden="1">{"'vert'!$A$1:$T$117"}</definedName>
    <definedName name="ApprovedBillings">'GMP-PO Breakdown'!$H$9</definedName>
    <definedName name="bne" localSheetId="0" hidden="1">#REF!</definedName>
    <definedName name="bne" hidden="1">#REF!</definedName>
    <definedName name="BNE_MESSAGES_HIDDEN" localSheetId="0" hidden="1">#REF!</definedName>
    <definedName name="BNE_MESSAGES_HIDDEN" hidden="1">#REF!</definedName>
    <definedName name="CarData">CarDetails[CarDetails]</definedName>
    <definedName name="carNum">'GMP-PO Breakdown'!$C$15</definedName>
    <definedName name="Comments">#REF!</definedName>
    <definedName name="continueSummary">'GMP-PO Breakdown'!$H$5</definedName>
    <definedName name="coop2" localSheetId="0" hidden="1">{"'vert'!$A$1:$T$117"}</definedName>
    <definedName name="coop2" hidden="1">{"'vert'!$A$1:$T$117"}</definedName>
    <definedName name="coop2_1" localSheetId="0" hidden="1">{"'vert'!$A$1:$T$117"}</definedName>
    <definedName name="coop2_1" hidden="1">{"'vert'!$A$1:$T$117"}</definedName>
    <definedName name="Countries">[1]!Table1[Countries]</definedName>
    <definedName name="Country" localSheetId="0">#REF!</definedName>
    <definedName name="Country">#REF!</definedName>
    <definedName name="dfgdsfg" localSheetId="0" hidden="1">{"'vert'!$A$1:$T$117"}</definedName>
    <definedName name="dfgdsfg" hidden="1">{"'vert'!$A$1:$T$117"}</definedName>
    <definedName name="dfgdsfg_1" localSheetId="0" hidden="1">{"'vert'!$A$1:$T$117"}</definedName>
    <definedName name="dfgdsfg_1" hidden="1">{"'vert'!$A$1:$T$117"}</definedName>
    <definedName name="ECaC">'GMP-PO Breakdown'!$H$11</definedName>
    <definedName name="ECon" localSheetId="0" hidden="1">{"'vert'!$A$1:$T$117"}</definedName>
    <definedName name="ECon" hidden="1">{"'vert'!$A$1:$T$117"}</definedName>
    <definedName name="g" localSheetId="0" hidden="1">{"'vert'!$A$1:$T$117"}</definedName>
    <definedName name="g" hidden="1">{"'vert'!$A$1:$T$117"}</definedName>
    <definedName name="HTML_CodePage" hidden="1">1252</definedName>
    <definedName name="HTML_Cont" localSheetId="0" hidden="1">{"'vert'!$A$1:$T$117"}</definedName>
    <definedName name="HTML_Cont" hidden="1">{"'vert'!$A$1:$T$117"}</definedName>
    <definedName name="HTML_Cont_1" localSheetId="0" hidden="1">{"'vert'!$A$1:$T$117"}</definedName>
    <definedName name="HTML_Cont_1" hidden="1">{"'vert'!$A$1:$T$117"}</definedName>
    <definedName name="HTML_Control" localSheetId="0" hidden="1">{"'vert'!$A$1:$T$117"}</definedName>
    <definedName name="HTML_Control" hidden="1">{"'vert'!$A$1:$T$117"}</definedName>
    <definedName name="HTML_Control_1" localSheetId="0" hidden="1">{"'vert'!$A$1:$T$117"}</definedName>
    <definedName name="HTML_Control_1" hidden="1">{"'vert'!$A$1:$T$117"}</definedName>
    <definedName name="HTML_Description" hidden="1">""</definedName>
    <definedName name="HTML_Email" hidden="1">""</definedName>
    <definedName name="HTML_Header" hidden="1">"CS holiday scorecard"</definedName>
    <definedName name="HTML_LastUpdate" hidden="1">"10/25/00"</definedName>
    <definedName name="HTML_LineAfter" hidden="1">FALSE</definedName>
    <definedName name="HTML_LineBefore" hidden="1">FALSE</definedName>
    <definedName name="HTML_Name" hidden="1">"emily alford"</definedName>
    <definedName name="HTML_OBDlg2" hidden="1">TRUE</definedName>
    <definedName name="HTML_OBDlg4" hidden="1">TRUE</definedName>
    <definedName name="HTML_OS" hidden="1">0</definedName>
    <definedName name="HTML_PathFile" hidden="1">"I:\dept\cs\us\manager\metrics\secure\holidayscorecard.html.htm"</definedName>
    <definedName name="HTML_Title" hidden="1">"CS holiday scorecard"</definedName>
    <definedName name="kakaw" localSheetId="0" hidden="1">{"'vert'!$A$1:$T$117"}</definedName>
    <definedName name="kakaw" hidden="1">{"'vert'!$A$1:$T$117"}</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PopCache_GL_INTERFACE_REFERENCE7" hidden="1">[2]PopCache!$A$1:$A$2</definedName>
    <definedName name="_xlnm.Print_Area" localSheetId="2">'GMP-PO Breakdown'!$B$19:$H$113</definedName>
    <definedName name="ProjDevCont">#REF!</definedName>
    <definedName name="RevProjBill">#REF!</definedName>
    <definedName name="RSMeans" localSheetId="0">#REF!</definedName>
    <definedName name="RSMeans">#REF!</definedName>
    <definedName name="siteCode">'GMP-PO Breakdown'!$C$6</definedName>
    <definedName name="startCashFlow">#REF!</definedName>
    <definedName name="startChangeOrder">'GMP-PO Breakdown'!#REF!</definedName>
    <definedName name="startCOMatrix">'GMP-PO Breakdown'!$B$141</definedName>
    <definedName name="StartCWM">#REF!</definedName>
    <definedName name="startGMPdetail">'GMP-PO Breakdown'!$D$23</definedName>
    <definedName name="startSummary">'GMP-PO Breakdown'!$C$5</definedName>
    <definedName name="States" localSheetId="0">#REF!</definedName>
    <definedName name="States">#REF!</definedName>
    <definedName name="TotalAvailableBudget">'GMP-PO Breakdown'!$H$8</definedName>
    <definedName name="US_States" localSheetId="0">#REF!</definedName>
    <definedName name="US_States">#REF!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 i="2" l="1"/>
  <c r="H11" i="2"/>
  <c r="N111" i="26"/>
  <c r="O111" i="26"/>
  <c r="P111" i="26"/>
  <c r="N105" i="26"/>
  <c r="O105" i="26"/>
  <c r="P105" i="26"/>
  <c r="N94" i="26"/>
  <c r="O94" i="26"/>
  <c r="P94" i="26"/>
  <c r="N84" i="26"/>
  <c r="O84" i="26"/>
  <c r="P84" i="26"/>
  <c r="Q110" i="26"/>
  <c r="Q109" i="26"/>
  <c r="Q108" i="26"/>
  <c r="Q104" i="26"/>
  <c r="Q103" i="26"/>
  <c r="Q102" i="26"/>
  <c r="Q99" i="26"/>
  <c r="Q98" i="26"/>
  <c r="Q97" i="26"/>
  <c r="Q93" i="26"/>
  <c r="Q92" i="26"/>
  <c r="Q91" i="26"/>
  <c r="Q90" i="26"/>
  <c r="Q89" i="26"/>
  <c r="Q88" i="26"/>
  <c r="Q87" i="26"/>
  <c r="P26" i="27" l="1"/>
  <c r="AA25" i="27"/>
  <c r="V5" i="27"/>
  <c r="AB9" i="27"/>
  <c r="P5" i="27"/>
  <c r="Q5" i="27" s="1"/>
  <c r="R5" i="27" s="1"/>
  <c r="S5" i="27" s="1"/>
  <c r="T5" i="27" s="1"/>
  <c r="U5" i="27" s="1"/>
  <c r="AB11" i="27"/>
  <c r="AB10" i="27"/>
  <c r="AB8" i="27"/>
  <c r="AB6" i="27"/>
  <c r="W5" i="27" l="1"/>
  <c r="X5" i="27" s="1"/>
  <c r="Y5" i="27" s="1"/>
  <c r="Z5" i="27" s="1"/>
  <c r="AA5" i="27" s="1"/>
  <c r="C5" i="2"/>
  <c r="P30" i="26" l="1"/>
  <c r="P41" i="26"/>
  <c r="P35" i="26"/>
  <c r="P29" i="26"/>
  <c r="P28" i="26"/>
  <c r="P27" i="26"/>
  <c r="K5" i="26"/>
  <c r="P110" i="26" l="1"/>
  <c r="N110" i="26"/>
  <c r="O110" i="26" s="1"/>
  <c r="P109" i="26"/>
  <c r="N109" i="26"/>
  <c r="O109" i="26" s="1"/>
  <c r="P108" i="26"/>
  <c r="N108" i="26"/>
  <c r="O108" i="26" s="1"/>
  <c r="P104" i="26"/>
  <c r="N104" i="26"/>
  <c r="O104" i="26" s="1"/>
  <c r="P103" i="26"/>
  <c r="N103" i="26"/>
  <c r="O103" i="26" s="1"/>
  <c r="P102" i="26"/>
  <c r="N102" i="26"/>
  <c r="O102" i="26" s="1"/>
  <c r="N30" i="26"/>
  <c r="N29" i="26"/>
  <c r="N28" i="26"/>
  <c r="N27" i="26"/>
  <c r="P98" i="26" l="1"/>
  <c r="P99" i="26"/>
  <c r="P88" i="26"/>
  <c r="P89" i="26"/>
  <c r="P90" i="26"/>
  <c r="P91" i="26"/>
  <c r="P92" i="26"/>
  <c r="P93" i="26"/>
  <c r="N98" i="26"/>
  <c r="N99" i="26"/>
  <c r="N88" i="26"/>
  <c r="N89" i="26"/>
  <c r="N90" i="26"/>
  <c r="N91" i="26"/>
  <c r="N92" i="26"/>
  <c r="N93" i="26"/>
  <c r="P80" i="26"/>
  <c r="P81" i="26"/>
  <c r="P82" i="26"/>
  <c r="P83" i="26"/>
  <c r="N80" i="26"/>
  <c r="N81" i="26"/>
  <c r="N82" i="26"/>
  <c r="N83" i="26"/>
  <c r="N36" i="26"/>
  <c r="N37" i="26"/>
  <c r="N38" i="26"/>
  <c r="N39" i="26"/>
  <c r="N40" i="26"/>
  <c r="N41" i="26"/>
  <c r="N42" i="26"/>
  <c r="N43" i="26"/>
  <c r="N44" i="26"/>
  <c r="N45" i="26"/>
  <c r="N46" i="26"/>
  <c r="N47" i="26"/>
  <c r="N48" i="26"/>
  <c r="P36" i="26"/>
  <c r="P37" i="26"/>
  <c r="P38" i="26"/>
  <c r="P39" i="26"/>
  <c r="P40" i="26"/>
  <c r="P42" i="26"/>
  <c r="P43" i="26"/>
  <c r="P44" i="26"/>
  <c r="P45" i="26"/>
  <c r="P46" i="26"/>
  <c r="P47" i="26"/>
  <c r="P48" i="26"/>
  <c r="AQ27" i="27"/>
  <c r="AP27" i="27"/>
  <c r="AO27" i="27"/>
  <c r="AN27" i="27"/>
  <c r="AM27" i="27"/>
  <c r="AI27" i="27"/>
  <c r="AF27" i="27"/>
  <c r="AA27" i="27"/>
  <c r="P27" i="27"/>
  <c r="N27" i="27"/>
  <c r="O27" i="27" s="1"/>
  <c r="D27" i="27"/>
  <c r="P28" i="27"/>
  <c r="P29" i="27"/>
  <c r="P30" i="27"/>
  <c r="P31" i="27"/>
  <c r="P32" i="27"/>
  <c r="P33" i="27"/>
  <c r="P34" i="27"/>
  <c r="P35" i="27"/>
  <c r="P36" i="27"/>
  <c r="P37" i="27"/>
  <c r="P38" i="27"/>
  <c r="P39" i="27"/>
  <c r="N26" i="27"/>
  <c r="O26" i="27" s="1"/>
  <c r="N28" i="27"/>
  <c r="O28" i="27" s="1"/>
  <c r="N29" i="27"/>
  <c r="O29" i="27" s="1"/>
  <c r="N30" i="27"/>
  <c r="O30" i="27" s="1"/>
  <c r="N31" i="27"/>
  <c r="O31" i="27" s="1"/>
  <c r="N32" i="27"/>
  <c r="O32" i="27" s="1"/>
  <c r="N33" i="27"/>
  <c r="O33" i="27" s="1"/>
  <c r="N34" i="27"/>
  <c r="O34" i="27" s="1"/>
  <c r="N35" i="27"/>
  <c r="O35" i="27" s="1"/>
  <c r="N36" i="27"/>
  <c r="O36" i="27" s="1"/>
  <c r="N37" i="27"/>
  <c r="O37" i="27" s="1"/>
  <c r="N38" i="27"/>
  <c r="O38" i="27" s="1"/>
  <c r="N39" i="27"/>
  <c r="O39" i="27" s="1"/>
  <c r="AQ32" i="27" l="1"/>
  <c r="AP32" i="27"/>
  <c r="AO32" i="27"/>
  <c r="AN32" i="27"/>
  <c r="AM32" i="27"/>
  <c r="AI32" i="27"/>
  <c r="AF32" i="27"/>
  <c r="D32" i="27"/>
  <c r="AQ30" i="27"/>
  <c r="AP30" i="27"/>
  <c r="AO30" i="27"/>
  <c r="AN30" i="27"/>
  <c r="AM30" i="27"/>
  <c r="AI30" i="27"/>
  <c r="AF30" i="27"/>
  <c r="D30" i="27"/>
  <c r="AQ33" i="27"/>
  <c r="AP33" i="27"/>
  <c r="AO33" i="27"/>
  <c r="AN33" i="27"/>
  <c r="AM33" i="27"/>
  <c r="AI33" i="27"/>
  <c r="AF33" i="27"/>
  <c r="D33" i="27"/>
  <c r="AF29" i="27"/>
  <c r="AI29" i="27"/>
  <c r="AM29" i="27"/>
  <c r="AN29" i="27"/>
  <c r="AO29" i="27"/>
  <c r="AP29" i="27"/>
  <c r="AQ29" i="27"/>
  <c r="AF31" i="27"/>
  <c r="AI31" i="27"/>
  <c r="AM31" i="27"/>
  <c r="AN31" i="27"/>
  <c r="AO31" i="27"/>
  <c r="AP31" i="27"/>
  <c r="AQ31" i="27"/>
  <c r="AF34" i="27"/>
  <c r="AI34" i="27"/>
  <c r="AM34" i="27"/>
  <c r="AN34" i="27"/>
  <c r="AO34" i="27"/>
  <c r="AP34" i="27"/>
  <c r="AQ34" i="27"/>
  <c r="AF35" i="27"/>
  <c r="AI35" i="27"/>
  <c r="AM35" i="27"/>
  <c r="AN35" i="27"/>
  <c r="AO35" i="27"/>
  <c r="AP35" i="27"/>
  <c r="AQ35" i="27"/>
  <c r="AF36" i="27"/>
  <c r="AI36" i="27"/>
  <c r="AM36" i="27"/>
  <c r="AN36" i="27"/>
  <c r="AO36" i="27"/>
  <c r="AP36" i="27"/>
  <c r="AQ36" i="27"/>
  <c r="AF37" i="27"/>
  <c r="AI37" i="27"/>
  <c r="AM37" i="27"/>
  <c r="AN37" i="27"/>
  <c r="AO37" i="27"/>
  <c r="AP37" i="27"/>
  <c r="AQ37" i="27"/>
  <c r="AF38" i="27"/>
  <c r="AI38" i="27"/>
  <c r="AM38" i="27"/>
  <c r="AN38" i="27"/>
  <c r="AO38" i="27"/>
  <c r="AP38" i="27"/>
  <c r="AQ38" i="27"/>
  <c r="AF39" i="27"/>
  <c r="AI39" i="27"/>
  <c r="AM39" i="27"/>
  <c r="AN39" i="27"/>
  <c r="AO39" i="27"/>
  <c r="AP39" i="27"/>
  <c r="AQ39" i="27"/>
  <c r="AA37" i="27"/>
  <c r="I37" i="27"/>
  <c r="J37" i="27" s="1"/>
  <c r="K37" i="27" s="1"/>
  <c r="L37" i="27" s="1"/>
  <c r="D37" i="27"/>
  <c r="N25" i="27"/>
  <c r="O25" i="27" s="1"/>
  <c r="P25" i="27"/>
  <c r="C15" i="2" l="1"/>
  <c r="C16" i="2"/>
  <c r="D35" i="27" l="1"/>
  <c r="D29" i="27"/>
  <c r="D31" i="27"/>
  <c r="D34" i="27"/>
  <c r="L111" i="26"/>
  <c r="Q111" i="26"/>
  <c r="H14" i="2" l="1"/>
  <c r="C17" i="2" l="1"/>
  <c r="I36" i="27" l="1"/>
  <c r="J36" i="27" s="1"/>
  <c r="K36" i="27" s="1"/>
  <c r="L36" i="27" s="1"/>
  <c r="I38" i="27"/>
  <c r="J38" i="27" s="1"/>
  <c r="K38" i="27" s="1"/>
  <c r="L38" i="27" s="1"/>
  <c r="U40" i="27"/>
  <c r="V40" i="27"/>
  <c r="W40" i="27"/>
  <c r="X40" i="27"/>
  <c r="U41" i="27"/>
  <c r="V41" i="27"/>
  <c r="M14" i="26" l="1"/>
  <c r="N21" i="26" l="1"/>
  <c r="P19" i="26"/>
  <c r="P20" i="26"/>
  <c r="P97" i="26" l="1"/>
  <c r="N97" i="26"/>
  <c r="P87" i="26"/>
  <c r="N87" i="26"/>
  <c r="P79" i="26"/>
  <c r="N79" i="26"/>
  <c r="P77" i="26"/>
  <c r="P76" i="26"/>
  <c r="P75" i="26"/>
  <c r="P74" i="26"/>
  <c r="P73" i="26"/>
  <c r="P72" i="26"/>
  <c r="P71" i="26"/>
  <c r="P70" i="26"/>
  <c r="P69" i="26"/>
  <c r="P68" i="26"/>
  <c r="P67" i="26"/>
  <c r="P66" i="26"/>
  <c r="P65" i="26"/>
  <c r="P64" i="26"/>
  <c r="P63" i="26"/>
  <c r="P62" i="26"/>
  <c r="P61" i="26"/>
  <c r="P60" i="26"/>
  <c r="P59" i="26"/>
  <c r="P58" i="26"/>
  <c r="P57" i="26"/>
  <c r="P56" i="26"/>
  <c r="P55" i="26"/>
  <c r="P54" i="26"/>
  <c r="P53" i="26"/>
  <c r="P52" i="26"/>
  <c r="P51" i="26"/>
  <c r="P50" i="26"/>
  <c r="N77" i="26"/>
  <c r="N76" i="26"/>
  <c r="N75" i="26"/>
  <c r="N74" i="26"/>
  <c r="N73" i="26"/>
  <c r="N72" i="26"/>
  <c r="N71" i="26"/>
  <c r="N70" i="26"/>
  <c r="N69" i="26"/>
  <c r="N68" i="26"/>
  <c r="N67" i="26"/>
  <c r="N66" i="26"/>
  <c r="N65" i="26"/>
  <c r="N64" i="26"/>
  <c r="N63" i="26"/>
  <c r="N62" i="26"/>
  <c r="N61" i="26"/>
  <c r="N60" i="26"/>
  <c r="N59" i="26"/>
  <c r="N58" i="26"/>
  <c r="N57" i="26"/>
  <c r="N56" i="26"/>
  <c r="N55" i="26"/>
  <c r="N54" i="26"/>
  <c r="N53" i="26"/>
  <c r="N52" i="26"/>
  <c r="N51" i="26"/>
  <c r="N50" i="26"/>
  <c r="N35" i="26"/>
  <c r="G3" i="2" l="1"/>
  <c r="F3" i="2"/>
  <c r="H5" i="2"/>
  <c r="P18" i="26"/>
  <c r="P17" i="26"/>
  <c r="H9" i="2"/>
  <c r="C14" i="2"/>
  <c r="C13" i="2"/>
  <c r="C12" i="2"/>
  <c r="C11" i="2"/>
  <c r="C10" i="2"/>
  <c r="C9" i="2"/>
  <c r="C7" i="2"/>
  <c r="C6" i="2"/>
  <c r="H7" i="2" l="1"/>
  <c r="T86" i="28"/>
  <c r="S86" i="28"/>
  <c r="R86" i="28"/>
  <c r="P86" i="28"/>
  <c r="O86" i="28"/>
  <c r="N86" i="28"/>
  <c r="M86" i="28"/>
  <c r="L86" i="28"/>
  <c r="K86" i="28"/>
  <c r="V86" i="28" s="1"/>
  <c r="W86" i="28" s="1"/>
  <c r="T85" i="28"/>
  <c r="S85" i="28"/>
  <c r="R85" i="28"/>
  <c r="P85" i="28"/>
  <c r="O85" i="28"/>
  <c r="N85" i="28"/>
  <c r="M85" i="28"/>
  <c r="L85" i="28"/>
  <c r="K85" i="28"/>
  <c r="V85" i="28" s="1"/>
  <c r="W85" i="28" s="1"/>
  <c r="G84" i="28"/>
  <c r="E84" i="28"/>
  <c r="T83" i="28"/>
  <c r="S83" i="28"/>
  <c r="R83" i="28"/>
  <c r="P83" i="28"/>
  <c r="O83" i="28"/>
  <c r="N83" i="28"/>
  <c r="M83" i="28"/>
  <c r="L83" i="28"/>
  <c r="K83" i="28"/>
  <c r="V83" i="28" s="1"/>
  <c r="W83" i="28" s="1"/>
  <c r="T82" i="28"/>
  <c r="S82" i="28"/>
  <c r="R82" i="28"/>
  <c r="P82" i="28"/>
  <c r="O82" i="28"/>
  <c r="N82" i="28"/>
  <c r="M82" i="28"/>
  <c r="L82" i="28"/>
  <c r="K82" i="28"/>
  <c r="V82" i="28" s="1"/>
  <c r="W82" i="28" s="1"/>
  <c r="T81" i="28"/>
  <c r="S81" i="28"/>
  <c r="R81" i="28"/>
  <c r="P81" i="28"/>
  <c r="O81" i="28"/>
  <c r="N81" i="28"/>
  <c r="M81" i="28"/>
  <c r="L81" i="28"/>
  <c r="V81" i="28" s="1"/>
  <c r="W81" i="28" s="1"/>
  <c r="K81" i="28"/>
  <c r="T80" i="28"/>
  <c r="S80" i="28"/>
  <c r="R80" i="28"/>
  <c r="P80" i="28"/>
  <c r="O80" i="28"/>
  <c r="N80" i="28"/>
  <c r="M80" i="28"/>
  <c r="L80" i="28"/>
  <c r="K80" i="28"/>
  <c r="V80" i="28" s="1"/>
  <c r="W80" i="28" s="1"/>
  <c r="T79" i="28"/>
  <c r="S79" i="28"/>
  <c r="R79" i="28"/>
  <c r="P79" i="28"/>
  <c r="O79" i="28"/>
  <c r="N79" i="28"/>
  <c r="M79" i="28"/>
  <c r="L79" i="28"/>
  <c r="V79" i="28" s="1"/>
  <c r="W79" i="28" s="1"/>
  <c r="K79" i="28"/>
  <c r="T78" i="28"/>
  <c r="S78" i="28"/>
  <c r="R78" i="28"/>
  <c r="P78" i="28"/>
  <c r="O78" i="28"/>
  <c r="N78" i="28"/>
  <c r="M78" i="28"/>
  <c r="L78" i="28"/>
  <c r="V78" i="28" s="1"/>
  <c r="W78" i="28" s="1"/>
  <c r="K78" i="28"/>
  <c r="T77" i="28"/>
  <c r="S77" i="28"/>
  <c r="R77" i="28"/>
  <c r="P77" i="28"/>
  <c r="O77" i="28"/>
  <c r="N77" i="28"/>
  <c r="M77" i="28"/>
  <c r="L77" i="28"/>
  <c r="K77" i="28"/>
  <c r="V77" i="28" s="1"/>
  <c r="W77" i="28" s="1"/>
  <c r="T76" i="28"/>
  <c r="S76" i="28"/>
  <c r="R76" i="28"/>
  <c r="P76" i="28"/>
  <c r="O76" i="28"/>
  <c r="N76" i="28"/>
  <c r="M76" i="28"/>
  <c r="L76" i="28"/>
  <c r="K76" i="28"/>
  <c r="V76" i="28" s="1"/>
  <c r="W76" i="28" s="1"/>
  <c r="T75" i="28"/>
  <c r="S75" i="28"/>
  <c r="R75" i="28"/>
  <c r="P75" i="28"/>
  <c r="O75" i="28"/>
  <c r="N75" i="28"/>
  <c r="M75" i="28"/>
  <c r="L75" i="28"/>
  <c r="K75" i="28"/>
  <c r="V75" i="28" s="1"/>
  <c r="W75" i="28" s="1"/>
  <c r="T74" i="28"/>
  <c r="T84" i="28" s="1"/>
  <c r="S74" i="28"/>
  <c r="S84" i="28" s="1"/>
  <c r="R74" i="28"/>
  <c r="R84" i="28" s="1"/>
  <c r="P74" i="28"/>
  <c r="P84" i="28" s="1"/>
  <c r="O74" i="28"/>
  <c r="O84" i="28" s="1"/>
  <c r="N74" i="28"/>
  <c r="N84" i="28" s="1"/>
  <c r="M74" i="28"/>
  <c r="M84" i="28" s="1"/>
  <c r="L74" i="28"/>
  <c r="L84" i="28" s="1"/>
  <c r="K74" i="28"/>
  <c r="V74" i="28" s="1"/>
  <c r="E71" i="28"/>
  <c r="T70" i="28"/>
  <c r="S70" i="28"/>
  <c r="R70" i="28"/>
  <c r="P70" i="28"/>
  <c r="O70" i="28"/>
  <c r="N70" i="28"/>
  <c r="M70" i="28"/>
  <c r="L70" i="28"/>
  <c r="K70" i="28"/>
  <c r="V70" i="28" s="1"/>
  <c r="W70" i="28" s="1"/>
  <c r="T69" i="28"/>
  <c r="S69" i="28"/>
  <c r="R69" i="28"/>
  <c r="P69" i="28"/>
  <c r="O69" i="28"/>
  <c r="N69" i="28"/>
  <c r="M69" i="28"/>
  <c r="L69" i="28"/>
  <c r="V69" i="28" s="1"/>
  <c r="W69" i="28" s="1"/>
  <c r="K69" i="28"/>
  <c r="T68" i="28"/>
  <c r="S68" i="28"/>
  <c r="R68" i="28"/>
  <c r="P68" i="28"/>
  <c r="O68" i="28"/>
  <c r="N68" i="28"/>
  <c r="M68" i="28"/>
  <c r="L68" i="28"/>
  <c r="K68" i="28"/>
  <c r="V68" i="28" s="1"/>
  <c r="W68" i="28" s="1"/>
  <c r="T67" i="28"/>
  <c r="S67" i="28"/>
  <c r="R67" i="28"/>
  <c r="P67" i="28"/>
  <c r="O67" i="28"/>
  <c r="N67" i="28"/>
  <c r="M67" i="28"/>
  <c r="L67" i="28"/>
  <c r="K67" i="28"/>
  <c r="V67" i="28" s="1"/>
  <c r="W67" i="28" s="1"/>
  <c r="T66" i="28"/>
  <c r="S66" i="28"/>
  <c r="R66" i="28"/>
  <c r="P66" i="28"/>
  <c r="O66" i="28"/>
  <c r="N66" i="28"/>
  <c r="M66" i="28"/>
  <c r="L66" i="28"/>
  <c r="V66" i="28" s="1"/>
  <c r="W66" i="28" s="1"/>
  <c r="K66" i="28"/>
  <c r="T65" i="28"/>
  <c r="S65" i="28"/>
  <c r="R65" i="28"/>
  <c r="P65" i="28"/>
  <c r="O65" i="28"/>
  <c r="N65" i="28"/>
  <c r="M65" i="28"/>
  <c r="L65" i="28"/>
  <c r="K65" i="28"/>
  <c r="V65" i="28" s="1"/>
  <c r="W65" i="28" s="1"/>
  <c r="T64" i="28"/>
  <c r="S64" i="28"/>
  <c r="R64" i="28"/>
  <c r="P64" i="28"/>
  <c r="O64" i="28"/>
  <c r="N64" i="28"/>
  <c r="M64" i="28"/>
  <c r="L64" i="28"/>
  <c r="K64" i="28"/>
  <c r="V64" i="28" s="1"/>
  <c r="W64" i="28" s="1"/>
  <c r="T63" i="28"/>
  <c r="S63" i="28"/>
  <c r="R63" i="28"/>
  <c r="P63" i="28"/>
  <c r="O63" i="28"/>
  <c r="N63" i="28"/>
  <c r="M63" i="28"/>
  <c r="L63" i="28"/>
  <c r="K63" i="28"/>
  <c r="V63" i="28" s="1"/>
  <c r="W63" i="28" s="1"/>
  <c r="T62" i="28"/>
  <c r="S62" i="28"/>
  <c r="R62" i="28"/>
  <c r="P62" i="28"/>
  <c r="O62" i="28"/>
  <c r="N62" i="28"/>
  <c r="M62" i="28"/>
  <c r="L62" i="28"/>
  <c r="K62" i="28"/>
  <c r="V62" i="28" s="1"/>
  <c r="W62" i="28" s="1"/>
  <c r="T61" i="28"/>
  <c r="T71" i="28" s="1"/>
  <c r="S61" i="28"/>
  <c r="S71" i="28" s="1"/>
  <c r="R61" i="28"/>
  <c r="R71" i="28" s="1"/>
  <c r="P61" i="28"/>
  <c r="P71" i="28" s="1"/>
  <c r="O61" i="28"/>
  <c r="O71" i="28" s="1"/>
  <c r="N61" i="28"/>
  <c r="N71" i="28" s="1"/>
  <c r="M61" i="28"/>
  <c r="M71" i="28" s="1"/>
  <c r="L61" i="28"/>
  <c r="K61" i="28"/>
  <c r="K71" i="28" s="1"/>
  <c r="G58" i="28"/>
  <c r="E58" i="28"/>
  <c r="T57" i="28"/>
  <c r="S57" i="28"/>
  <c r="R57" i="28"/>
  <c r="P57" i="28"/>
  <c r="O57" i="28"/>
  <c r="N57" i="28"/>
  <c r="M57" i="28"/>
  <c r="L57" i="28"/>
  <c r="V57" i="28" s="1"/>
  <c r="W57" i="28" s="1"/>
  <c r="K57" i="28"/>
  <c r="T56" i="28"/>
  <c r="S56" i="28"/>
  <c r="R56" i="28"/>
  <c r="P56" i="28"/>
  <c r="O56" i="28"/>
  <c r="N56" i="28"/>
  <c r="M56" i="28"/>
  <c r="L56" i="28"/>
  <c r="K56" i="28"/>
  <c r="V56" i="28" s="1"/>
  <c r="W56" i="28" s="1"/>
  <c r="T55" i="28"/>
  <c r="S55" i="28"/>
  <c r="R55" i="28"/>
  <c r="P55" i="28"/>
  <c r="O55" i="28"/>
  <c r="N55" i="28"/>
  <c r="M55" i="28"/>
  <c r="L55" i="28"/>
  <c r="V55" i="28" s="1"/>
  <c r="W55" i="28" s="1"/>
  <c r="K55" i="28"/>
  <c r="T54" i="28"/>
  <c r="S54" i="28"/>
  <c r="R54" i="28"/>
  <c r="P54" i="28"/>
  <c r="O54" i="28"/>
  <c r="N54" i="28"/>
  <c r="M54" i="28"/>
  <c r="L54" i="28"/>
  <c r="V54" i="28" s="1"/>
  <c r="W54" i="28" s="1"/>
  <c r="K54" i="28"/>
  <c r="T53" i="28"/>
  <c r="S53" i="28"/>
  <c r="R53" i="28"/>
  <c r="P53" i="28"/>
  <c r="O53" i="28"/>
  <c r="N53" i="28"/>
  <c r="M53" i="28"/>
  <c r="L53" i="28"/>
  <c r="V53" i="28" s="1"/>
  <c r="W53" i="28" s="1"/>
  <c r="K53" i="28"/>
  <c r="T52" i="28"/>
  <c r="S52" i="28"/>
  <c r="R52" i="28"/>
  <c r="P52" i="28"/>
  <c r="O52" i="28"/>
  <c r="N52" i="28"/>
  <c r="M52" i="28"/>
  <c r="L52" i="28"/>
  <c r="K52" i="28"/>
  <c r="V52" i="28" s="1"/>
  <c r="W52" i="28" s="1"/>
  <c r="T51" i="28"/>
  <c r="S51" i="28"/>
  <c r="R51" i="28"/>
  <c r="P51" i="28"/>
  <c r="O51" i="28"/>
  <c r="N51" i="28"/>
  <c r="M51" i="28"/>
  <c r="L51" i="28"/>
  <c r="K51" i="28"/>
  <c r="V51" i="28" s="1"/>
  <c r="W51" i="28" s="1"/>
  <c r="T50" i="28"/>
  <c r="S50" i="28"/>
  <c r="R50" i="28"/>
  <c r="P50" i="28"/>
  <c r="O50" i="28"/>
  <c r="N50" i="28"/>
  <c r="M50" i="28"/>
  <c r="L50" i="28"/>
  <c r="K50" i="28"/>
  <c r="V50" i="28" s="1"/>
  <c r="W50" i="28" s="1"/>
  <c r="T49" i="28"/>
  <c r="S49" i="28"/>
  <c r="R49" i="28"/>
  <c r="P49" i="28"/>
  <c r="O49" i="28"/>
  <c r="N49" i="28"/>
  <c r="M49" i="28"/>
  <c r="L49" i="28"/>
  <c r="V49" i="28" s="1"/>
  <c r="W49" i="28" s="1"/>
  <c r="K49" i="28"/>
  <c r="T48" i="28"/>
  <c r="S48" i="28"/>
  <c r="R48" i="28"/>
  <c r="P48" i="28"/>
  <c r="O48" i="28"/>
  <c r="N48" i="28"/>
  <c r="M48" i="28"/>
  <c r="L48" i="28"/>
  <c r="K48" i="28"/>
  <c r="V48" i="28" s="1"/>
  <c r="W48" i="28" s="1"/>
  <c r="T47" i="28"/>
  <c r="S47" i="28"/>
  <c r="R47" i="28"/>
  <c r="P47" i="28"/>
  <c r="O47" i="28"/>
  <c r="N47" i="28"/>
  <c r="M47" i="28"/>
  <c r="L47" i="28"/>
  <c r="V47" i="28" s="1"/>
  <c r="W47" i="28" s="1"/>
  <c r="K47" i="28"/>
  <c r="T46" i="28"/>
  <c r="S46" i="28"/>
  <c r="R46" i="28"/>
  <c r="P46" i="28"/>
  <c r="O46" i="28"/>
  <c r="N46" i="28"/>
  <c r="M46" i="28"/>
  <c r="L46" i="28"/>
  <c r="V46" i="28" s="1"/>
  <c r="W46" i="28" s="1"/>
  <c r="K46" i="28"/>
  <c r="T45" i="28"/>
  <c r="S45" i="28"/>
  <c r="R45" i="28"/>
  <c r="P45" i="28"/>
  <c r="O45" i="28"/>
  <c r="N45" i="28"/>
  <c r="M45" i="28"/>
  <c r="L45" i="28"/>
  <c r="V45" i="28" s="1"/>
  <c r="W45" i="28" s="1"/>
  <c r="K45" i="28"/>
  <c r="T44" i="28"/>
  <c r="S44" i="28"/>
  <c r="R44" i="28"/>
  <c r="P44" i="28"/>
  <c r="O44" i="28"/>
  <c r="N44" i="28"/>
  <c r="M44" i="28"/>
  <c r="L44" i="28"/>
  <c r="K44" i="28"/>
  <c r="V44" i="28" s="1"/>
  <c r="W44" i="28" s="1"/>
  <c r="T43" i="28"/>
  <c r="S43" i="28"/>
  <c r="R43" i="28"/>
  <c r="P43" i="28"/>
  <c r="O43" i="28"/>
  <c r="N43" i="28"/>
  <c r="M43" i="28"/>
  <c r="L43" i="28"/>
  <c r="K43" i="28"/>
  <c r="V43" i="28" s="1"/>
  <c r="W43" i="28" s="1"/>
  <c r="T42" i="28"/>
  <c r="S42" i="28"/>
  <c r="R42" i="28"/>
  <c r="P42" i="28"/>
  <c r="O42" i="28"/>
  <c r="N42" i="28"/>
  <c r="M42" i="28"/>
  <c r="L42" i="28"/>
  <c r="K42" i="28"/>
  <c r="V42" i="28" s="1"/>
  <c r="W42" i="28" s="1"/>
  <c r="T41" i="28"/>
  <c r="S41" i="28"/>
  <c r="R41" i="28"/>
  <c r="P41" i="28"/>
  <c r="O41" i="28"/>
  <c r="N41" i="28"/>
  <c r="M41" i="28"/>
  <c r="L41" i="28"/>
  <c r="V41" i="28" s="1"/>
  <c r="W41" i="28" s="1"/>
  <c r="K41" i="28"/>
  <c r="T40" i="28"/>
  <c r="S40" i="28"/>
  <c r="R40" i="28"/>
  <c r="P40" i="28"/>
  <c r="O40" i="28"/>
  <c r="N40" i="28"/>
  <c r="M40" i="28"/>
  <c r="L40" i="28"/>
  <c r="K40" i="28"/>
  <c r="V40" i="28" s="1"/>
  <c r="W40" i="28" s="1"/>
  <c r="T39" i="28"/>
  <c r="S39" i="28"/>
  <c r="R39" i="28"/>
  <c r="P39" i="28"/>
  <c r="O39" i="28"/>
  <c r="N39" i="28"/>
  <c r="M39" i="28"/>
  <c r="L39" i="28"/>
  <c r="V39" i="28" s="1"/>
  <c r="W39" i="28" s="1"/>
  <c r="K39" i="28"/>
  <c r="T38" i="28"/>
  <c r="S38" i="28"/>
  <c r="R38" i="28"/>
  <c r="P38" i="28"/>
  <c r="O38" i="28"/>
  <c r="N38" i="28"/>
  <c r="M38" i="28"/>
  <c r="L38" i="28"/>
  <c r="V38" i="28" s="1"/>
  <c r="W38" i="28" s="1"/>
  <c r="K38" i="28"/>
  <c r="T37" i="28"/>
  <c r="S37" i="28"/>
  <c r="R37" i="28"/>
  <c r="P37" i="28"/>
  <c r="O37" i="28"/>
  <c r="N37" i="28"/>
  <c r="M37" i="28"/>
  <c r="L37" i="28"/>
  <c r="V37" i="28" s="1"/>
  <c r="W37" i="28" s="1"/>
  <c r="K37" i="28"/>
  <c r="T36" i="28"/>
  <c r="S36" i="28"/>
  <c r="R36" i="28"/>
  <c r="P36" i="28"/>
  <c r="O36" i="28"/>
  <c r="N36" i="28"/>
  <c r="M36" i="28"/>
  <c r="L36" i="28"/>
  <c r="K36" i="28"/>
  <c r="V36" i="28" s="1"/>
  <c r="W36" i="28" s="1"/>
  <c r="T35" i="28"/>
  <c r="S35" i="28"/>
  <c r="R35" i="28"/>
  <c r="P35" i="28"/>
  <c r="O35" i="28"/>
  <c r="N35" i="28"/>
  <c r="M35" i="28"/>
  <c r="L35" i="28"/>
  <c r="V35" i="28" s="1"/>
  <c r="W35" i="28" s="1"/>
  <c r="K35" i="28"/>
  <c r="T34" i="28"/>
  <c r="S34" i="28"/>
  <c r="R34" i="28"/>
  <c r="P34" i="28"/>
  <c r="O34" i="28"/>
  <c r="N34" i="28"/>
  <c r="M34" i="28"/>
  <c r="L34" i="28"/>
  <c r="K34" i="28"/>
  <c r="V34" i="28" s="1"/>
  <c r="W34" i="28" s="1"/>
  <c r="T33" i="28"/>
  <c r="S33" i="28"/>
  <c r="R33" i="28"/>
  <c r="P33" i="28"/>
  <c r="O33" i="28"/>
  <c r="N33" i="28"/>
  <c r="M33" i="28"/>
  <c r="L33" i="28"/>
  <c r="V33" i="28" s="1"/>
  <c r="W33" i="28" s="1"/>
  <c r="K33" i="28"/>
  <c r="T32" i="28"/>
  <c r="S32" i="28"/>
  <c r="R32" i="28"/>
  <c r="P32" i="28"/>
  <c r="O32" i="28"/>
  <c r="N32" i="28"/>
  <c r="M32" i="28"/>
  <c r="L32" i="28"/>
  <c r="K32" i="28"/>
  <c r="V32" i="28" s="1"/>
  <c r="W32" i="28" s="1"/>
  <c r="T31" i="28"/>
  <c r="S31" i="28"/>
  <c r="R31" i="28"/>
  <c r="P31" i="28"/>
  <c r="O31" i="28"/>
  <c r="N31" i="28"/>
  <c r="M31" i="28"/>
  <c r="L31" i="28"/>
  <c r="V31" i="28" s="1"/>
  <c r="W31" i="28" s="1"/>
  <c r="K31" i="28"/>
  <c r="T30" i="28"/>
  <c r="S30" i="28"/>
  <c r="R30" i="28"/>
  <c r="P30" i="28"/>
  <c r="O30" i="28"/>
  <c r="N30" i="28"/>
  <c r="M30" i="28"/>
  <c r="L30" i="28"/>
  <c r="V30" i="28" s="1"/>
  <c r="W30" i="28" s="1"/>
  <c r="K30" i="28"/>
  <c r="T29" i="28"/>
  <c r="S29" i="28"/>
  <c r="R29" i="28"/>
  <c r="P29" i="28"/>
  <c r="O29" i="28"/>
  <c r="N29" i="28"/>
  <c r="M29" i="28"/>
  <c r="L29" i="28"/>
  <c r="K29" i="28"/>
  <c r="V29" i="28" s="1"/>
  <c r="W29" i="28" s="1"/>
  <c r="T28" i="28"/>
  <c r="S28" i="28"/>
  <c r="R28" i="28"/>
  <c r="P28" i="28"/>
  <c r="O28" i="28"/>
  <c r="N28" i="28"/>
  <c r="M28" i="28"/>
  <c r="L28" i="28"/>
  <c r="K28" i="28"/>
  <c r="V28" i="28" s="1"/>
  <c r="W28" i="28" s="1"/>
  <c r="T27" i="28"/>
  <c r="S27" i="28"/>
  <c r="R27" i="28"/>
  <c r="P27" i="28"/>
  <c r="O27" i="28"/>
  <c r="N27" i="28"/>
  <c r="M27" i="28"/>
  <c r="L27" i="28"/>
  <c r="V27" i="28" s="1"/>
  <c r="W27" i="28" s="1"/>
  <c r="K27" i="28"/>
  <c r="T26" i="28"/>
  <c r="S26" i="28"/>
  <c r="R26" i="28"/>
  <c r="P26" i="28"/>
  <c r="O26" i="28"/>
  <c r="N26" i="28"/>
  <c r="M26" i="28"/>
  <c r="L26" i="28"/>
  <c r="K26" i="28"/>
  <c r="V26" i="28" s="1"/>
  <c r="W26" i="28" s="1"/>
  <c r="T25" i="28"/>
  <c r="S25" i="28"/>
  <c r="R25" i="28"/>
  <c r="P25" i="28"/>
  <c r="O25" i="28"/>
  <c r="N25" i="28"/>
  <c r="M25" i="28"/>
  <c r="L25" i="28"/>
  <c r="V25" i="28" s="1"/>
  <c r="W25" i="28" s="1"/>
  <c r="K25" i="28"/>
  <c r="T24" i="28"/>
  <c r="S24" i="28"/>
  <c r="R24" i="28"/>
  <c r="P24" i="28"/>
  <c r="O24" i="28"/>
  <c r="N24" i="28"/>
  <c r="M24" i="28"/>
  <c r="L24" i="28"/>
  <c r="K24" i="28"/>
  <c r="V24" i="28" s="1"/>
  <c r="W24" i="28" s="1"/>
  <c r="T23" i="28"/>
  <c r="S23" i="28"/>
  <c r="R23" i="28"/>
  <c r="P23" i="28"/>
  <c r="O23" i="28"/>
  <c r="N23" i="28"/>
  <c r="M23" i="28"/>
  <c r="L23" i="28"/>
  <c r="V23" i="28" s="1"/>
  <c r="W23" i="28" s="1"/>
  <c r="K23" i="28"/>
  <c r="T22" i="28"/>
  <c r="S22" i="28"/>
  <c r="R22" i="28"/>
  <c r="P22" i="28"/>
  <c r="O22" i="28"/>
  <c r="N22" i="28"/>
  <c r="M22" i="28"/>
  <c r="L22" i="28"/>
  <c r="V22" i="28" s="1"/>
  <c r="W22" i="28" s="1"/>
  <c r="K22" i="28"/>
  <c r="T21" i="28"/>
  <c r="S21" i="28"/>
  <c r="R21" i="28"/>
  <c r="P21" i="28"/>
  <c r="O21" i="28"/>
  <c r="N21" i="28"/>
  <c r="M21" i="28"/>
  <c r="L21" i="28"/>
  <c r="K21" i="28"/>
  <c r="V21" i="28" s="1"/>
  <c r="W21" i="28" s="1"/>
  <c r="T20" i="28"/>
  <c r="S20" i="28"/>
  <c r="R20" i="28"/>
  <c r="P20" i="28"/>
  <c r="O20" i="28"/>
  <c r="N20" i="28"/>
  <c r="M20" i="28"/>
  <c r="L20" i="28"/>
  <c r="K20" i="28"/>
  <c r="V20" i="28" s="1"/>
  <c r="W20" i="28" s="1"/>
  <c r="T19" i="28"/>
  <c r="S19" i="28"/>
  <c r="R19" i="28"/>
  <c r="P19" i="28"/>
  <c r="O19" i="28"/>
  <c r="N19" i="28"/>
  <c r="M19" i="28"/>
  <c r="L19" i="28"/>
  <c r="K19" i="28"/>
  <c r="V19" i="28" s="1"/>
  <c r="W19" i="28" s="1"/>
  <c r="T18" i="28"/>
  <c r="S18" i="28"/>
  <c r="R18" i="28"/>
  <c r="P18" i="28"/>
  <c r="O18" i="28"/>
  <c r="N18" i="28"/>
  <c r="M18" i="28"/>
  <c r="L18" i="28"/>
  <c r="V18" i="28" s="1"/>
  <c r="W18" i="28" s="1"/>
  <c r="K18" i="28"/>
  <c r="T17" i="28"/>
  <c r="S17" i="28"/>
  <c r="R17" i="28"/>
  <c r="P17" i="28"/>
  <c r="O17" i="28"/>
  <c r="N17" i="28"/>
  <c r="M17" i="28"/>
  <c r="L17" i="28"/>
  <c r="V17" i="28" s="1"/>
  <c r="W17" i="28" s="1"/>
  <c r="K17" i="28"/>
  <c r="T16" i="28"/>
  <c r="S16" i="28"/>
  <c r="R16" i="28"/>
  <c r="P16" i="28"/>
  <c r="O16" i="28"/>
  <c r="N16" i="28"/>
  <c r="M16" i="28"/>
  <c r="L16" i="28"/>
  <c r="K16" i="28"/>
  <c r="V16" i="28" s="1"/>
  <c r="W16" i="28" s="1"/>
  <c r="T15" i="28"/>
  <c r="S15" i="28"/>
  <c r="R15" i="28"/>
  <c r="P15" i="28"/>
  <c r="O15" i="28"/>
  <c r="N15" i="28"/>
  <c r="M15" i="28"/>
  <c r="L15" i="28"/>
  <c r="K15" i="28"/>
  <c r="V15" i="28" s="1"/>
  <c r="W15" i="28" s="1"/>
  <c r="T14" i="28"/>
  <c r="S14" i="28"/>
  <c r="R14" i="28"/>
  <c r="P14" i="28"/>
  <c r="O14" i="28"/>
  <c r="N14" i="28"/>
  <c r="M14" i="28"/>
  <c r="L14" i="28"/>
  <c r="V14" i="28" s="1"/>
  <c r="W14" i="28" s="1"/>
  <c r="K14" i="28"/>
  <c r="T13" i="28"/>
  <c r="S13" i="28"/>
  <c r="R13" i="28"/>
  <c r="P13" i="28"/>
  <c r="O13" i="28"/>
  <c r="N13" i="28"/>
  <c r="M13" i="28"/>
  <c r="L13" i="28"/>
  <c r="V13" i="28" s="1"/>
  <c r="W13" i="28" s="1"/>
  <c r="K13" i="28"/>
  <c r="T12" i="28"/>
  <c r="S12" i="28"/>
  <c r="R12" i="28"/>
  <c r="P12" i="28"/>
  <c r="O12" i="28"/>
  <c r="N12" i="28"/>
  <c r="M12" i="28"/>
  <c r="L12" i="28"/>
  <c r="K12" i="28"/>
  <c r="V12" i="28" s="1"/>
  <c r="W12" i="28" s="1"/>
  <c r="T11" i="28"/>
  <c r="S11" i="28"/>
  <c r="R11" i="28"/>
  <c r="P11" i="28"/>
  <c r="O11" i="28"/>
  <c r="N11" i="28"/>
  <c r="M11" i="28"/>
  <c r="L11" i="28"/>
  <c r="K11" i="28"/>
  <c r="V11" i="28" s="1"/>
  <c r="W11" i="28" s="1"/>
  <c r="T10" i="28"/>
  <c r="S10" i="28"/>
  <c r="R10" i="28"/>
  <c r="P10" i="28"/>
  <c r="O10" i="28"/>
  <c r="N10" i="28"/>
  <c r="M10" i="28"/>
  <c r="L10" i="28"/>
  <c r="K10" i="28"/>
  <c r="V9" i="28"/>
  <c r="W9" i="28" s="1"/>
  <c r="T9" i="28"/>
  <c r="S9" i="28"/>
  <c r="R9" i="28"/>
  <c r="P9" i="28"/>
  <c r="O9" i="28"/>
  <c r="N9" i="28"/>
  <c r="M9" i="28"/>
  <c r="L9" i="28"/>
  <c r="K9" i="28"/>
  <c r="T8" i="28"/>
  <c r="T58" i="28" s="1"/>
  <c r="S8" i="28"/>
  <c r="R8" i="28"/>
  <c r="P8" i="28"/>
  <c r="O8" i="28"/>
  <c r="O58" i="28" s="1"/>
  <c r="N8" i="28"/>
  <c r="N58" i="28" s="1"/>
  <c r="M8" i="28"/>
  <c r="M58" i="28" s="1"/>
  <c r="L8" i="28"/>
  <c r="L58" i="28" s="1"/>
  <c r="K8" i="28"/>
  <c r="V8" i="28" s="1"/>
  <c r="F6" i="28"/>
  <c r="AA39" i="27"/>
  <c r="D39" i="27"/>
  <c r="AA38" i="27"/>
  <c r="D38" i="27"/>
  <c r="AA36" i="27"/>
  <c r="D36" i="27"/>
  <c r="AQ28" i="27"/>
  <c r="AP28" i="27"/>
  <c r="AO28" i="27"/>
  <c r="AN28" i="27"/>
  <c r="AM28" i="27"/>
  <c r="AF28" i="27"/>
  <c r="AA28" i="27"/>
  <c r="D28" i="27"/>
  <c r="AQ26" i="27"/>
  <c r="AP26" i="27"/>
  <c r="AF26" i="27"/>
  <c r="AA26" i="27"/>
  <c r="AO26" i="27"/>
  <c r="AN26" i="27"/>
  <c r="D26" i="27"/>
  <c r="AQ25" i="27"/>
  <c r="AP25" i="27"/>
  <c r="AF25" i="27"/>
  <c r="AO25" i="27"/>
  <c r="AN25" i="27"/>
  <c r="D25" i="27"/>
  <c r="X21" i="27"/>
  <c r="W21" i="27"/>
  <c r="V21" i="27"/>
  <c r="U21" i="27"/>
  <c r="H14" i="27"/>
  <c r="H13" i="27"/>
  <c r="H12" i="27"/>
  <c r="H11" i="27"/>
  <c r="H10" i="27"/>
  <c r="H9" i="27"/>
  <c r="H8" i="27"/>
  <c r="H7" i="27"/>
  <c r="Y199" i="26"/>
  <c r="Y181" i="26"/>
  <c r="Y182" i="26" s="1"/>
  <c r="Y175" i="26"/>
  <c r="Y170" i="26"/>
  <c r="Y165" i="26"/>
  <c r="Y159" i="26"/>
  <c r="E138" i="26" s="1"/>
  <c r="Y145" i="26"/>
  <c r="F138" i="26"/>
  <c r="F137" i="26"/>
  <c r="E137" i="26"/>
  <c r="F136" i="26"/>
  <c r="E136" i="26"/>
  <c r="F135" i="26"/>
  <c r="E135" i="26"/>
  <c r="F134" i="26"/>
  <c r="E134" i="26"/>
  <c r="Y132" i="26"/>
  <c r="F132" i="26"/>
  <c r="E132" i="26"/>
  <c r="F131" i="26"/>
  <c r="E131" i="26"/>
  <c r="E130" i="26"/>
  <c r="D130" i="26" s="1"/>
  <c r="E129" i="26"/>
  <c r="D129" i="26" s="1"/>
  <c r="E128" i="26"/>
  <c r="D128" i="26" s="1"/>
  <c r="F127" i="26"/>
  <c r="E127" i="26"/>
  <c r="E126" i="26"/>
  <c r="D126" i="26" s="1"/>
  <c r="E125" i="26"/>
  <c r="D125" i="26" s="1"/>
  <c r="E124" i="26"/>
  <c r="D124" i="26" s="1"/>
  <c r="E123" i="26"/>
  <c r="D123" i="26" s="1"/>
  <c r="F122" i="26"/>
  <c r="E122" i="26"/>
  <c r="Y120" i="26"/>
  <c r="E120" i="26"/>
  <c r="D120" i="26" s="1"/>
  <c r="E119" i="26"/>
  <c r="D119" i="26" s="1"/>
  <c r="E118" i="26"/>
  <c r="D118" i="26" s="1"/>
  <c r="E117" i="26"/>
  <c r="D117" i="26" s="1"/>
  <c r="E116" i="26"/>
  <c r="D116" i="26" s="1"/>
  <c r="F115" i="26"/>
  <c r="F114" i="26" s="1"/>
  <c r="E115" i="26"/>
  <c r="Y113" i="26"/>
  <c r="E113" i="26"/>
  <c r="D113" i="26" s="1"/>
  <c r="E112" i="26"/>
  <c r="D112" i="26" s="1"/>
  <c r="F111" i="26"/>
  <c r="Y110" i="26"/>
  <c r="E110" i="26"/>
  <c r="D110" i="26" s="1"/>
  <c r="E109" i="26"/>
  <c r="D109" i="26" s="1"/>
  <c r="F108" i="26"/>
  <c r="F107" i="26" s="1"/>
  <c r="E108" i="26"/>
  <c r="Y106" i="26"/>
  <c r="E106" i="26"/>
  <c r="D106" i="26" s="1"/>
  <c r="E105" i="26"/>
  <c r="D105" i="26" s="1"/>
  <c r="T104" i="26"/>
  <c r="F104" i="26"/>
  <c r="E104" i="26"/>
  <c r="T103" i="26"/>
  <c r="E103" i="26"/>
  <c r="D103" i="26" s="1"/>
  <c r="T102" i="26"/>
  <c r="F102" i="26"/>
  <c r="E102" i="26"/>
  <c r="E101" i="26"/>
  <c r="D101" i="26" s="1"/>
  <c r="L100" i="26"/>
  <c r="F100" i="26"/>
  <c r="E100" i="26"/>
  <c r="T99" i="26"/>
  <c r="O99" i="26"/>
  <c r="E99" i="26"/>
  <c r="D99" i="26" s="1"/>
  <c r="T98" i="26"/>
  <c r="O98" i="26"/>
  <c r="Y97" i="26"/>
  <c r="T97" i="26"/>
  <c r="O97" i="26"/>
  <c r="E97" i="26"/>
  <c r="D97" i="26" s="1"/>
  <c r="E96" i="26"/>
  <c r="D96" i="26" s="1"/>
  <c r="E95" i="26"/>
  <c r="D95" i="26" s="1"/>
  <c r="L94" i="26"/>
  <c r="F94" i="26"/>
  <c r="E94" i="26"/>
  <c r="T93" i="26"/>
  <c r="O93" i="26"/>
  <c r="F93" i="26"/>
  <c r="E93" i="26"/>
  <c r="T92" i="26"/>
  <c r="O92" i="26"/>
  <c r="E92" i="26"/>
  <c r="D92" i="26" s="1"/>
  <c r="T91" i="26"/>
  <c r="O91" i="26"/>
  <c r="E91" i="26"/>
  <c r="D91" i="26" s="1"/>
  <c r="T90" i="26"/>
  <c r="O90" i="26"/>
  <c r="E90" i="26"/>
  <c r="D90" i="26" s="1"/>
  <c r="T89" i="26"/>
  <c r="O89" i="26"/>
  <c r="F89" i="26"/>
  <c r="E89" i="26"/>
  <c r="T88" i="26"/>
  <c r="O88" i="26"/>
  <c r="E88" i="26"/>
  <c r="D88" i="26" s="1"/>
  <c r="T87" i="26"/>
  <c r="O87" i="26"/>
  <c r="Y86" i="26"/>
  <c r="F86" i="26"/>
  <c r="E86" i="26"/>
  <c r="F85" i="26"/>
  <c r="E85" i="26"/>
  <c r="Y83" i="26"/>
  <c r="T83" i="26"/>
  <c r="O83" i="26"/>
  <c r="Q83" i="26" s="1"/>
  <c r="E83" i="26"/>
  <c r="D83" i="26" s="1"/>
  <c r="T82" i="26"/>
  <c r="O82" i="26"/>
  <c r="Q82" i="26" s="1"/>
  <c r="E82" i="26"/>
  <c r="D82" i="26" s="1"/>
  <c r="T81" i="26"/>
  <c r="O81" i="26"/>
  <c r="Q81" i="26" s="1"/>
  <c r="E81" i="26"/>
  <c r="D81" i="26" s="1"/>
  <c r="T80" i="26"/>
  <c r="O80" i="26"/>
  <c r="Q80" i="26" s="1"/>
  <c r="E80" i="26"/>
  <c r="D80" i="26" s="1"/>
  <c r="T79" i="26"/>
  <c r="P78" i="26"/>
  <c r="O79" i="26"/>
  <c r="E79" i="26"/>
  <c r="D79" i="26" s="1"/>
  <c r="N78" i="26"/>
  <c r="L78" i="26"/>
  <c r="E78" i="26"/>
  <c r="D78" i="26" s="1"/>
  <c r="T77" i="26"/>
  <c r="O77" i="26"/>
  <c r="Q77" i="26" s="1"/>
  <c r="E77" i="26"/>
  <c r="D77" i="26" s="1"/>
  <c r="T76" i="26"/>
  <c r="O76" i="26"/>
  <c r="E76" i="26"/>
  <c r="D76" i="26" s="1"/>
  <c r="T75" i="26"/>
  <c r="O75" i="26"/>
  <c r="F75" i="26"/>
  <c r="E75" i="26"/>
  <c r="T74" i="26"/>
  <c r="O74" i="26"/>
  <c r="Q74" i="26" s="1"/>
  <c r="F74" i="26"/>
  <c r="E74" i="26"/>
  <c r="T73" i="26"/>
  <c r="O73" i="26"/>
  <c r="F73" i="26"/>
  <c r="E73" i="26"/>
  <c r="T72" i="26"/>
  <c r="O72" i="26"/>
  <c r="Q72" i="26" s="1"/>
  <c r="F72" i="26"/>
  <c r="E72" i="26"/>
  <c r="T71" i="26"/>
  <c r="O71" i="26"/>
  <c r="Q71" i="26" s="1"/>
  <c r="Y70" i="26"/>
  <c r="T70" i="26"/>
  <c r="O70" i="26"/>
  <c r="E70" i="26"/>
  <c r="D70" i="26" s="1"/>
  <c r="T69" i="26"/>
  <c r="O69" i="26"/>
  <c r="F69" i="26"/>
  <c r="E69" i="26"/>
  <c r="T68" i="26"/>
  <c r="O68" i="26"/>
  <c r="E68" i="26"/>
  <c r="D68" i="26" s="1"/>
  <c r="T67" i="26"/>
  <c r="O67" i="26"/>
  <c r="Q67" i="26" s="1"/>
  <c r="F67" i="26"/>
  <c r="E67" i="26"/>
  <c r="T66" i="26"/>
  <c r="O66" i="26"/>
  <c r="F66" i="26"/>
  <c r="E66" i="26"/>
  <c r="T65" i="26"/>
  <c r="O65" i="26"/>
  <c r="E65" i="26"/>
  <c r="D65" i="26" s="1"/>
  <c r="T64" i="26"/>
  <c r="O64" i="26"/>
  <c r="F64" i="26"/>
  <c r="E64" i="26"/>
  <c r="T63" i="26"/>
  <c r="N49" i="26"/>
  <c r="E63" i="26"/>
  <c r="D63" i="26" s="1"/>
  <c r="T62" i="26"/>
  <c r="O62" i="26"/>
  <c r="E62" i="26"/>
  <c r="D62" i="26" s="1"/>
  <c r="T61" i="26"/>
  <c r="O61" i="26"/>
  <c r="Q61" i="26" s="1"/>
  <c r="F61" i="26"/>
  <c r="E61" i="26"/>
  <c r="T60" i="26"/>
  <c r="O60" i="26"/>
  <c r="Q60" i="26" s="1"/>
  <c r="Y59" i="26"/>
  <c r="T59" i="26"/>
  <c r="O59" i="26"/>
  <c r="E59" i="26"/>
  <c r="D59" i="26" s="1"/>
  <c r="T58" i="26"/>
  <c r="O58" i="26"/>
  <c r="Q58" i="26" s="1"/>
  <c r="E58" i="26"/>
  <c r="D58" i="26" s="1"/>
  <c r="T57" i="26"/>
  <c r="O57" i="26"/>
  <c r="Q57" i="26" s="1"/>
  <c r="E57" i="26"/>
  <c r="D57" i="26" s="1"/>
  <c r="T56" i="26"/>
  <c r="O56" i="26"/>
  <c r="E56" i="26"/>
  <c r="D56" i="26" s="1"/>
  <c r="T55" i="26"/>
  <c r="O55" i="26"/>
  <c r="Q55" i="26" s="1"/>
  <c r="F55" i="26"/>
  <c r="F54" i="26" s="1"/>
  <c r="E55" i="26"/>
  <c r="T54" i="26"/>
  <c r="O54" i="26"/>
  <c r="Y53" i="26"/>
  <c r="T53" i="26"/>
  <c r="O53" i="26"/>
  <c r="F53" i="26"/>
  <c r="E53" i="26"/>
  <c r="T52" i="26"/>
  <c r="O52" i="26"/>
  <c r="F52" i="26"/>
  <c r="E52" i="26"/>
  <c r="T51" i="26"/>
  <c r="O51" i="26"/>
  <c r="F51" i="26"/>
  <c r="E51" i="26"/>
  <c r="T50" i="26"/>
  <c r="P49" i="26"/>
  <c r="O50" i="26"/>
  <c r="Y49" i="26"/>
  <c r="L49" i="26"/>
  <c r="T48" i="26"/>
  <c r="O48" i="26"/>
  <c r="Q48" i="26" s="1"/>
  <c r="T47" i="26"/>
  <c r="O47" i="26"/>
  <c r="Q47" i="26" s="1"/>
  <c r="Y46" i="26"/>
  <c r="T46" i="26"/>
  <c r="O46" i="26"/>
  <c r="Q46" i="26" s="1"/>
  <c r="T45" i="26"/>
  <c r="O45" i="26"/>
  <c r="Q45" i="26" s="1"/>
  <c r="T44" i="26"/>
  <c r="O44" i="26"/>
  <c r="Q44" i="26" s="1"/>
  <c r="T43" i="26"/>
  <c r="O43" i="26"/>
  <c r="Q43" i="26" s="1"/>
  <c r="T42" i="26"/>
  <c r="O42" i="26"/>
  <c r="Q42" i="26" s="1"/>
  <c r="T41" i="26"/>
  <c r="O41" i="26"/>
  <c r="Q41" i="26" s="1"/>
  <c r="T40" i="26"/>
  <c r="O40" i="26"/>
  <c r="Q40" i="26" s="1"/>
  <c r="T39" i="26"/>
  <c r="O39" i="26"/>
  <c r="Q39" i="26" s="1"/>
  <c r="T38" i="26"/>
  <c r="O38" i="26"/>
  <c r="Q38" i="26" s="1"/>
  <c r="T37" i="26"/>
  <c r="O37" i="26"/>
  <c r="Q37" i="26" s="1"/>
  <c r="T36" i="26"/>
  <c r="O36" i="26"/>
  <c r="Q36" i="26" s="1"/>
  <c r="T35" i="26"/>
  <c r="P34" i="26"/>
  <c r="O35" i="26"/>
  <c r="L34" i="26"/>
  <c r="P31" i="26"/>
  <c r="N31" i="26"/>
  <c r="L31" i="26"/>
  <c r="T30" i="26"/>
  <c r="O30" i="26"/>
  <c r="Q30" i="26" s="1"/>
  <c r="T29" i="26"/>
  <c r="O29" i="26"/>
  <c r="Q29" i="26" s="1"/>
  <c r="T28" i="26"/>
  <c r="O28" i="26"/>
  <c r="Q28" i="26" s="1"/>
  <c r="T27" i="26"/>
  <c r="O27" i="26"/>
  <c r="L24" i="26"/>
  <c r="S58" i="28" l="1"/>
  <c r="V10" i="28"/>
  <c r="W10" i="28" s="1"/>
  <c r="P58" i="28"/>
  <c r="R58" i="28"/>
  <c r="D104" i="26"/>
  <c r="D86" i="26"/>
  <c r="D135" i="26"/>
  <c r="D138" i="26"/>
  <c r="E107" i="26"/>
  <c r="O31" i="26"/>
  <c r="F71" i="26"/>
  <c r="D111" i="26"/>
  <c r="D136" i="26"/>
  <c r="D137" i="26"/>
  <c r="T94" i="26"/>
  <c r="F98" i="26"/>
  <c r="D51" i="26"/>
  <c r="E50" i="26"/>
  <c r="T100" i="26"/>
  <c r="T31" i="26"/>
  <c r="E121" i="26"/>
  <c r="E87" i="26"/>
  <c r="O100" i="26"/>
  <c r="Q100" i="26"/>
  <c r="Q94" i="26"/>
  <c r="E133" i="26"/>
  <c r="D61" i="26"/>
  <c r="E54" i="26"/>
  <c r="D52" i="26"/>
  <c r="D53" i="26"/>
  <c r="E98" i="26"/>
  <c r="D102" i="26"/>
  <c r="R87" i="28"/>
  <c r="E87" i="28"/>
  <c r="T87" i="28"/>
  <c r="V61" i="28"/>
  <c r="V71" i="28" s="1"/>
  <c r="AI28" i="27"/>
  <c r="AA40" i="27"/>
  <c r="F133" i="26"/>
  <c r="D115" i="26"/>
  <c r="D114" i="26" s="1"/>
  <c r="F121" i="26"/>
  <c r="D127" i="26"/>
  <c r="D132" i="26"/>
  <c r="D93" i="26"/>
  <c r="D122" i="26"/>
  <c r="D94" i="26"/>
  <c r="F87" i="26"/>
  <c r="D72" i="26"/>
  <c r="D74" i="26"/>
  <c r="F84" i="26"/>
  <c r="Y140" i="26"/>
  <c r="Y177" i="26" s="1"/>
  <c r="D134" i="26"/>
  <c r="D66" i="26"/>
  <c r="D100" i="26"/>
  <c r="D75" i="26"/>
  <c r="D89" i="26"/>
  <c r="D67" i="26"/>
  <c r="D55" i="26"/>
  <c r="D54" i="26" s="1"/>
  <c r="D64" i="26"/>
  <c r="F60" i="26"/>
  <c r="D73" i="26"/>
  <c r="D69" i="26"/>
  <c r="AM26" i="27"/>
  <c r="AI26" i="27" s="1"/>
  <c r="O34" i="26"/>
  <c r="L84" i="26"/>
  <c r="AM25" i="27"/>
  <c r="AI25" i="27" s="1"/>
  <c r="Q68" i="26"/>
  <c r="Q65" i="26"/>
  <c r="Q75" i="26"/>
  <c r="Q62" i="26"/>
  <c r="Q69" i="26"/>
  <c r="Q59" i="26"/>
  <c r="Q76" i="26"/>
  <c r="Q56" i="26"/>
  <c r="Q73" i="26"/>
  <c r="Q53" i="26"/>
  <c r="Q54" i="26"/>
  <c r="Q52" i="26"/>
  <c r="Q70" i="26"/>
  <c r="T84" i="26"/>
  <c r="F50" i="26"/>
  <c r="W8" i="28"/>
  <c r="W58" i="28" s="1"/>
  <c r="V58" i="28"/>
  <c r="S87" i="28"/>
  <c r="M87" i="28"/>
  <c r="N87" i="28"/>
  <c r="W74" i="28"/>
  <c r="V84" i="28"/>
  <c r="O87" i="28"/>
  <c r="P87" i="28"/>
  <c r="K84" i="28"/>
  <c r="L71" i="28"/>
  <c r="L87" i="28" s="1"/>
  <c r="K58" i="28"/>
  <c r="Q79" i="26"/>
  <c r="Q78" i="26" s="1"/>
  <c r="O78" i="26"/>
  <c r="Q64" i="26"/>
  <c r="Q51" i="26"/>
  <c r="Q66" i="26"/>
  <c r="Q35" i="26"/>
  <c r="Q34" i="26" s="1"/>
  <c r="O63" i="26"/>
  <c r="O49" i="26" s="1"/>
  <c r="D108" i="26"/>
  <c r="D107" i="26" s="1"/>
  <c r="D131" i="26"/>
  <c r="Q27" i="26"/>
  <c r="Q31" i="26" s="1"/>
  <c r="E60" i="26"/>
  <c r="N34" i="26"/>
  <c r="E111" i="26"/>
  <c r="E114" i="26"/>
  <c r="D85" i="26"/>
  <c r="D84" i="26" s="1"/>
  <c r="Q50" i="26"/>
  <c r="E71" i="26"/>
  <c r="E84" i="26"/>
  <c r="K87" i="28" l="1"/>
  <c r="D133" i="26"/>
  <c r="D98" i="26"/>
  <c r="W61" i="28"/>
  <c r="W71" i="28" s="1"/>
  <c r="T105" i="26"/>
  <c r="D50" i="26"/>
  <c r="L105" i="26"/>
  <c r="O14" i="26" s="1"/>
  <c r="H6" i="2" s="1"/>
  <c r="G71" i="28"/>
  <c r="G87" i="28" s="1"/>
  <c r="D87" i="26"/>
  <c r="E139" i="26"/>
  <c r="D71" i="26"/>
  <c r="D60" i="26"/>
  <c r="U3" i="27"/>
  <c r="F139" i="26"/>
  <c r="D121" i="26"/>
  <c r="D139" i="26" s="1"/>
  <c r="O21" i="26"/>
  <c r="P14" i="26"/>
  <c r="P21" i="26" s="1"/>
  <c r="V87" i="28"/>
  <c r="W84" i="28"/>
  <c r="Q63" i="26"/>
  <c r="Q49" i="26" s="1"/>
  <c r="Q84" i="26" s="1"/>
  <c r="Q105" i="26" s="1"/>
  <c r="Y201" i="26"/>
  <c r="Y184" i="26"/>
  <c r="W87" i="28" l="1"/>
  <c r="AK2" i="27"/>
  <c r="C149" i="2"/>
  <c r="C142" i="2"/>
  <c r="N56" i="19" l="1"/>
  <c r="H8" i="2" l="1"/>
  <c r="H15" i="2" s="1"/>
  <c r="H16" i="2" l="1"/>
  <c r="C4" i="2" l="1"/>
  <c r="E107" i="2" l="1"/>
  <c r="F107" i="2"/>
  <c r="G97" i="2" l="1"/>
  <c r="F97" i="2"/>
  <c r="E97" i="2"/>
  <c r="D97" i="2"/>
  <c r="G91" i="2"/>
  <c r="F91" i="2"/>
  <c r="E91" i="2"/>
  <c r="D91" i="2"/>
  <c r="G81" i="2"/>
  <c r="F81" i="2"/>
  <c r="E81" i="2"/>
  <c r="D81" i="2"/>
  <c r="H84" i="2"/>
  <c r="H100" i="2" l="1"/>
  <c r="H99" i="2"/>
  <c r="H94" i="2"/>
  <c r="H85" i="2"/>
  <c r="H76" i="2"/>
  <c r="H77" i="2"/>
  <c r="H78" i="2"/>
  <c r="H79" i="2"/>
  <c r="D106" i="2" l="1"/>
  <c r="H72" i="2" l="1"/>
  <c r="H10" i="2" l="1"/>
  <c r="C151" i="2" l="1"/>
  <c r="C150" i="2"/>
  <c r="C148" i="2"/>
  <c r="C147" i="2"/>
  <c r="C146" i="2"/>
  <c r="C145" i="2"/>
  <c r="C144" i="2"/>
  <c r="C143" i="2"/>
  <c r="C141" i="2"/>
  <c r="F137" i="2"/>
  <c r="E137" i="2"/>
  <c r="D137" i="2"/>
  <c r="D144" i="2" l="1"/>
  <c r="D148" i="2"/>
  <c r="G106" i="2"/>
  <c r="G107" i="2" s="1"/>
  <c r="D142" i="2"/>
  <c r="D143" i="2"/>
  <c r="D146" i="2"/>
  <c r="D141" i="2"/>
  <c r="D151" i="2"/>
  <c r="D145" i="2"/>
  <c r="D147" i="2"/>
  <c r="D149" i="2"/>
  <c r="D150" i="2"/>
  <c r="H104" i="2" l="1"/>
  <c r="H105" i="2"/>
  <c r="D107" i="2" l="1"/>
  <c r="G27" i="2" l="1"/>
  <c r="G101" i="2" s="1"/>
  <c r="G109" i="2" l="1"/>
  <c r="E27" i="2"/>
  <c r="E101" i="2" s="1"/>
  <c r="H106" i="2" l="1"/>
  <c r="H107" i="2" s="1"/>
  <c r="H35" i="2" l="1"/>
  <c r="H36" i="2"/>
  <c r="F27" i="2"/>
  <c r="F101" i="2" s="1"/>
  <c r="D27" i="2"/>
  <c r="D101" i="2" s="1"/>
  <c r="H26" i="2"/>
  <c r="H73" i="2"/>
  <c r="H74" i="2"/>
  <c r="H80" i="2"/>
  <c r="H32" i="2"/>
  <c r="H33" i="2"/>
  <c r="H34" i="2"/>
  <c r="H37" i="2"/>
  <c r="H38" i="2"/>
  <c r="H39" i="2"/>
  <c r="H40" i="2"/>
  <c r="H41" i="2"/>
  <c r="H42" i="2"/>
  <c r="H43" i="2"/>
  <c r="H44" i="2"/>
  <c r="H31" i="2"/>
  <c r="H24" i="2"/>
  <c r="H25" i="2"/>
  <c r="H23" i="2"/>
  <c r="H95" i="2"/>
  <c r="H96" i="2"/>
  <c r="H86" i="2"/>
  <c r="H87" i="2"/>
  <c r="H88" i="2"/>
  <c r="H89" i="2"/>
  <c r="H90" i="2"/>
  <c r="H60" i="2" l="1"/>
  <c r="H61" i="2"/>
  <c r="H50" i="2"/>
  <c r="H64" i="2"/>
  <c r="H65" i="2"/>
  <c r="H67" i="2"/>
  <c r="H69" i="2"/>
  <c r="H49" i="2"/>
  <c r="H52" i="2"/>
  <c r="H53" i="2"/>
  <c r="H66" i="2"/>
  <c r="H68" i="2"/>
  <c r="H55" i="2"/>
  <c r="H46" i="2"/>
  <c r="H97" i="2"/>
  <c r="H91" i="2"/>
  <c r="H27" i="2"/>
  <c r="H71" i="2" l="1"/>
  <c r="H63" i="2"/>
  <c r="H51" i="2"/>
  <c r="H59" i="2"/>
  <c r="H62" i="2"/>
  <c r="H56" i="2"/>
  <c r="F109" i="2"/>
  <c r="H58" i="2"/>
  <c r="H57" i="2"/>
  <c r="D109" i="2"/>
  <c r="H109" i="2" s="1"/>
  <c r="H48" i="2"/>
  <c r="H70" i="2"/>
  <c r="H47" i="2"/>
  <c r="H54" i="2"/>
  <c r="H81" i="2" l="1"/>
  <c r="H101" i="2" s="1"/>
  <c r="H13" i="2"/>
  <c r="E143" i="2" l="1"/>
  <c r="E142" i="2"/>
  <c r="E144" i="2"/>
  <c r="E150" i="2"/>
  <c r="E146" i="2"/>
  <c r="E141" i="2"/>
  <c r="E151" i="2"/>
  <c r="E149" i="2"/>
  <c r="E145" i="2"/>
  <c r="E147" i="2"/>
  <c r="E148" i="2"/>
  <c r="E10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AWD</author>
  </authors>
  <commentList>
    <comment ref="E3" authorId="0" shapeId="0" xr:uid="{7E8FACED-A5C9-4182-901A-18576EC65988}">
      <text>
        <r>
          <rPr>
            <b/>
            <sz val="9"/>
            <color indexed="81"/>
            <rFont val="Tahoma"/>
            <family val="2"/>
          </rPr>
          <t>Please add additional CAR Numbers if any</t>
        </r>
      </text>
    </comment>
    <comment ref="B15" authorId="0" shapeId="0" xr:uid="{415CFC78-2769-4212-82EB-0F80EDCEFDA0}">
      <text>
        <r>
          <rPr>
            <b/>
            <sz val="9"/>
            <color indexed="81"/>
            <rFont val="Tahoma"/>
            <family val="2"/>
          </rPr>
          <t>To enter multiple CAR No's, please separate them by comma. 
For example) CAR1, CAR2, CAR3</t>
        </r>
      </text>
    </comment>
    <comment ref="C17" authorId="1" shapeId="0" xr:uid="{00000000-0006-0000-0100-000002000000}">
      <text>
        <r>
          <rPr>
            <b/>
            <sz val="9"/>
            <color indexed="81"/>
            <rFont val="Tahoma"/>
            <family val="2"/>
          </rPr>
          <t>Indicates Reported Currency</t>
        </r>
      </text>
    </comment>
    <comment ref="D106" authorId="2" shapeId="0" xr:uid="{00000000-0006-0000-0100-000003000000}">
      <text>
        <r>
          <rPr>
            <b/>
            <sz val="10"/>
            <color rgb="FF000000"/>
            <rFont val="Tahoma"/>
            <family val="2"/>
          </rPr>
          <t>APPROVED SUPPLEMENTALS:</t>
        </r>
        <r>
          <rPr>
            <sz val="10"/>
            <color rgb="FF000000"/>
            <rFont val="Tahoma"/>
            <family val="2"/>
          </rPr>
          <t xml:space="preserve">
Include Approved Supplementals here.  NOTE - populated from cell H7 above.</t>
        </r>
      </text>
    </comment>
    <comment ref="G106" authorId="2" shapeId="0" xr:uid="{00000000-0006-0000-0100-000004000000}">
      <text>
        <r>
          <rPr>
            <b/>
            <u/>
            <sz val="11"/>
            <color rgb="FF000000"/>
            <rFont val="Calibri"/>
            <family val="2"/>
          </rPr>
          <t xml:space="preserve">MANAGERS ADJUSTMENT/ESTIMATED ADDS:
</t>
        </r>
        <r>
          <rPr>
            <sz val="10"/>
            <color rgb="FF000000"/>
            <rFont val="Calibri"/>
            <family val="2"/>
          </rPr>
          <t>NOTE:  THIS IS AUTO-POPULATED FROM SUBTOTALS BELOW CHANGE ORDER TRACKING LOG (default D137).</t>
        </r>
        <r>
          <rPr>
            <sz val="11"/>
            <color rgb="FF000000"/>
            <rFont val="Calibri"/>
            <family val="2"/>
          </rPr>
          <t xml:space="preserve">
This line is to be utilized by the CM/RCM to make/force adjustments.    </t>
        </r>
      </text>
    </comment>
    <comment ref="B113" authorId="0" shapeId="0" xr:uid="{F95253E7-0664-45A2-9C2A-40FA2D9E1836}">
      <text>
        <r>
          <rPr>
            <sz val="9"/>
            <color indexed="81"/>
            <rFont val="Tahoma"/>
            <family val="2"/>
          </rPr>
          <t xml:space="preserve">Macro will stop when there is a blank line. 
</t>
        </r>
        <r>
          <rPr>
            <b/>
            <sz val="9"/>
            <color indexed="81"/>
            <rFont val="Tahoma"/>
            <family val="2"/>
          </rPr>
          <t>DO NOT LEAVE A BLANK LINE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Gascoigne, Luke</author>
  </authors>
  <commentList>
    <comment ref="K5" authorId="0" shapeId="0" xr:uid="{F2683610-C5F6-4E83-B06D-FEE441C7B992}">
      <text>
        <r>
          <rPr>
            <sz val="9"/>
            <color indexed="81"/>
            <rFont val="Tahoma"/>
            <family val="2"/>
          </rPr>
          <t xml:space="preserve">
Insert CAR Number</t>
        </r>
      </text>
    </comment>
    <comment ref="L5" authorId="0" shapeId="0" xr:uid="{E715A4C6-6688-4826-8292-5598AC7DEAAA}">
      <text>
        <r>
          <rPr>
            <sz val="9"/>
            <color indexed="81"/>
            <rFont val="Tahoma"/>
            <family val="2"/>
          </rPr>
          <t xml:space="preserve">
Insert CAR Number</t>
        </r>
      </text>
    </comment>
    <comment ref="M5" authorId="0" shapeId="0" xr:uid="{17A7464D-5E14-4341-B93B-6A88E496C3C5}">
      <text>
        <r>
          <rPr>
            <sz val="9"/>
            <color indexed="81"/>
            <rFont val="Tahoma"/>
            <family val="2"/>
          </rPr>
          <t xml:space="preserve">
Insert CAR Number</t>
        </r>
      </text>
    </comment>
    <comment ref="N5" authorId="0" shapeId="0" xr:uid="{5CE4AD1F-EC3E-449A-91CC-6CC6823A9EE0}">
      <text>
        <r>
          <rPr>
            <sz val="9"/>
            <color indexed="81"/>
            <rFont val="Tahoma"/>
            <family val="2"/>
          </rPr>
          <t xml:space="preserve">
Insert CAR Number</t>
        </r>
      </text>
    </comment>
    <comment ref="O5" authorId="0" shapeId="0" xr:uid="{FAC41B16-722A-4C8A-A2CA-5D4610C726AA}">
      <text>
        <r>
          <rPr>
            <sz val="9"/>
            <color indexed="81"/>
            <rFont val="Tahoma"/>
            <family val="2"/>
          </rPr>
          <t xml:space="preserve">
Insert CAR Number</t>
        </r>
      </text>
    </comment>
    <comment ref="P5" authorId="0" shapeId="0" xr:uid="{B4405E9B-B5ED-4E61-B6FC-DFE835782E5D}">
      <text>
        <r>
          <rPr>
            <sz val="9"/>
            <color indexed="81"/>
            <rFont val="Tahoma"/>
            <family val="2"/>
          </rPr>
          <t xml:space="preserve">
Insert CAR Number</t>
        </r>
      </text>
    </comment>
    <comment ref="R5" authorId="0" shapeId="0" xr:uid="{A449B026-5780-4F7B-9113-07735DFE97D7}">
      <text>
        <r>
          <rPr>
            <sz val="9"/>
            <color indexed="81"/>
            <rFont val="Tahoma"/>
            <family val="2"/>
          </rPr>
          <t xml:space="preserve">
Insert CAR Number</t>
        </r>
      </text>
    </comment>
    <comment ref="S5" authorId="0" shapeId="0" xr:uid="{88B2D509-0FD5-4DD4-A5E9-0195E514B60A}">
      <text>
        <r>
          <rPr>
            <sz val="9"/>
            <color indexed="81"/>
            <rFont val="Tahoma"/>
            <family val="2"/>
          </rPr>
          <t xml:space="preserve">
Insert CAR Number</t>
        </r>
      </text>
    </comment>
    <comment ref="T5" authorId="0" shapeId="0" xr:uid="{3C1C4B08-9EB4-4AB2-A494-F9A2A3C904D0}">
      <text>
        <r>
          <rPr>
            <sz val="9"/>
            <color indexed="81"/>
            <rFont val="Tahoma"/>
            <family val="2"/>
          </rPr>
          <t xml:space="preserve">
Insert CAR Number</t>
        </r>
      </text>
    </comment>
    <comment ref="K6" authorId="0" shapeId="0" xr:uid="{56580CEF-BCCB-439A-BA21-159B39597944}">
      <text>
        <r>
          <rPr>
            <sz val="9"/>
            <color indexed="81"/>
            <rFont val="Tahoma"/>
            <family val="2"/>
          </rPr>
          <t xml:space="preserve">
Insert CAR Value</t>
        </r>
      </text>
    </comment>
    <comment ref="L6" authorId="0" shapeId="0" xr:uid="{507538BA-2E32-40A3-B10B-16D5D363657F}">
      <text>
        <r>
          <rPr>
            <sz val="9"/>
            <color indexed="81"/>
            <rFont val="Tahoma"/>
            <family val="2"/>
          </rPr>
          <t xml:space="preserve">
Insert CAR Value</t>
        </r>
      </text>
    </comment>
    <comment ref="M6" authorId="0" shapeId="0" xr:uid="{6BBD8D8C-C34E-4AAD-807E-06ED10F0F140}">
      <text>
        <r>
          <rPr>
            <sz val="9"/>
            <color indexed="81"/>
            <rFont val="Tahoma"/>
            <family val="2"/>
          </rPr>
          <t xml:space="preserve">
Insert CAR Value</t>
        </r>
      </text>
    </comment>
    <comment ref="N6" authorId="0" shapeId="0" xr:uid="{A45DF768-A324-44AB-A78D-6402F6F060E9}">
      <text>
        <r>
          <rPr>
            <sz val="9"/>
            <color indexed="81"/>
            <rFont val="Tahoma"/>
            <family val="2"/>
          </rPr>
          <t xml:space="preserve">
Insert CAR Value</t>
        </r>
      </text>
    </comment>
    <comment ref="O6" authorId="0" shapeId="0" xr:uid="{429E8E50-56ED-4B29-A792-F087F1A0B847}">
      <text>
        <r>
          <rPr>
            <sz val="9"/>
            <color indexed="81"/>
            <rFont val="Tahoma"/>
            <family val="2"/>
          </rPr>
          <t xml:space="preserve">
Insert CAR Value</t>
        </r>
      </text>
    </comment>
    <comment ref="P6" authorId="0" shapeId="0" xr:uid="{DBAC7841-AB45-49F6-AEBF-01B676EB23A2}">
      <text>
        <r>
          <rPr>
            <sz val="9"/>
            <color indexed="81"/>
            <rFont val="Tahoma"/>
            <family val="2"/>
          </rPr>
          <t xml:space="preserve">
Insert CAR Value</t>
        </r>
      </text>
    </comment>
    <comment ref="R6" authorId="0" shapeId="0" xr:uid="{BD550326-1E15-4BE9-AC10-51C0A9BAB063}">
      <text>
        <r>
          <rPr>
            <sz val="9"/>
            <color indexed="81"/>
            <rFont val="Tahoma"/>
            <family val="2"/>
          </rPr>
          <t xml:space="preserve">
Insert CAR Value</t>
        </r>
      </text>
    </comment>
    <comment ref="S6" authorId="0" shapeId="0" xr:uid="{25192BC6-25FD-46B8-A2D4-9E486FF86D42}">
      <text>
        <r>
          <rPr>
            <sz val="9"/>
            <color indexed="81"/>
            <rFont val="Tahoma"/>
            <family val="2"/>
          </rPr>
          <t xml:space="preserve">
Insert CAR Value</t>
        </r>
      </text>
    </comment>
    <comment ref="T6" authorId="0" shapeId="0" xr:uid="{A179382C-D496-407E-81EB-44EF53995C83}">
      <text>
        <r>
          <rPr>
            <sz val="9"/>
            <color indexed="81"/>
            <rFont val="Tahoma"/>
            <family val="2"/>
          </rPr>
          <t xml:space="preserve">
Insert CAR Value</t>
        </r>
      </text>
    </comment>
  </commentList>
</comments>
</file>

<file path=xl/sharedStrings.xml><?xml version="1.0" encoding="utf-8"?>
<sst xmlns="http://schemas.openxmlformats.org/spreadsheetml/2006/main" count="2017" uniqueCount="1113">
  <si>
    <t>Masonry</t>
  </si>
  <si>
    <t>WORK SCOPE</t>
  </si>
  <si>
    <t>ESTIMATED COST AT COMPLETION</t>
  </si>
  <si>
    <t>Plumbing</t>
  </si>
  <si>
    <t>HVAC</t>
  </si>
  <si>
    <t>Electrical</t>
  </si>
  <si>
    <t>DESCRIPTION</t>
  </si>
  <si>
    <t>ESTIMATE</t>
  </si>
  <si>
    <t>Subtotals</t>
  </si>
  <si>
    <t>Security Services During Construction</t>
  </si>
  <si>
    <t>Utilities prior to Lease Comm not inc in GC Contract</t>
  </si>
  <si>
    <t>Aerial Photos/Web Cam/Drone</t>
  </si>
  <si>
    <t>Developer Travel Expenses</t>
  </si>
  <si>
    <t>Property Taxes Construction Period</t>
  </si>
  <si>
    <t>Construction Carry Costs</t>
  </si>
  <si>
    <t>Construction - Base  Building Contract</t>
  </si>
  <si>
    <t>Due Diligence Costs</t>
  </si>
  <si>
    <t>Land Closing Costs</t>
  </si>
  <si>
    <t>Land Cost</t>
  </si>
  <si>
    <t>Debt Finance Fees &amp; Origination</t>
  </si>
  <si>
    <t>SUBTOTAL- HARD COSTS</t>
  </si>
  <si>
    <t>SUBTOTAL- SOFT COSTS</t>
  </si>
  <si>
    <t>SUBTOTAL- FINANCE/CARRY COSTS</t>
  </si>
  <si>
    <t>TOTAL DEVELOPMENT COSTS</t>
  </si>
  <si>
    <t>HARD COSTS</t>
  </si>
  <si>
    <t>LAND, CLOSING, DUE DILIGENCE COSTS</t>
  </si>
  <si>
    <t>SOFT COSTS</t>
  </si>
  <si>
    <t>FINANCE/CARRY COSTS</t>
  </si>
  <si>
    <t>Project Design/Testing Consultants</t>
  </si>
  <si>
    <t>SUBTOTAL- LAND, CLOSING, DUE DILIGENCE</t>
  </si>
  <si>
    <t>Permit/Impact Fees</t>
  </si>
  <si>
    <t xml:space="preserve">Off-Site Infrastructure </t>
  </si>
  <si>
    <t xml:space="preserve">Specialties </t>
  </si>
  <si>
    <t>Fire Suppression</t>
  </si>
  <si>
    <t>GC General Conditions &amp; Fee</t>
  </si>
  <si>
    <t>Insurance</t>
  </si>
  <si>
    <t>Construction - Offsite Improvements (Outside GC Scope)</t>
  </si>
  <si>
    <t>See Detail Below</t>
  </si>
  <si>
    <t>Miscellaneous/Other</t>
  </si>
  <si>
    <t>Concrete</t>
  </si>
  <si>
    <t>Special Construction</t>
  </si>
  <si>
    <t>Electronic Safety and Security</t>
  </si>
  <si>
    <t>Utilities</t>
  </si>
  <si>
    <t>Time Allowances</t>
  </si>
  <si>
    <t>Furnishings</t>
  </si>
  <si>
    <t>TENANT CHANGE ORDER TRACKING LOG</t>
  </si>
  <si>
    <t>Civil Design- On Site</t>
  </si>
  <si>
    <t>Civil Design- Off Site Infrastructure</t>
  </si>
  <si>
    <t>Traffic Study/Signal Warrant Study</t>
  </si>
  <si>
    <t xml:space="preserve">Wetland Consulting &amp; Mitigation </t>
  </si>
  <si>
    <t>Tenant Programming Services</t>
  </si>
  <si>
    <t>A&amp;E, S, MEP, FP Design Services</t>
  </si>
  <si>
    <t>Commissioning</t>
  </si>
  <si>
    <t>Roof and Owner Concrete Consultant &amp; Misc. Design Consultants</t>
  </si>
  <si>
    <t>Consultant Peer Review</t>
  </si>
  <si>
    <t>Utility Delivery Costs/Fees- Electric, Gas, Data, Phone, Cable Providers</t>
  </si>
  <si>
    <t>Quality Control Testing  (Soil, Concrete, Steel, etc.)</t>
  </si>
  <si>
    <t>Tenant Development Consultant</t>
  </si>
  <si>
    <t>Lease Costs (Legal, etc.)</t>
  </si>
  <si>
    <t>Less: Economic Incentives (Grants, Rebates, Etc.)</t>
  </si>
  <si>
    <t>Earthwork</t>
  </si>
  <si>
    <t>Thermal and Moisture Protection</t>
  </si>
  <si>
    <t>Postage, Printing &amp; Design Reimbursable</t>
  </si>
  <si>
    <t>Existing Conditions</t>
  </si>
  <si>
    <t>Exterior Improvements</t>
  </si>
  <si>
    <t>Metals</t>
  </si>
  <si>
    <t>Wood, Plastics and Composites</t>
  </si>
  <si>
    <t>Openings</t>
  </si>
  <si>
    <t>Finishes</t>
  </si>
  <si>
    <t>Equipment</t>
  </si>
  <si>
    <t>Conveying Equipment</t>
  </si>
  <si>
    <t>Environmental Consultant</t>
  </si>
  <si>
    <t>Geotechnical Consultant</t>
  </si>
  <si>
    <t>Contingency -  Winter Conditions/Schedule Acceleration</t>
  </si>
  <si>
    <t>Contingency - General (____% of Hard Cost)</t>
  </si>
  <si>
    <t>Designated Tenant Allowances</t>
  </si>
  <si>
    <t>Tenant Contingency</t>
  </si>
  <si>
    <t>Developer Contingency</t>
  </si>
  <si>
    <t>Date:</t>
  </si>
  <si>
    <t>Site Code:</t>
  </si>
  <si>
    <t>Contractor:</t>
  </si>
  <si>
    <t>Architect:</t>
  </si>
  <si>
    <t>Developer:</t>
  </si>
  <si>
    <t>CONFIDENTIAL INFORMATION</t>
  </si>
  <si>
    <t>TOTAL COMPLETED AND/OR STORED TO DATE</t>
  </si>
  <si>
    <t>Contingency - Government Approvals</t>
  </si>
  <si>
    <t>LL Contribution (FROM LEASE)</t>
  </si>
  <si>
    <t>AMZN Capital (FROM CAR)</t>
  </si>
  <si>
    <t>APPROVED SUPPLEMENTALS</t>
  </si>
  <si>
    <t>Total Available Budget (LEASE LL Cont. + CAR Cap.)</t>
  </si>
  <si>
    <t>Approved Billings to Date (Hard and Soft Costs)</t>
  </si>
  <si>
    <t>Total Available Budget vs. Approved Billings to Date</t>
  </si>
  <si>
    <t>LL Contribution Spent to Date</t>
  </si>
  <si>
    <t>VARIANCE IN TOTAL CAR BUDGET v. TOTAL AVAILABLE BUDGET</t>
  </si>
  <si>
    <t>Confidence in Variance (Drop Down):</t>
  </si>
  <si>
    <t>DEV</t>
  </si>
  <si>
    <t>DUE-DILIGENCE / AMAZON DIRECT COSTS</t>
  </si>
  <si>
    <t>AMZN</t>
  </si>
  <si>
    <t>DUE-DILIGENCE</t>
  </si>
  <si>
    <t>DIRECT COSTS</t>
  </si>
  <si>
    <t>APPROVED SUPPLEMENTALS and ESTIMATED FUTURE INCREASES</t>
  </si>
  <si>
    <t>SUBTOTAL - DUE-DILIGENCE / AMAZON DIRECT COSTS</t>
  </si>
  <si>
    <t>GRAND TOTALS (LAND / HARD / SOFT / FINANCE/ and AMAZON DIRECT COSTS</t>
  </si>
  <si>
    <t>DES</t>
  </si>
  <si>
    <t>TC</t>
  </si>
  <si>
    <t>INCENTIVE</t>
  </si>
  <si>
    <t>CONSTRUCTION CHANGE ORDER RESPONSIBILITY MATRIX</t>
  </si>
  <si>
    <t>SOURCE</t>
  </si>
  <si>
    <t>COST</t>
  </si>
  <si>
    <t>PERCENTAGE OF CHANGES</t>
  </si>
  <si>
    <t>PERCENTAGE OF CONSTRUCTION COST</t>
  </si>
  <si>
    <t>IT</t>
  </si>
  <si>
    <t>WW/OPS ENGINEERING</t>
  </si>
  <si>
    <t>COMPOSITE</t>
  </si>
  <si>
    <t>AHJ</t>
  </si>
  <si>
    <t>START-UP</t>
  </si>
  <si>
    <t>LAUNCH</t>
  </si>
  <si>
    <t>EHS</t>
  </si>
  <si>
    <t>UNFORESEEN SITE CONDITIONS</t>
  </si>
  <si>
    <t>CONSULTANT COORDINATION</t>
  </si>
  <si>
    <t>OTHER</t>
  </si>
  <si>
    <t>MHE</t>
  </si>
  <si>
    <t>MANAGER ADJUSTMENT</t>
  </si>
  <si>
    <t>Contingency - Prelim Bidding to GMP/Material Escalation</t>
  </si>
  <si>
    <t>City:</t>
  </si>
  <si>
    <t>Country:</t>
  </si>
  <si>
    <t>USA</t>
  </si>
  <si>
    <t>State / Province:</t>
  </si>
  <si>
    <t>Arizona</t>
  </si>
  <si>
    <t>Construction Manager:</t>
  </si>
  <si>
    <t>Regional CM:</t>
  </si>
  <si>
    <t>Final Report:</t>
  </si>
  <si>
    <t>Alabama</t>
  </si>
  <si>
    <t>Alaska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</si>
  <si>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</si>
  <si>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</si>
  <si>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</si>
  <si>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</si>
  <si>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</si>
  <si>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</si>
  <si>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</si>
  <si>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</si>
  <si>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</si>
  <si>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</si>
  <si>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</si>
  <si>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</si>
  <si>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</si>
  <si>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</si>
  <si>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</si>
  <si>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</si>
  <si>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</si>
  <si>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</si>
  <si>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</si>
  <si>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</si>
  <si>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</si>
  <si>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</si>
  <si>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</si>
  <si>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</si>
  <si>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</si>
  <si>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</si>
  <si>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</si>
  <si>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</si>
  <si>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</si>
  <si>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</si>
  <si>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</si>
  <si>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</si>
  <si>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</si>
  <si>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</si>
  <si>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</si>
  <si>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</si>
  <si>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</si>
  <si>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</si>
  <si>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</si>
  <si>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</si>
  <si>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</si>
  <si>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</si>
  <si>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</si>
  <si>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</si>
  <si>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</si>
  <si>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</si>
  <si>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</si>
  <si>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Alberta</t>
  </si>
  <si>
    <t>British Columbia</t>
  </si>
  <si>
    <t>Manitoba</t>
  </si>
  <si>
    <t>New Brunswick</t>
  </si>
  <si>
    <t>Newfoundland and Labrador</t>
  </si>
  <si>
    <t>Nova Scotia</t>
  </si>
  <si>
    <t>Ontario</t>
  </si>
  <si>
    <t>Prince Edward Island</t>
  </si>
  <si>
    <t>Québec</t>
  </si>
  <si>
    <t>Saskatchewan</t>
  </si>
  <si>
    <t>New South Wales</t>
  </si>
  <si>
    <t>Northern Territory</t>
  </si>
  <si>
    <t>Queensland</t>
  </si>
  <si>
    <t>South Australia</t>
  </si>
  <si>
    <t>Tasmania</t>
  </si>
  <si>
    <t>Victoria</t>
  </si>
  <si>
    <t>Western Australia</t>
  </si>
  <si>
    <t>Rio de Janeiro</t>
  </si>
  <si>
    <t>Sao Paulo</t>
  </si>
  <si>
    <t>Estado de Mexico</t>
  </si>
  <si>
    <t>Guanajuato</t>
  </si>
  <si>
    <t>Guerrero</t>
  </si>
  <si>
    <t>Hidalgo</t>
  </si>
  <si>
    <t>Mexico City</t>
  </si>
  <si>
    <t>Morelos</t>
  </si>
  <si>
    <t>Oaxaca</t>
  </si>
  <si>
    <t>Querétaro</t>
  </si>
  <si>
    <t>Tiexcala</t>
  </si>
  <si>
    <t>Canada</t>
  </si>
  <si>
    <t>Mexico</t>
  </si>
  <si>
    <t>Brazil</t>
  </si>
  <si>
    <t>Australia</t>
  </si>
  <si>
    <t>CAR No.:</t>
  </si>
  <si>
    <t>Developer PM/Overhead SIP/Developer Fee</t>
  </si>
  <si>
    <t>Singapore</t>
  </si>
  <si>
    <t>Central Region</t>
  </si>
  <si>
    <t>North Region</t>
  </si>
  <si>
    <t>East Region</t>
  </si>
  <si>
    <t>West Region</t>
  </si>
  <si>
    <t>North-East Region</t>
  </si>
  <si>
    <t>Control Manager</t>
  </si>
  <si>
    <t>Step 1: Transfer Data</t>
  </si>
  <si>
    <t>Step 2: Push Data to Database</t>
  </si>
  <si>
    <t>How to Use the Macro Function(s)</t>
  </si>
  <si>
    <r>
      <t xml:space="preserve">The purpose of this workbook is to provide a </t>
    </r>
    <r>
      <rPr>
        <i/>
        <u/>
        <sz val="10"/>
        <color theme="1"/>
        <rFont val="Calibri"/>
        <family val="2"/>
        <scheme val="minor"/>
      </rPr>
      <t>self-service</t>
    </r>
    <r>
      <rPr>
        <i/>
        <sz val="10"/>
        <color theme="1"/>
        <rFont val="Calibri"/>
        <family val="2"/>
        <scheme val="minor"/>
      </rPr>
      <t xml:space="preserve"> mechanism for CMs to upload their monthly trackers into the BI Database.</t>
    </r>
  </si>
  <si>
    <t>BEFORE YOU BEGIN!</t>
  </si>
  <si>
    <r>
      <rPr>
        <sz val="11"/>
        <color rgb="FF00B050"/>
        <rFont val="Calibri"/>
        <family val="2"/>
        <scheme val="minor"/>
      </rPr>
      <t xml:space="preserve">✔ </t>
    </r>
    <r>
      <rPr>
        <sz val="11"/>
        <color theme="1"/>
        <rFont val="Calibri"/>
        <family val="2"/>
        <scheme val="minor"/>
      </rPr>
      <t xml:space="preserve">  Please ensure you have the MySQL ODBC Driver (v 5.3) installed on your machine.</t>
    </r>
  </si>
  <si>
    <r>
      <t xml:space="preserve">1. </t>
    </r>
    <r>
      <rPr>
        <b/>
        <sz val="10"/>
        <color theme="1"/>
        <rFont val="Calibri"/>
        <family val="2"/>
        <scheme val="minor"/>
      </rPr>
      <t>Open</t>
    </r>
    <r>
      <rPr>
        <sz val="10"/>
        <color theme="1"/>
        <rFont val="Calibri"/>
        <family val="2"/>
        <scheme val="minor"/>
      </rPr>
      <t xml:space="preserve"> Developer form (leave this file minimized or open on your machine)</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</si>
  <si>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"Transfer Data" button</t>
    </r>
  </si>
  <si>
    <r>
      <t xml:space="preserve">3. </t>
    </r>
    <r>
      <rPr>
        <b/>
        <sz val="10"/>
        <color theme="1"/>
        <rFont val="Calibri"/>
        <family val="2"/>
        <scheme val="minor"/>
      </rPr>
      <t>Enter</t>
    </r>
    <r>
      <rPr>
        <sz val="10"/>
        <color theme="1"/>
        <rFont val="Calibri"/>
        <family val="2"/>
        <scheme val="minor"/>
      </rPr>
      <t xml:space="preserve"> </t>
    </r>
    <r>
      <rPr>
        <u/>
        <sz val="10"/>
        <color theme="1"/>
        <rFont val="Calibri"/>
        <family val="2"/>
        <scheme val="minor"/>
      </rPr>
      <t>exact</t>
    </r>
    <r>
      <rPr>
        <b/>
        <sz val="10"/>
        <color theme="1"/>
        <rFont val="Calibri"/>
        <family val="2"/>
        <scheme val="minor"/>
      </rPr>
      <t xml:space="preserve"> </t>
    </r>
    <r>
      <rPr>
        <sz val="10"/>
        <color theme="1"/>
        <rFont val="Calibri"/>
        <family val="2"/>
        <scheme val="minor"/>
      </rPr>
      <t xml:space="preserve">name of Developer file in text field and </t>
    </r>
    <r>
      <rPr>
        <b/>
        <sz val="10"/>
        <color theme="1"/>
        <rFont val="Calibri"/>
        <family val="2"/>
        <scheme val="minor"/>
      </rPr>
      <t>click</t>
    </r>
    <r>
      <rPr>
        <sz val="10"/>
        <color theme="1"/>
        <rFont val="Calibri"/>
        <family val="2"/>
        <scheme val="minor"/>
      </rPr>
      <t xml:space="preserve"> OK.</t>
    </r>
    <r>
      <rPr>
        <b/>
        <sz val="10"/>
        <color theme="1"/>
        <rFont val="Calibri"/>
        <family val="2"/>
        <scheme val="minor"/>
      </rPr>
      <t xml:space="preserve">  </t>
    </r>
    <r>
      <rPr>
        <u/>
        <sz val="10"/>
        <color theme="1"/>
        <rFont val="Calibri"/>
        <family val="2"/>
        <scheme val="minor"/>
      </rPr>
      <t>DO NOT</t>
    </r>
    <r>
      <rPr>
        <sz val="10"/>
        <color theme="1"/>
        <rFont val="Calibri"/>
        <family val="2"/>
        <scheme val="minor"/>
      </rPr>
      <t xml:space="preserve"> include ".xlsx"</t>
    </r>
  </si>
  <si>
    <t xml:space="preserve">     Please allow ~10 seconds for transfer to complete.</t>
  </si>
  <si>
    <r>
      <t xml:space="preserve">4. </t>
    </r>
    <r>
      <rPr>
        <b/>
        <sz val="10"/>
        <color theme="1"/>
        <rFont val="Calibri"/>
        <family val="2"/>
        <scheme val="minor"/>
      </rPr>
      <t>Click</t>
    </r>
    <r>
      <rPr>
        <sz val="10"/>
        <color theme="1"/>
        <rFont val="Calibri"/>
        <family val="2"/>
        <scheme val="minor"/>
      </rPr>
      <t xml:space="preserve"> OK on the confirmation message prompt</t>
    </r>
  </si>
  <si>
    <r>
      <t xml:space="preserve">Note: In order for this macro to work, </t>
    </r>
    <r>
      <rPr>
        <b/>
        <i/>
        <u/>
        <sz val="10"/>
        <color theme="1"/>
        <rFont val="Calibri"/>
        <family val="2"/>
        <scheme val="minor"/>
      </rPr>
      <t>BOTH</t>
    </r>
    <r>
      <rPr>
        <i/>
        <sz val="10"/>
        <color theme="1"/>
        <rFont val="Calibri"/>
        <family val="2"/>
        <scheme val="minor"/>
      </rPr>
      <t xml:space="preserve"> workbook files need to be opened</t>
    </r>
  </si>
  <si>
    <r>
      <t xml:space="preserve">1. </t>
    </r>
    <r>
      <rPr>
        <b/>
        <sz val="10"/>
        <color theme="1"/>
        <rFont val="Calibri"/>
        <family val="2"/>
        <scheme val="minor"/>
      </rPr>
      <t>Validate</t>
    </r>
    <r>
      <rPr>
        <sz val="10"/>
        <color theme="1"/>
        <rFont val="Calibri"/>
        <family val="2"/>
        <scheme val="minor"/>
      </rPr>
      <t xml:space="preserve"> all information has been properly transferred to this workbook</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</si>
  <si>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"Save Data" button</t>
    </r>
  </si>
  <si>
    <t xml:space="preserve">     Please allow ~15 seconds for transfer to complete.</t>
  </si>
  <si>
    <r>
      <t xml:space="preserve">3. </t>
    </r>
    <r>
      <rPr>
        <b/>
        <sz val="10"/>
        <color theme="1"/>
        <rFont val="Calibri"/>
        <family val="2"/>
        <scheme val="minor"/>
      </rPr>
      <t>Type</t>
    </r>
    <r>
      <rPr>
        <sz val="10"/>
        <color theme="1"/>
        <rFont val="Calibri"/>
        <family val="2"/>
        <scheme val="minor"/>
      </rPr>
      <t xml:space="preserve"> in respective Business Unit alignment in text field and </t>
    </r>
    <r>
      <rPr>
        <b/>
        <sz val="10"/>
        <color theme="1"/>
        <rFont val="Calibri"/>
        <family val="2"/>
        <scheme val="minor"/>
      </rPr>
      <t>click</t>
    </r>
    <r>
      <rPr>
        <sz val="10"/>
        <color theme="1"/>
        <rFont val="Calibri"/>
        <family val="2"/>
        <scheme val="minor"/>
      </rPr>
      <t xml:space="preserve"> OK</t>
    </r>
  </si>
  <si>
    <r>
      <t xml:space="preserve">     Please note this has been auto-populated for NACF. No action is needed, if this is the case;  
     </t>
    </r>
    <r>
      <rPr>
        <b/>
        <i/>
        <sz val="10"/>
        <color theme="0" tint="-0.34998626667073579"/>
        <rFont val="Calibri"/>
        <family val="2"/>
        <scheme val="minor"/>
      </rPr>
      <t>click</t>
    </r>
    <r>
      <rPr>
        <i/>
        <sz val="10"/>
        <color theme="0" tint="-0.34998626667073579"/>
        <rFont val="Calibri"/>
        <family val="2"/>
        <scheme val="minor"/>
      </rPr>
      <t xml:space="preserve"> OK to proceed.</t>
    </r>
  </si>
  <si>
    <r>
      <t xml:space="preserve">4. If the submission is successful, you will receive a confirmation of upload. </t>
    </r>
    <r>
      <rPr>
        <b/>
        <sz val="10"/>
        <color theme="1"/>
        <rFont val="Calibri"/>
        <family val="2"/>
        <scheme val="minor"/>
      </rPr>
      <t>Click</t>
    </r>
    <r>
      <rPr>
        <sz val="10"/>
        <color theme="1"/>
        <rFont val="Calibri"/>
        <family val="2"/>
        <scheme val="minor"/>
      </rPr>
      <t xml:space="preserve"> OK to finish</t>
    </r>
  </si>
  <si>
    <r>
      <t xml:space="preserve">Note: If you receive any error messages upon clicking "Save Data", please </t>
    </r>
    <r>
      <rPr>
        <b/>
        <i/>
        <sz val="10"/>
        <color theme="1"/>
        <rFont val="Calibri"/>
        <family val="2"/>
        <scheme val="minor"/>
      </rPr>
      <t>carefully</t>
    </r>
    <r>
      <rPr>
        <i/>
        <sz val="10"/>
        <color theme="1"/>
        <rFont val="Calibri"/>
        <family val="2"/>
        <scheme val="minor"/>
      </rPr>
      <t xml:space="preserve"> read the call out, address the concern(s), and click "Save Data" button again once you are ready to 
re-submit</t>
    </r>
  </si>
  <si>
    <r>
      <t xml:space="preserve">5. After confirming completion, </t>
    </r>
    <r>
      <rPr>
        <b/>
        <sz val="10"/>
        <color theme="1"/>
        <rFont val="Calibri"/>
        <family val="2"/>
        <scheme val="minor"/>
      </rPr>
      <t>click</t>
    </r>
    <r>
      <rPr>
        <sz val="10"/>
        <color theme="1"/>
        <rFont val="Calibri"/>
        <family val="2"/>
        <scheme val="minor"/>
      </rPr>
      <t xml:space="preserve"> Clear Template</t>
    </r>
  </si>
  <si>
    <t>Appendix:</t>
  </si>
  <si>
    <t>Notes</t>
  </si>
  <si>
    <r>
      <t xml:space="preserve">•   Please refrain from using special characters in any of the </t>
    </r>
    <r>
      <rPr>
        <b/>
        <sz val="11"/>
        <color theme="1"/>
        <rFont val="Calibri"/>
        <family val="2"/>
        <scheme val="minor"/>
      </rPr>
      <t>string</t>
    </r>
    <r>
      <rPr>
        <sz val="11"/>
        <color theme="1"/>
        <rFont val="Calibri"/>
        <family val="2"/>
        <scheme val="minor"/>
      </rPr>
      <t xml:space="preserve"> text fields</t>
    </r>
  </si>
  <si>
    <t xml:space="preserve">     OKAY characters include:</t>
  </si>
  <si>
    <r>
      <rPr>
        <sz val="11"/>
        <color rgb="FF00B050"/>
        <rFont val="Calibri"/>
        <family val="2"/>
        <scheme val="minor"/>
      </rPr>
      <t xml:space="preserve">✔ </t>
    </r>
    <r>
      <rPr>
        <sz val="11"/>
        <color theme="1"/>
        <rFont val="Calibri"/>
        <family val="2"/>
        <scheme val="minor"/>
      </rPr>
      <t xml:space="preserve">  periods (.)</t>
    </r>
  </si>
  <si>
    <r>
      <rPr>
        <sz val="11"/>
        <color rgb="FF00B050"/>
        <rFont val="Calibri"/>
        <family val="2"/>
        <scheme val="minor"/>
      </rPr>
      <t>✔</t>
    </r>
    <r>
      <rPr>
        <sz val="11"/>
        <color theme="1"/>
        <rFont val="Calibri"/>
        <family val="2"/>
        <scheme val="minor"/>
      </rPr>
      <t xml:space="preserve">   hyphens (-)</t>
    </r>
  </si>
  <si>
    <r>
      <rPr>
        <sz val="11"/>
        <color rgb="FF00B050"/>
        <rFont val="Calibri"/>
        <family val="2"/>
        <scheme val="minor"/>
      </rPr>
      <t>✔</t>
    </r>
    <r>
      <rPr>
        <sz val="11"/>
        <color theme="1"/>
        <rFont val="Calibri"/>
        <family val="2"/>
        <scheme val="minor"/>
      </rPr>
      <t xml:space="preserve">   forward-slash (/)</t>
    </r>
  </si>
  <si>
    <r>
      <rPr>
        <sz val="11"/>
        <color rgb="FF00B050"/>
        <rFont val="Calibri"/>
        <family val="2"/>
        <scheme val="minor"/>
      </rPr>
      <t>✔</t>
    </r>
    <r>
      <rPr>
        <sz val="11"/>
        <color theme="1"/>
        <rFont val="Calibri"/>
        <family val="2"/>
        <scheme val="minor"/>
      </rPr>
      <t xml:space="preserve">   backward-slash (\)</t>
    </r>
  </si>
  <si>
    <r>
      <rPr>
        <sz val="11"/>
        <color rgb="FF00B050"/>
        <rFont val="Calibri"/>
        <family val="2"/>
        <scheme val="minor"/>
      </rPr>
      <t>✔</t>
    </r>
    <r>
      <rPr>
        <sz val="11"/>
        <color theme="1"/>
        <rFont val="Calibri"/>
        <family val="2"/>
        <scheme val="minor"/>
      </rPr>
      <t xml:space="preserve">   parenthesis ( )</t>
    </r>
  </si>
  <si>
    <r>
      <t xml:space="preserve">•   </t>
    </r>
    <r>
      <rPr>
        <b/>
        <sz val="11"/>
        <color theme="1"/>
        <rFont val="Calibri"/>
        <family val="2"/>
        <scheme val="minor"/>
      </rPr>
      <t>Date</t>
    </r>
    <r>
      <rPr>
        <sz val="11"/>
        <color theme="1"/>
        <rFont val="Calibri"/>
        <family val="2"/>
        <scheme val="minor"/>
      </rPr>
      <t xml:space="preserve"> of the tracker [ 'GMP Breakdown'!C5 ] should yield the current date of data entry</t>
    </r>
  </si>
  <si>
    <t xml:space="preserve">     (If not current date, then at least same month to which tracker was received from developer)</t>
  </si>
  <si>
    <r>
      <t xml:space="preserve">•   </t>
    </r>
    <r>
      <rPr>
        <b/>
        <sz val="11"/>
        <color theme="1"/>
        <rFont val="Calibri"/>
        <family val="2"/>
        <scheme val="minor"/>
      </rPr>
      <t>Report Date</t>
    </r>
    <r>
      <rPr>
        <sz val="11"/>
        <color theme="1"/>
        <rFont val="Calibri"/>
        <family val="2"/>
        <scheme val="minor"/>
      </rPr>
      <t xml:space="preserve"> is calculated as </t>
    </r>
    <r>
      <rPr>
        <i/>
        <sz val="11"/>
        <color theme="1"/>
        <rFont val="Calibri"/>
        <family val="2"/>
        <scheme val="minor"/>
      </rPr>
      <t>'GMP Breakdown'!C5 - 1 month</t>
    </r>
  </si>
  <si>
    <r>
      <t xml:space="preserve">     Example: If the date entered in cell</t>
    </r>
    <r>
      <rPr>
        <i/>
        <sz val="11"/>
        <color theme="1"/>
        <rFont val="Calibri"/>
        <family val="2"/>
        <scheme val="minor"/>
      </rPr>
      <t xml:space="preserve"> 'GMP Breakdown'!C5  = 05/20/2019 </t>
    </r>
    <r>
      <rPr>
        <sz val="11"/>
        <color theme="1"/>
        <rFont val="Calibri"/>
        <family val="2"/>
        <scheme val="minor"/>
      </rPr>
      <t xml:space="preserve">then the report date for that tracker will yield </t>
    </r>
    <r>
      <rPr>
        <i/>
        <sz val="11"/>
        <color theme="1"/>
        <rFont val="Calibri"/>
        <family val="2"/>
        <scheme val="minor"/>
      </rPr>
      <t>April 2019</t>
    </r>
  </si>
  <si>
    <t>FAQs</t>
  </si>
  <si>
    <t>How do I install the Microsoft ODBC Driver?</t>
  </si>
  <si>
    <t xml:space="preserve">     Pre-requisite to installation: Identify which Microsoft Office Suite you are using, either 32-bit or 64-bit</t>
  </si>
  <si>
    <t>Don't know? Click here to find out.</t>
  </si>
  <si>
    <r>
      <t xml:space="preserve"> -   If you are using MSFT Office </t>
    </r>
    <r>
      <rPr>
        <u/>
        <sz val="11"/>
        <color rgb="FFFF0000"/>
        <rFont val="Calibri"/>
        <family val="2"/>
        <scheme val="minor"/>
      </rPr>
      <t>32-bit</t>
    </r>
    <r>
      <rPr>
        <sz val="11"/>
        <color theme="1"/>
        <rFont val="Calibri"/>
        <family val="2"/>
        <scheme val="minor"/>
      </rPr>
      <t>, you can install this by navigating to Amazon’s Software Center located on your machine:</t>
    </r>
  </si>
  <si>
    <t xml:space="preserve">      Windows &gt; Software Center &gt; MySQL ODBC Connector 32-Bit</t>
  </si>
  <si>
    <r>
      <t xml:space="preserve"> -   If you are using MSFT Office </t>
    </r>
    <r>
      <rPr>
        <u/>
        <sz val="11"/>
        <color rgb="FFFF0000"/>
        <rFont val="Calibri"/>
        <family val="2"/>
        <scheme val="minor"/>
      </rPr>
      <t>64-bit</t>
    </r>
    <r>
      <rPr>
        <sz val="11"/>
        <color theme="1"/>
        <rFont val="Calibri"/>
        <family val="2"/>
        <scheme val="minor"/>
      </rPr>
      <t>, please follow the instructions outlined in the following user manual:</t>
    </r>
  </si>
  <si>
    <r>
      <rPr>
        <sz val="11"/>
        <color theme="10"/>
        <rFont val="Calibri"/>
        <family val="2"/>
        <scheme val="minor"/>
      </rPr>
      <t xml:space="preserve">      </t>
    </r>
    <r>
      <rPr>
        <u/>
        <sz val="11"/>
        <color theme="10"/>
        <rFont val="Calibri"/>
        <family val="2"/>
        <scheme val="minor"/>
      </rPr>
      <t>ODBC Driver Installation Guide</t>
    </r>
  </si>
  <si>
    <t>Please contact the BIMOE team if you continue to experience issues after troubleshooting the two bullets listed above</t>
  </si>
  <si>
    <t>I receive a run-time "Microsoft ODBC Driver Manager" error when attempting to Save Data. How can I resolve this?</t>
  </si>
  <si>
    <r>
      <t xml:space="preserve">     </t>
    </r>
    <r>
      <rPr>
        <sz val="11"/>
        <color theme="1"/>
        <rFont val="Calibri"/>
        <family val="2"/>
        <scheme val="minor"/>
      </rPr>
      <t>Please ensure you have downloaded Microsoft's ODBC driver (version 5.3) on your machine. (Any variation of 5.3.XX is okay!)</t>
    </r>
  </si>
  <si>
    <r>
      <t xml:space="preserve">     </t>
    </r>
    <r>
      <rPr>
        <sz val="11"/>
        <color theme="1"/>
        <rFont val="Calibri"/>
        <family val="2"/>
        <scheme val="minor"/>
      </rPr>
      <t>For guidance on how to install the driver, please refer to the above question &amp; answer.</t>
    </r>
  </si>
  <si>
    <t xml:space="preserve">     If you have already installed the driver, try troubleshooting the following:</t>
  </si>
  <si>
    <r>
      <rPr>
        <sz val="11"/>
        <color rgb="FF00B050"/>
        <rFont val="Calibri"/>
        <family val="2"/>
        <scheme val="minor"/>
      </rPr>
      <t xml:space="preserve">✔ </t>
    </r>
    <r>
      <rPr>
        <sz val="11"/>
        <color theme="1"/>
        <rFont val="Calibri"/>
        <family val="2"/>
        <scheme val="minor"/>
      </rPr>
      <t xml:space="preserve">  Do you have multiple ODBC driver versions installed?  If so, uninstall the others which do not align to the 5.3 version</t>
    </r>
  </si>
  <si>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Open</t>
    </r>
    <r>
      <rPr>
        <sz val="11"/>
        <color theme="1"/>
        <rFont val="Calibri"/>
        <family val="2"/>
        <scheme val="minor"/>
      </rPr>
      <t xml:space="preserve"> the </t>
    </r>
    <r>
      <rPr>
        <i/>
        <sz val="11"/>
        <color theme="1"/>
        <rFont val="Calibri"/>
        <family val="2"/>
        <scheme val="minor"/>
      </rPr>
      <t xml:space="preserve">ODBC Data Sources </t>
    </r>
    <r>
      <rPr>
        <sz val="11"/>
        <color theme="1"/>
        <rFont val="Calibri"/>
        <family val="2"/>
        <scheme val="minor"/>
      </rPr>
      <t>program on your machine.</t>
    </r>
  </si>
  <si>
    <t xml:space="preserve">       Ensure you open the bit-version aligned to the Microsoft Office Suite you are using and have downloaded the driver for</t>
  </si>
  <si>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Click</t>
    </r>
    <r>
      <rPr>
        <sz val="11"/>
        <color theme="1"/>
        <rFont val="Calibri"/>
        <family val="2"/>
        <scheme val="minor"/>
      </rPr>
      <t xml:space="preserve"> on </t>
    </r>
    <r>
      <rPr>
        <i/>
        <sz val="11"/>
        <color theme="1"/>
        <rFont val="Calibri"/>
        <family val="2"/>
        <scheme val="minor"/>
      </rPr>
      <t>Add</t>
    </r>
    <r>
      <rPr>
        <sz val="11"/>
        <color theme="1"/>
        <rFont val="Calibri"/>
        <family val="2"/>
        <scheme val="minor"/>
      </rPr>
      <t xml:space="preserve"> under the "User DSN" tab. A new window will pop up</t>
    </r>
  </si>
  <si>
    <r>
      <t xml:space="preserve">     </t>
    </r>
    <r>
      <rPr>
        <b/>
        <sz val="11"/>
        <color theme="1"/>
        <rFont val="Calibri"/>
        <family val="2"/>
        <scheme val="minor"/>
      </rPr>
      <t>Scroll</t>
    </r>
    <r>
      <rPr>
        <sz val="11"/>
        <color theme="1"/>
        <rFont val="Calibri"/>
        <family val="2"/>
        <scheme val="minor"/>
      </rPr>
      <t xml:space="preserve"> to see if "MySQL ODBC 5.3 ANSI Driver" is listed. If not, please refer to the question &amp; answer above for instruction on how to install the correct driver</t>
    </r>
  </si>
  <si>
    <t>How do I know which Microsoft Office Suite I'm using?</t>
  </si>
  <si>
    <r>
      <rPr>
        <sz val="11"/>
        <color theme="1"/>
        <rFont val="Calibri"/>
        <family val="2"/>
        <scheme val="minor"/>
      </rPr>
      <t xml:space="preserve">     1.</t>
    </r>
    <r>
      <rPr>
        <b/>
        <sz val="11"/>
        <color theme="1"/>
        <rFont val="Calibri"/>
        <family val="2"/>
        <scheme val="minor"/>
      </rPr>
      <t xml:space="preserve"> </t>
    </r>
    <r>
      <rPr>
        <sz val="11"/>
        <color theme="1"/>
        <rFont val="Calibri"/>
        <family val="2"/>
        <scheme val="minor"/>
      </rPr>
      <t xml:space="preserve">In this workbook, </t>
    </r>
    <r>
      <rPr>
        <b/>
        <sz val="11"/>
        <color theme="1"/>
        <rFont val="Calibri"/>
        <family val="2"/>
        <scheme val="minor"/>
      </rPr>
      <t>click</t>
    </r>
    <r>
      <rPr>
        <sz val="11"/>
        <color theme="1"/>
        <rFont val="Calibri"/>
        <family val="2"/>
        <scheme val="minor"/>
      </rPr>
      <t xml:space="preserve"> on File &gt; Account</t>
    </r>
  </si>
  <si>
    <r>
      <rPr>
        <sz val="11"/>
        <color theme="1"/>
        <rFont val="Calibri"/>
        <family val="2"/>
        <scheme val="minor"/>
      </rPr>
      <t xml:space="preserve">     2.</t>
    </r>
    <r>
      <rPr>
        <b/>
        <sz val="11"/>
        <color theme="1"/>
        <rFont val="Calibri"/>
        <family val="2"/>
        <scheme val="minor"/>
      </rPr>
      <t xml:space="preserve"> Click</t>
    </r>
    <r>
      <rPr>
        <sz val="11"/>
        <color theme="1"/>
        <rFont val="Calibri"/>
        <family val="2"/>
        <scheme val="minor"/>
      </rPr>
      <t xml:space="preserve"> on the </t>
    </r>
    <r>
      <rPr>
        <i/>
        <sz val="11"/>
        <color theme="1"/>
        <rFont val="Calibri"/>
        <family val="2"/>
        <scheme val="minor"/>
      </rPr>
      <t xml:space="preserve">About Excel </t>
    </r>
    <r>
      <rPr>
        <sz val="11"/>
        <color theme="1"/>
        <rFont val="Calibri"/>
        <family val="2"/>
        <scheme val="minor"/>
      </rPr>
      <t>icon</t>
    </r>
  </si>
  <si>
    <r>
      <rPr>
        <sz val="11"/>
        <color theme="1"/>
        <rFont val="Calibri"/>
        <family val="2"/>
        <scheme val="minor"/>
      </rPr>
      <t xml:space="preserve">     3.</t>
    </r>
    <r>
      <rPr>
        <b/>
        <sz val="11"/>
        <color theme="1"/>
        <rFont val="Calibri"/>
        <family val="2"/>
        <scheme val="minor"/>
      </rPr>
      <t xml:space="preserve"> Note</t>
    </r>
    <r>
      <rPr>
        <sz val="11"/>
        <color theme="1"/>
        <rFont val="Calibri"/>
        <family val="2"/>
        <scheme val="minor"/>
      </rPr>
      <t xml:space="preserve"> the bit-version at the end of the first line</t>
    </r>
  </si>
  <si>
    <t>I receive a message prompt to override the data, what do I do?</t>
  </si>
  <si>
    <t xml:space="preserve">This tool allows users the flexibility to re-enter data in case of any mistakes or changes needed. </t>
  </si>
  <si>
    <r>
      <t xml:space="preserve">If you ever need to make an adjustment, please follow guidance outlined on the message prompt and </t>
    </r>
    <r>
      <rPr>
        <b/>
        <sz val="11"/>
        <color theme="1"/>
        <rFont val="Calibri"/>
        <family val="2"/>
        <scheme val="minor"/>
      </rPr>
      <t>click</t>
    </r>
    <r>
      <rPr>
        <sz val="11"/>
        <color theme="1"/>
        <rFont val="Calibri"/>
        <family val="2"/>
        <scheme val="minor"/>
      </rPr>
      <t xml:space="preserve"> OK</t>
    </r>
  </si>
  <si>
    <t xml:space="preserve">USERS WILL NOT BE ABLE TO MODIFY HISTORICAL DATA OVER 1 MONTH LAG! </t>
  </si>
  <si>
    <r>
      <t xml:space="preserve">Example: If current date is 06/06/2019, you will </t>
    </r>
    <r>
      <rPr>
        <b/>
        <u/>
        <sz val="11"/>
        <color theme="1"/>
        <rFont val="Calibri"/>
        <family val="2"/>
        <scheme val="minor"/>
      </rPr>
      <t>not</t>
    </r>
    <r>
      <rPr>
        <sz val="11"/>
        <color theme="1"/>
        <rFont val="Calibri"/>
        <family val="2"/>
        <scheme val="minor"/>
      </rPr>
      <t xml:space="preserve"> be able to make any changes for a April 2019 tracker.</t>
    </r>
  </si>
  <si>
    <t>Should you need to make any revisions for whatever reason, please contact bimoe@amazon.com for assistance.</t>
  </si>
  <si>
    <t>PO No.:</t>
  </si>
  <si>
    <t>Currency:</t>
  </si>
  <si>
    <t>GMP/PO COST TRACKING LOG &amp; TENANT CHANGE ORDER TRACKING LOG</t>
  </si>
  <si>
    <t>Estimated Future Increases to GMP/PO (FROM BELOW)</t>
  </si>
  <si>
    <t>GMP/PO COST TRACKING LOG</t>
  </si>
  <si>
    <t>CURRENT GMP/PO</t>
  </si>
  <si>
    <t>DELTA ECaC and ORIGINAL GMP/PO</t>
  </si>
  <si>
    <t>34</t>
  </si>
  <si>
    <t>31</t>
  </si>
  <si>
    <t>32</t>
  </si>
  <si>
    <t>33</t>
  </si>
  <si>
    <t>1</t>
  </si>
  <si>
    <t>2</t>
  </si>
  <si>
    <t>3</t>
  </si>
  <si>
    <t>4</t>
  </si>
  <si>
    <t>5</t>
  </si>
  <si>
    <t>6</t>
  </si>
  <si>
    <t>7</t>
  </si>
  <si>
    <t>8</t>
  </si>
  <si>
    <t>9</t>
  </si>
  <si>
    <t>10</t>
  </si>
  <si>
    <t>11</t>
  </si>
  <si>
    <t>12</t>
  </si>
  <si>
    <t>13</t>
  </si>
  <si>
    <t>14</t>
  </si>
  <si>
    <t>21</t>
  </si>
  <si>
    <t>22</t>
  </si>
  <si>
    <t>23</t>
  </si>
  <si>
    <t>26</t>
  </si>
  <si>
    <t>28</t>
  </si>
  <si>
    <t>CSI</t>
  </si>
  <si>
    <t>TAXES</t>
  </si>
  <si>
    <t>State/Local Taxes</t>
  </si>
  <si>
    <t>Insert row here</t>
  </si>
  <si>
    <t>Chris Hodrick</t>
  </si>
  <si>
    <t>Hope Hall</t>
  </si>
  <si>
    <t>Robert Zalewski</t>
  </si>
  <si>
    <t>Andy Davis</t>
  </si>
  <si>
    <t>Darrin Sanders</t>
  </si>
  <si>
    <t>Scott Palma</t>
  </si>
  <si>
    <t>Ryan Kaminski</t>
  </si>
  <si>
    <t>Regional CM</t>
  </si>
  <si>
    <t>Adam Studt</t>
  </si>
  <si>
    <t>Alex Fisher</t>
  </si>
  <si>
    <t>Bill Given</t>
  </si>
  <si>
    <t xml:space="preserve">Dainelle Wellington </t>
  </si>
  <si>
    <t xml:space="preserve">Domingo Arellano </t>
  </si>
  <si>
    <t>Fritz Gutenberg</t>
  </si>
  <si>
    <t>Jason Windholtz</t>
  </si>
  <si>
    <t>Kathryn Emtman</t>
  </si>
  <si>
    <t>Lawrence Adler</t>
  </si>
  <si>
    <t xml:space="preserve">Quddus Mohammed </t>
  </si>
  <si>
    <t>Rich Lopez</t>
  </si>
  <si>
    <t>Ronald Kooch</t>
  </si>
  <si>
    <t>Sara Amorosino</t>
  </si>
  <si>
    <t>Shawn Virag</t>
  </si>
  <si>
    <t>Stephanie Reed</t>
  </si>
  <si>
    <t>Todd Plociniak</t>
  </si>
  <si>
    <t>Todd Van Voast</t>
  </si>
  <si>
    <t>David Mecham</t>
  </si>
  <si>
    <t>Neil Parker</t>
  </si>
  <si>
    <t xml:space="preserve">Shannon Mangiameli </t>
  </si>
  <si>
    <t>Projected Variance at Finish (TAB - ECaC)</t>
  </si>
  <si>
    <t>Estimated Cost at Completion (Includes Estimated Future Increases)</t>
  </si>
  <si>
    <t>Refrigeration</t>
  </si>
  <si>
    <t>PC ID #</t>
  </si>
  <si>
    <t>APPROVED - INCREASE TO GMP/PO</t>
  </si>
  <si>
    <t>APPROVED - COVERED BY GMP/PO</t>
  </si>
  <si>
    <t>Source (IT, ENG, AHJ, Etc.)</t>
  </si>
  <si>
    <t>FUNDING</t>
  </si>
  <si>
    <t>INITIAL GMP/PO</t>
  </si>
  <si>
    <t>UK</t>
  </si>
  <si>
    <t>Abhirup Dandapath</t>
  </si>
  <si>
    <t>Ana Lasheras</t>
  </si>
  <si>
    <t>Arturo Miranda</t>
  </si>
  <si>
    <t>Benjami Schultes</t>
  </si>
  <si>
    <t>Catherine De La Rosa</t>
  </si>
  <si>
    <t>Elena Sushkova</t>
  </si>
  <si>
    <t>Fabio Rizza</t>
  </si>
  <si>
    <t>Felipe Bonilla</t>
  </si>
  <si>
    <t>Florentine Lategahn</t>
  </si>
  <si>
    <t>Gary Newell</t>
  </si>
  <si>
    <t>Goncalo Lino</t>
  </si>
  <si>
    <t>José Trujillo</t>
  </si>
  <si>
    <t>Luca Raponi</t>
  </si>
  <si>
    <t>Manuel Masnou</t>
  </si>
  <si>
    <t>Pepe Reyna</t>
  </si>
  <si>
    <t>Tassos Chorozidis</t>
  </si>
  <si>
    <t>Tiffany Siegel</t>
  </si>
  <si>
    <t>Tony Maclean</t>
  </si>
  <si>
    <t xml:space="preserve">East Midlands </t>
  </si>
  <si>
    <t>East of England</t>
  </si>
  <si>
    <t>Greater London</t>
  </si>
  <si>
    <t xml:space="preserve">North East </t>
  </si>
  <si>
    <t>North West</t>
  </si>
  <si>
    <t>Northern Ireland</t>
  </si>
  <si>
    <t>Scotland</t>
  </si>
  <si>
    <t>South East</t>
  </si>
  <si>
    <t xml:space="preserve">South West </t>
  </si>
  <si>
    <t>Wales</t>
  </si>
  <si>
    <t xml:space="preserve">West Midlands </t>
  </si>
  <si>
    <t xml:space="preserve">Yorkshire and the Humber </t>
  </si>
  <si>
    <t>Abruzzo</t>
  </si>
  <si>
    <t xml:space="preserve">Basilicata </t>
  </si>
  <si>
    <t xml:space="preserve">Calabria </t>
  </si>
  <si>
    <t xml:space="preserve">Campania </t>
  </si>
  <si>
    <t xml:space="preserve">Emilia-Romagna </t>
  </si>
  <si>
    <t>Friuli-Venezia Giulia</t>
  </si>
  <si>
    <t>Lazio</t>
  </si>
  <si>
    <t xml:space="preserve">Liguria </t>
  </si>
  <si>
    <t xml:space="preserve">Lombardia (Lombardy) </t>
  </si>
  <si>
    <t xml:space="preserve">Marche (The Marches) </t>
  </si>
  <si>
    <t xml:space="preserve">Molise </t>
  </si>
  <si>
    <t xml:space="preserve">Piemonte (Piedmont) </t>
  </si>
  <si>
    <t xml:space="preserve">Puglia (Apulia) </t>
  </si>
  <si>
    <t xml:space="preserve">Sardegna (Sardinia) </t>
  </si>
  <si>
    <t xml:space="preserve">Sicilia (Sicily) </t>
  </si>
  <si>
    <t>Toscana (Tuscany)</t>
  </si>
  <si>
    <t xml:space="preserve">Trentino-Alto Adige </t>
  </si>
  <si>
    <t xml:space="preserve">Umbria </t>
  </si>
  <si>
    <t xml:space="preserve">Valle d’Aosta </t>
  </si>
  <si>
    <t>Veneto</t>
  </si>
  <si>
    <t> Baden-Württemberg</t>
  </si>
  <si>
    <t> Bavaria</t>
  </si>
  <si>
    <t> Berlin</t>
  </si>
  <si>
    <t> Brandenburg</t>
  </si>
  <si>
    <t> Bremen</t>
  </si>
  <si>
    <t> Hamburg</t>
  </si>
  <si>
    <t> Hesse</t>
  </si>
  <si>
    <t> Lower Saxony</t>
  </si>
  <si>
    <t> Mecklenburg-Western Pomerania</t>
  </si>
  <si>
    <t> North Rhine-Westphalia</t>
  </si>
  <si>
    <t> Rhineland-Palatinate</t>
  </si>
  <si>
    <t> Saarland</t>
  </si>
  <si>
    <t> Saxony</t>
  </si>
  <si>
    <t> Saxony-Anhalt</t>
  </si>
  <si>
    <t> Schleswig-Holstein</t>
  </si>
  <si>
    <t> Thuringia</t>
  </si>
  <si>
    <t>Auvergne - Rhône-Alpes</t>
  </si>
  <si>
    <t>Bourgogne - Franche-Comté</t>
  </si>
  <si>
    <t>Bretagne (Brittany)</t>
  </si>
  <si>
    <t>Centre - Val de Loire</t>
  </si>
  <si>
    <t>Corse (Corsica)</t>
  </si>
  <si>
    <t>Grand Est (Alsace, Champagne, Lorraine)</t>
  </si>
  <si>
    <t>Hauts de France ( Nord Pas-de-Calais - Picardie)</t>
  </si>
  <si>
    <t>Ile de France (Paris)</t>
  </si>
  <si>
    <t>Normandie</t>
  </si>
  <si>
    <t>Nouvelle Aquitaine (Aquitaine, Poitou-Charentes, Limousin)</t>
  </si>
  <si>
    <t>Occitanie (Midi-Pyrénées, Languedoc)</t>
  </si>
  <si>
    <t>Pays de la Loire</t>
  </si>
  <si>
    <t>Provence - Cote d'Azur</t>
  </si>
  <si>
    <t>Andalucia</t>
  </si>
  <si>
    <t>Asturias</t>
  </si>
  <si>
    <t>Aragon</t>
  </si>
  <si>
    <t>Basque Country</t>
  </si>
  <si>
    <t>Balearic Islands</t>
  </si>
  <si>
    <t>Canary Islands</t>
  </si>
  <si>
    <t>Cantabria</t>
  </si>
  <si>
    <t>Castilla-La Mancha</t>
  </si>
  <si>
    <t>Catalonia</t>
  </si>
  <si>
    <t>Castilla y Leon</t>
  </si>
  <si>
    <t>Extremadura</t>
  </si>
  <si>
    <t>Galicia</t>
  </si>
  <si>
    <t>Madrid</t>
  </si>
  <si>
    <t>La Rioja</t>
  </si>
  <si>
    <t>Murcia</t>
  </si>
  <si>
    <t>Navarra</t>
  </si>
  <si>
    <t>Valencian Community</t>
  </si>
  <si>
    <t>Ceuta*</t>
  </si>
  <si>
    <t>Melilla*</t>
  </si>
  <si>
    <t>Burgenland</t>
  </si>
  <si>
    <t>Kärnten - Carinthia</t>
  </si>
  <si>
    <t>Niederösterreich - Lower Austria</t>
  </si>
  <si>
    <t>Oberösterreich - Upper Austria</t>
  </si>
  <si>
    <t>Salzburg</t>
  </si>
  <si>
    <t>Steiermark - Styria</t>
  </si>
  <si>
    <t>Tirol</t>
  </si>
  <si>
    <t>Vorarlberg</t>
  </si>
  <si>
    <t>Wien - Vienna</t>
  </si>
  <si>
    <t>Italy</t>
  </si>
  <si>
    <t>Germany</t>
  </si>
  <si>
    <t>France</t>
  </si>
  <si>
    <t>Spain</t>
  </si>
  <si>
    <t>Austria</t>
  </si>
  <si>
    <t>John Osborne</t>
  </si>
  <si>
    <t>Chris Via</t>
  </si>
  <si>
    <t>CarDetails</t>
  </si>
  <si>
    <t>David Schleiff</t>
  </si>
  <si>
    <t>Jean Lambert</t>
  </si>
  <si>
    <t>Jim Cornwell</t>
  </si>
  <si>
    <t>KC Rounsaville</t>
  </si>
  <si>
    <t>Manuel Nuno</t>
  </si>
  <si>
    <t>Tom Gercak</t>
  </si>
  <si>
    <t>Additional CAR</t>
  </si>
  <si>
    <t>TOTAL CAR BUDGET: (Initial CAR + SUPPLEMENTALS)</t>
  </si>
  <si>
    <t>Step 1: Push Data to Database</t>
  </si>
  <si>
    <t>Supported Currencies</t>
  </si>
  <si>
    <t>AED</t>
  </si>
  <si>
    <t>United Arab Emirates</t>
  </si>
  <si>
    <t>EGP</t>
  </si>
  <si>
    <t>Egypt</t>
  </si>
  <si>
    <t>EUR</t>
  </si>
  <si>
    <t>EU</t>
  </si>
  <si>
    <t>GBP</t>
  </si>
  <si>
    <t>PESO</t>
  </si>
  <si>
    <t>REAL</t>
  </si>
  <si>
    <t>RYD</t>
  </si>
  <si>
    <t>Kingdom of Saudi Arabia</t>
  </si>
  <si>
    <t>SIN</t>
  </si>
  <si>
    <t>TRY</t>
  </si>
  <si>
    <t>Turkey</t>
  </si>
  <si>
    <t>USD</t>
  </si>
  <si>
    <t>Currency</t>
  </si>
  <si>
    <t>Expand for EMEA Format -&gt;</t>
  </si>
  <si>
    <t>ECCF / NACF COST INPUT FORMAT</t>
  </si>
  <si>
    <t>EMEA COST INPUT FORMAT</t>
  </si>
  <si>
    <t>Project Information</t>
  </si>
  <si>
    <t>This Tab is completed by Amazon Pre-Construction when CAR is approved. 
During Construction, Change Orders are entered into Change Order Summary tab by GC and carry forward here</t>
  </si>
  <si>
    <t>Site Information</t>
  </si>
  <si>
    <t>Month</t>
  </si>
  <si>
    <t xml:space="preserve">Project Type </t>
  </si>
  <si>
    <t>FC Name</t>
  </si>
  <si>
    <t>FULL</t>
  </si>
  <si>
    <t>CONSOLIDATED</t>
  </si>
  <si>
    <t xml:space="preserve">Building Type </t>
  </si>
  <si>
    <t>Phase</t>
  </si>
  <si>
    <t>CAR</t>
  </si>
  <si>
    <t>EMEA LEV2</t>
  </si>
  <si>
    <t>EMEA LEV1</t>
  </si>
  <si>
    <t>Construction Start</t>
  </si>
  <si>
    <t>Building Type</t>
  </si>
  <si>
    <t>ARS 450 G+2 Gen 10.2</t>
  </si>
  <si>
    <t>Construction End</t>
  </si>
  <si>
    <t>Country</t>
  </si>
  <si>
    <t>A1.1</t>
  </si>
  <si>
    <t>A11.1</t>
  </si>
  <si>
    <t>Year</t>
  </si>
  <si>
    <t>Location</t>
  </si>
  <si>
    <t>A1.2</t>
  </si>
  <si>
    <t>Report Period</t>
  </si>
  <si>
    <t>February</t>
  </si>
  <si>
    <t>Development Partner</t>
  </si>
  <si>
    <t>A1.P</t>
  </si>
  <si>
    <t>A2.1</t>
  </si>
  <si>
    <t>GC</t>
  </si>
  <si>
    <t>A3.6</t>
  </si>
  <si>
    <t>Expected PC Date (Month)</t>
  </si>
  <si>
    <t>April</t>
  </si>
  <si>
    <t>A2.2</t>
  </si>
  <si>
    <t>A3.1</t>
  </si>
  <si>
    <t>Expected PC Date (Year)</t>
  </si>
  <si>
    <t>A2.3</t>
  </si>
  <si>
    <t>A4.4</t>
  </si>
  <si>
    <t>Expected PC Date</t>
  </si>
  <si>
    <t>A2.4</t>
  </si>
  <si>
    <t>A3.4</t>
  </si>
  <si>
    <t>Esta aba deverá ser preenchida pela Amazon Pré-Construção quando o CAR fora aprovado
Durante a construção, as extensões de contrato (Change Orders) são incluidas em "Change Order Summary" pela CG e levadas aqui</t>
  </si>
  <si>
    <t>Lease Duration (years)</t>
  </si>
  <si>
    <t>A2.P</t>
  </si>
  <si>
    <t>A3.7</t>
  </si>
  <si>
    <t>Rent Free (months)</t>
  </si>
  <si>
    <t>A4.3</t>
  </si>
  <si>
    <t>Indexation (RPI | CPI | Other - specify)</t>
  </si>
  <si>
    <t>A3.2</t>
  </si>
  <si>
    <t>A4.2</t>
  </si>
  <si>
    <t>PO Number</t>
  </si>
  <si>
    <t>Cap Provision (n/a if not applicable)</t>
  </si>
  <si>
    <t>A3.3</t>
  </si>
  <si>
    <t>A3.9</t>
  </si>
  <si>
    <t>Collar Provision (n/a if not applicable)</t>
  </si>
  <si>
    <t>A4.1</t>
  </si>
  <si>
    <t>Dilapidations or Reinstatement Provison</t>
  </si>
  <si>
    <t>A3.5</t>
  </si>
  <si>
    <t>A5.1</t>
  </si>
  <si>
    <t>TOTAL SPEND</t>
  </si>
  <si>
    <t>Land plot size (acres)</t>
  </si>
  <si>
    <t>A6.7</t>
  </si>
  <si>
    <t>Agreed GMP</t>
  </si>
  <si>
    <t>APPROVED CHANGES</t>
  </si>
  <si>
    <t>COMMITTED (CAR + Approved Changes)</t>
  </si>
  <si>
    <t>ECAC (Committed + Anticipated)</t>
  </si>
  <si>
    <t>COMMENTS</t>
  </si>
  <si>
    <t>CAR ESTIMATE</t>
  </si>
  <si>
    <t>Date of Purchase of last Plot (Month)</t>
  </si>
  <si>
    <t>A8.1</t>
  </si>
  <si>
    <t>CAR #</t>
  </si>
  <si>
    <t>Date of Purchase of last Plot  (Year)</t>
  </si>
  <si>
    <t>A3.8</t>
  </si>
  <si>
    <t>A6.2</t>
  </si>
  <si>
    <t>Date of Purchase of Previous Plot</t>
  </si>
  <si>
    <t>A6.6</t>
  </si>
  <si>
    <t>Warehouse Ground Floor (sqft)</t>
  </si>
  <si>
    <t>A3.P</t>
  </si>
  <si>
    <t>A7.4</t>
  </si>
  <si>
    <t>Warehouse Mezzanines (sqft)</t>
  </si>
  <si>
    <t>A7.6</t>
  </si>
  <si>
    <t>Office and Social Areas (sqft)</t>
  </si>
  <si>
    <t>Building Height (ft)</t>
  </si>
  <si>
    <t>A10.1</t>
  </si>
  <si>
    <t>Docks (unit)</t>
  </si>
  <si>
    <t>A7.2</t>
  </si>
  <si>
    <t>Car Parking (unit)</t>
  </si>
  <si>
    <t>A4.5</t>
  </si>
  <si>
    <t>Truck Parking (unit)</t>
  </si>
  <si>
    <t>A4.6</t>
  </si>
  <si>
    <t>A11.11</t>
  </si>
  <si>
    <t>A12.1</t>
  </si>
  <si>
    <t>Site Enabling / Facilitating Works Duration (weeks)</t>
  </si>
  <si>
    <t>A4.7</t>
  </si>
  <si>
    <t>FC Construction Period Duration, excluding Enabling Works (weeks)</t>
  </si>
  <si>
    <t>A4.8</t>
  </si>
  <si>
    <t>DEVT</t>
  </si>
  <si>
    <t>A11.6</t>
  </si>
  <si>
    <t>A4.9</t>
  </si>
  <si>
    <t>A12.5</t>
  </si>
  <si>
    <t>Total Amount LC</t>
  </si>
  <si>
    <t>A4.10</t>
  </si>
  <si>
    <t>A12.3</t>
  </si>
  <si>
    <t>Land Acquisition</t>
  </si>
  <si>
    <t>A4.11</t>
  </si>
  <si>
    <t>A12.4</t>
  </si>
  <si>
    <t>A4.P</t>
  </si>
  <si>
    <t>PS</t>
  </si>
  <si>
    <t>A5.P</t>
  </si>
  <si>
    <t>Land Acquisition Fees (if relevant)</t>
  </si>
  <si>
    <t>Infrastructure charges / Urbanization Tax</t>
  </si>
  <si>
    <t>Land Improvements made by</t>
  </si>
  <si>
    <t>A6.1</t>
  </si>
  <si>
    <t>Cost of Land Improvements</t>
  </si>
  <si>
    <t>Miscellaneous &amp; Contingency</t>
  </si>
  <si>
    <t>A6.3</t>
  </si>
  <si>
    <t>1.0</t>
  </si>
  <si>
    <t>Tot Land Acquisition Costs</t>
  </si>
  <si>
    <t>A6.4</t>
  </si>
  <si>
    <t>A6.5</t>
  </si>
  <si>
    <t>GC Costs</t>
  </si>
  <si>
    <t>Total</t>
  </si>
  <si>
    <t>EMEA</t>
  </si>
  <si>
    <t>Σ</t>
  </si>
  <si>
    <t>Site preparation</t>
  </si>
  <si>
    <t>1.0 - Site Preparation</t>
  </si>
  <si>
    <t>2.1.1</t>
  </si>
  <si>
    <t>A6.8</t>
  </si>
  <si>
    <t>Site Preparation</t>
  </si>
  <si>
    <t>2.1.2</t>
  </si>
  <si>
    <t>Earthworks</t>
  </si>
  <si>
    <t>A6.9</t>
  </si>
  <si>
    <t>2.1.3</t>
  </si>
  <si>
    <t>Site preparation Sub-Contract Preliminaries</t>
  </si>
  <si>
    <t>A6.P</t>
  </si>
  <si>
    <t>Van Parking Deck: Site Preparation</t>
  </si>
  <si>
    <t>Substructure</t>
  </si>
  <si>
    <t>A7.1</t>
  </si>
  <si>
    <t>2.0 - Substructure</t>
  </si>
  <si>
    <t>2.2.1</t>
  </si>
  <si>
    <t>Foundations</t>
  </si>
  <si>
    <t>2.2.2</t>
  </si>
  <si>
    <t>Ground Beams</t>
  </si>
  <si>
    <t>A7.3</t>
  </si>
  <si>
    <t>2.2.3</t>
  </si>
  <si>
    <t>Ground Floor Slabs</t>
  </si>
  <si>
    <t>2.2.4</t>
  </si>
  <si>
    <t>Miscellaneous</t>
  </si>
  <si>
    <t>A7.5</t>
  </si>
  <si>
    <t>2.2.5</t>
  </si>
  <si>
    <t>Substructure Sub-Contract Preliminaries</t>
  </si>
  <si>
    <t>Van Parking Deck: Substructure</t>
  </si>
  <si>
    <t>Superstructure</t>
  </si>
  <si>
    <t>A7.7</t>
  </si>
  <si>
    <t>3.0 - Superstructure</t>
  </si>
  <si>
    <t>2.3.1</t>
  </si>
  <si>
    <t>Main structure</t>
  </si>
  <si>
    <t>A7.P</t>
  </si>
  <si>
    <t>Frame - Main Structure</t>
  </si>
  <si>
    <t>2.3.12</t>
  </si>
  <si>
    <t>Stairs - Main Structure</t>
  </si>
  <si>
    <t>Stairs  - Main Structure</t>
  </si>
  <si>
    <t>2.3.2</t>
  </si>
  <si>
    <t>Mezzanine</t>
  </si>
  <si>
    <t>A8.2</t>
  </si>
  <si>
    <t>2.3.3</t>
  </si>
  <si>
    <t>Roofing</t>
  </si>
  <si>
    <t>A8.P</t>
  </si>
  <si>
    <t>Roofing - Warehouse</t>
  </si>
  <si>
    <t>2.3.32</t>
  </si>
  <si>
    <t>Roofing - Office</t>
  </si>
  <si>
    <t>A9.1</t>
  </si>
  <si>
    <t>2.3.33</t>
  </si>
  <si>
    <t>External walls</t>
  </si>
  <si>
    <t>A9.P</t>
  </si>
  <si>
    <t>2.3.4</t>
  </si>
  <si>
    <t>Cladding, Windows, Doors and Docks</t>
  </si>
  <si>
    <t>Curtain Walling &amp; Windows</t>
  </si>
  <si>
    <t>2.3.42</t>
  </si>
  <si>
    <t>Doors, Gates ad Windows</t>
  </si>
  <si>
    <t>A10.2</t>
  </si>
  <si>
    <t>Doors, Gates and Windows</t>
  </si>
  <si>
    <t>2.3.43</t>
  </si>
  <si>
    <t>Loading Docks</t>
  </si>
  <si>
    <t>A10.3</t>
  </si>
  <si>
    <t>2.3.5</t>
  </si>
  <si>
    <t>Superstructure Sub-Contract Preliminaries</t>
  </si>
  <si>
    <t>A10.4</t>
  </si>
  <si>
    <t>Van Parking Deck: Superstructure</t>
  </si>
  <si>
    <t>Fit-Out</t>
  </si>
  <si>
    <t>A10.5</t>
  </si>
  <si>
    <t>4.0 - Fit-Out</t>
  </si>
  <si>
    <t>2.4.1</t>
  </si>
  <si>
    <t>Segregation</t>
  </si>
  <si>
    <t>A10.P</t>
  </si>
  <si>
    <t>2.4.2</t>
  </si>
  <si>
    <t>Walls &amp; Partition</t>
  </si>
  <si>
    <t>Walls &amp; Partitions</t>
  </si>
  <si>
    <t>A11.10</t>
  </si>
  <si>
    <t>2.4.3</t>
  </si>
  <si>
    <t>A11.2</t>
  </si>
  <si>
    <t>2.4.4</t>
  </si>
  <si>
    <t>Internal Doors</t>
  </si>
  <si>
    <t>A11.3</t>
  </si>
  <si>
    <t>2.4.5</t>
  </si>
  <si>
    <t>Internal Windows</t>
  </si>
  <si>
    <t>A11.4</t>
  </si>
  <si>
    <t>Quality Control Testing  (Soil, Concrete, Steel, 3PQA, etc.)</t>
  </si>
  <si>
    <t>2.4.6</t>
  </si>
  <si>
    <t>Signage</t>
  </si>
  <si>
    <t>A11.5</t>
  </si>
  <si>
    <t>2.4.7</t>
  </si>
  <si>
    <t>Corner and Wall Protection</t>
  </si>
  <si>
    <t>2.4.8</t>
  </si>
  <si>
    <t>WC fittings</t>
  </si>
  <si>
    <t>A11.7</t>
  </si>
  <si>
    <t>2.4.9</t>
  </si>
  <si>
    <t>Furniture / Equipment (Excluding Start Up Budget)</t>
  </si>
  <si>
    <t>A11.8</t>
  </si>
  <si>
    <t>2.4.10</t>
  </si>
  <si>
    <t>Fire Safety</t>
  </si>
  <si>
    <t>A11.9</t>
  </si>
  <si>
    <t>2.4.11</t>
  </si>
  <si>
    <t>2.4.12</t>
  </si>
  <si>
    <t>Fit-Out Sub-Contract Preliminaries</t>
  </si>
  <si>
    <t xml:space="preserve">Van Parking Deck: Fit-Out </t>
  </si>
  <si>
    <t>Special equipment</t>
  </si>
  <si>
    <t>5.0 - Special Equipment</t>
  </si>
  <si>
    <t>2.5.1</t>
  </si>
  <si>
    <t>Special Equipment</t>
  </si>
  <si>
    <t>A12.2</t>
  </si>
  <si>
    <t>2.5.2</t>
  </si>
  <si>
    <t>Special Equipment Sub-Contract Preliminaries</t>
  </si>
  <si>
    <t>Mechanical</t>
  </si>
  <si>
    <t>6.0 - Mechanical</t>
  </si>
  <si>
    <t>2.6.1</t>
  </si>
  <si>
    <t>Statutory Services and Connections</t>
  </si>
  <si>
    <t>2.6.2</t>
  </si>
  <si>
    <t>Water Supply / Distribution</t>
  </si>
  <si>
    <t>2.6.3</t>
  </si>
  <si>
    <t>Gas Supply / Distribution</t>
  </si>
  <si>
    <t>2.6.4</t>
  </si>
  <si>
    <t>Internal water distribution / equipment installation</t>
  </si>
  <si>
    <t>Utilities prior to Lease Comm not incl in GC Contract</t>
  </si>
  <si>
    <t>2.6.5</t>
  </si>
  <si>
    <t>Internal Gas Distribution</t>
  </si>
  <si>
    <t>2.6.6</t>
  </si>
  <si>
    <t>2.6.7</t>
  </si>
  <si>
    <t>Lifts</t>
  </si>
  <si>
    <t>2.6.8</t>
  </si>
  <si>
    <t>Kitchen</t>
  </si>
  <si>
    <t>2.6.9</t>
  </si>
  <si>
    <t>BMS</t>
  </si>
  <si>
    <t>2.6.10</t>
  </si>
  <si>
    <t>Mechanical Sub-Contract Preliminaries</t>
  </si>
  <si>
    <t>Van Parking Deck: Mechanical</t>
  </si>
  <si>
    <t>7.0 - Electrical</t>
  </si>
  <si>
    <t>2.7.1</t>
  </si>
  <si>
    <t>2.7.2</t>
  </si>
  <si>
    <t>HV Connection</t>
  </si>
  <si>
    <t>2.7.3</t>
  </si>
  <si>
    <t>IT &amp; Telecom</t>
  </si>
  <si>
    <t>2.7.4</t>
  </si>
  <si>
    <t>2.7.5</t>
  </si>
  <si>
    <t>LV Supply / Distribution</t>
  </si>
  <si>
    <t>2.7.6</t>
  </si>
  <si>
    <t>Security</t>
  </si>
  <si>
    <t>2.7.7</t>
  </si>
  <si>
    <t>Others</t>
  </si>
  <si>
    <t>2.7.8</t>
  </si>
  <si>
    <t>Electrical Sub-Contract Preliminaries</t>
  </si>
  <si>
    <t>Van Parking Deck: Electrical</t>
  </si>
  <si>
    <t>Sprinklers / Detection</t>
  </si>
  <si>
    <t>8.0 - Sprinklers / Detection</t>
  </si>
  <si>
    <t>2.8.1</t>
  </si>
  <si>
    <t>Sprinkler System</t>
  </si>
  <si>
    <t>2.8.2</t>
  </si>
  <si>
    <t>Fire &amp; smoke detection</t>
  </si>
  <si>
    <t>2.8.3</t>
  </si>
  <si>
    <t>Sprinklers / Detection Sub-Contract Preliminaries</t>
  </si>
  <si>
    <t>Van Parking Deck: Sprinklers / Detection</t>
  </si>
  <si>
    <t>Detached buildings</t>
  </si>
  <si>
    <t>9.0 - Detached Buildings</t>
  </si>
  <si>
    <t>2.9.1</t>
  </si>
  <si>
    <t>Detached Buildings</t>
  </si>
  <si>
    <t>2.9.2</t>
  </si>
  <si>
    <t>Detached buildings Sub-Contract Preliminaries</t>
  </si>
  <si>
    <t>Van Parking Deck: Detached Buildings</t>
  </si>
  <si>
    <t>2.10</t>
  </si>
  <si>
    <t>Site and External Works</t>
  </si>
  <si>
    <t>10.0 - Site and External Works</t>
  </si>
  <si>
    <t>2.11.1</t>
  </si>
  <si>
    <t>Access Roads, Parking and footpaths</t>
  </si>
  <si>
    <t>Access Roads, Associate Parking and footpaths</t>
  </si>
  <si>
    <t>2.11.2</t>
  </si>
  <si>
    <t>Drainage</t>
  </si>
  <si>
    <t>2.11.3</t>
  </si>
  <si>
    <t>Landscaping, Small Architecture and Street Furniture</t>
  </si>
  <si>
    <t>2.11.4</t>
  </si>
  <si>
    <t>Gates &amp; Fencing</t>
  </si>
  <si>
    <t>2.11.5</t>
  </si>
  <si>
    <t>Van Parking at Grade (Total Cost)</t>
  </si>
  <si>
    <t>2.11.6</t>
  </si>
  <si>
    <t>Site and External Works Sub-Contract Preliminaries</t>
  </si>
  <si>
    <t>Van Parking Deck: Site and External Works</t>
  </si>
  <si>
    <t>GC OH&amp;P and Prelims</t>
  </si>
  <si>
    <t>11.0 - GC OH&amp;P and Prelims</t>
  </si>
  <si>
    <t>2.12.1</t>
  </si>
  <si>
    <t>Site Management</t>
  </si>
  <si>
    <t>2.12.2</t>
  </si>
  <si>
    <t>Preperation</t>
  </si>
  <si>
    <t>2.12.3</t>
  </si>
  <si>
    <t>General Site Labour</t>
  </si>
  <si>
    <t>2.12.4</t>
  </si>
  <si>
    <t xml:space="preserve">Temporary utilities for construction </t>
  </si>
  <si>
    <t>2.12.5</t>
  </si>
  <si>
    <t>Site Facilities</t>
  </si>
  <si>
    <t>2.12.6</t>
  </si>
  <si>
    <t>Site services</t>
  </si>
  <si>
    <t>2.12.7</t>
  </si>
  <si>
    <t>Cleaning &amp; Protection</t>
  </si>
  <si>
    <t>2.12.8</t>
  </si>
  <si>
    <t>2.12.9</t>
  </si>
  <si>
    <t>Drawings/Photos/CDM</t>
  </si>
  <si>
    <t>2.12.11</t>
  </si>
  <si>
    <t>Other</t>
  </si>
  <si>
    <t>2.12.12</t>
  </si>
  <si>
    <t>Overheads &amp; Profit</t>
  </si>
  <si>
    <t>GC Design and project team fees</t>
  </si>
  <si>
    <t>12.0 - Design and Project Team</t>
  </si>
  <si>
    <t xml:space="preserve">Amazon Specified Consultants </t>
  </si>
  <si>
    <t>Consultants</t>
  </si>
  <si>
    <t>GC Design team fees</t>
  </si>
  <si>
    <t>GC Fees</t>
  </si>
  <si>
    <t>Surveys</t>
  </si>
  <si>
    <t>Contingency</t>
  </si>
  <si>
    <t>Developer Legal and Planning Fees</t>
  </si>
  <si>
    <t>Legal and Planning Fees</t>
  </si>
  <si>
    <t>2.13</t>
  </si>
  <si>
    <t>Taxes on construction costs and Fees (if applicable)</t>
  </si>
  <si>
    <t>Developer Fees</t>
  </si>
  <si>
    <t>2.14</t>
  </si>
  <si>
    <t>GC Contingency</t>
  </si>
  <si>
    <t xml:space="preserve">Total Scheme Cost </t>
  </si>
  <si>
    <t>2.15</t>
  </si>
  <si>
    <t>Provisional Sums (including AMZ)</t>
  </si>
  <si>
    <t>2.0</t>
  </si>
  <si>
    <t>Tot GC Costs</t>
  </si>
  <si>
    <t xml:space="preserve">Risks &amp; Opportunities </t>
  </si>
  <si>
    <t>Change Order Contingency - Rentalised</t>
  </si>
  <si>
    <t>Change Order Contingency - CAPEX</t>
  </si>
  <si>
    <t>3.0</t>
  </si>
  <si>
    <t>Total Risks &amp; Opportunity</t>
  </si>
  <si>
    <t>Developer Costs</t>
  </si>
  <si>
    <t>Construction Site Management</t>
  </si>
  <si>
    <t>Architectural [CEU]</t>
  </si>
  <si>
    <t>Planning and Permitting</t>
  </si>
  <si>
    <t>Engineering (QS, Structural, M&amp;E, Fire, Others) [CEU]</t>
  </si>
  <si>
    <t>Taxes</t>
  </si>
  <si>
    <t>Commercial</t>
  </si>
  <si>
    <t>Legal Fees</t>
  </si>
  <si>
    <t>Environmental Certification (e.g. BREEAM) [CEU]</t>
  </si>
  <si>
    <t>Surveys (EDD, SDD, noise, traffic)</t>
  </si>
  <si>
    <t>Other Soft Costs</t>
  </si>
  <si>
    <t>PreConstruction Design Team (if not DBB)</t>
  </si>
  <si>
    <t>Developer Hard Costs</t>
  </si>
  <si>
    <t>4.13.1</t>
  </si>
  <si>
    <t>Office Works</t>
  </si>
  <si>
    <t>4.13.2</t>
  </si>
  <si>
    <t>Utility Upgrades</t>
  </si>
  <si>
    <t>4.13.3</t>
  </si>
  <si>
    <t>Demolition / Facilitating Works</t>
  </si>
  <si>
    <t>4.13.4</t>
  </si>
  <si>
    <t>4.0</t>
  </si>
  <si>
    <t>Tot Developer Costs</t>
  </si>
  <si>
    <t>Finance Costs</t>
  </si>
  <si>
    <t>Interest rate %</t>
  </si>
  <si>
    <t>5.0</t>
  </si>
  <si>
    <t>TOT Finance Costs</t>
  </si>
  <si>
    <t>Development Fees</t>
  </si>
  <si>
    <t>Developer Fee %</t>
  </si>
  <si>
    <t>Development Management Fee (if applicable)</t>
  </si>
  <si>
    <t>6.0</t>
  </si>
  <si>
    <t>TOT Development Fees</t>
  </si>
  <si>
    <t>Total Project Development Costs</t>
  </si>
  <si>
    <t>Amazon Contribution</t>
  </si>
  <si>
    <t>CHO - CAPEX (from line 3.2)</t>
  </si>
  <si>
    <t>Total Amazon Contribution (CAPEX)</t>
  </si>
  <si>
    <t>Funding per Rent</t>
  </si>
  <si>
    <t>Rent</t>
  </si>
  <si>
    <t>Yield (gross)</t>
  </si>
  <si>
    <t>7.0</t>
  </si>
  <si>
    <t>Yearly Rent</t>
  </si>
  <si>
    <t>Amazon Fees</t>
  </si>
  <si>
    <t>PM CM</t>
  </si>
  <si>
    <t>DD Reports &amp; Surveys</t>
  </si>
  <si>
    <t>Design IT &amp; LP</t>
  </si>
  <si>
    <t>Licenses</t>
  </si>
  <si>
    <t>Shadow Design Team (including Architect)</t>
  </si>
  <si>
    <t>H&amp;S</t>
  </si>
  <si>
    <t>PreConstruction Design Team (If DBB)</t>
  </si>
  <si>
    <t>Fee / Taxes</t>
  </si>
  <si>
    <t>8.0</t>
  </si>
  <si>
    <t>TOT Amazon Fees</t>
  </si>
  <si>
    <t>Status</t>
  </si>
  <si>
    <t>Provisional Sums In Approved Variations</t>
  </si>
  <si>
    <t>Approved</t>
  </si>
  <si>
    <t>Project Cash Flow</t>
  </si>
  <si>
    <t>Baseline Cashflow</t>
  </si>
  <si>
    <t>Monthly</t>
  </si>
  <si>
    <t>Country Manager</t>
  </si>
  <si>
    <t>&lt;Select&gt;</t>
  </si>
  <si>
    <t>Amazon Construction Manager</t>
  </si>
  <si>
    <t>Actual Spend</t>
  </si>
  <si>
    <t>In-Scope</t>
  </si>
  <si>
    <t>Cost Manager</t>
  </si>
  <si>
    <t>Updated Forecast</t>
  </si>
  <si>
    <t>Out of Scope</t>
  </si>
  <si>
    <t>Risk Budget</t>
  </si>
  <si>
    <t>Date of Summary</t>
  </si>
  <si>
    <t>Amazon CAPEX Spent</t>
  </si>
  <si>
    <t>Site Code</t>
  </si>
  <si>
    <t>Developer Spend</t>
  </si>
  <si>
    <t>Project Type</t>
  </si>
  <si>
    <t xml:space="preserve">Project Description: </t>
  </si>
  <si>
    <t>Table Summary</t>
  </si>
  <si>
    <t>Summary of Changes:</t>
  </si>
  <si>
    <t>No.</t>
  </si>
  <si>
    <t>Date of Insertion:</t>
  </si>
  <si>
    <t>GC Reference number</t>
  </si>
  <si>
    <t>Amazon Log in:</t>
  </si>
  <si>
    <t>Amazon Variation Approval Ref:</t>
  </si>
  <si>
    <t>Variation Approval Date:</t>
  </si>
  <si>
    <t>Applicable CAR Number:</t>
  </si>
  <si>
    <t>DCI</t>
  </si>
  <si>
    <t>Short Name</t>
  </si>
  <si>
    <t>Short Description</t>
  </si>
  <si>
    <t>Lev 2 Code</t>
  </si>
  <si>
    <t>Area Code (W/O/Z/P)</t>
  </si>
  <si>
    <t>Lev 1 Code</t>
  </si>
  <si>
    <t>CSI CODE</t>
  </si>
  <si>
    <t>EMEA CODE</t>
  </si>
  <si>
    <t>In-Scope / Out of Scope</t>
  </si>
  <si>
    <t>Root Cause of the Change</t>
  </si>
  <si>
    <t>Change Amount</t>
  </si>
  <si>
    <t>Estimate or Firm Cost?</t>
  </si>
  <si>
    <t>Risk Budget Used</t>
  </si>
  <si>
    <t>Approved Cost</t>
  </si>
  <si>
    <t>Anticipated Cost</t>
  </si>
  <si>
    <t>Risk / Opportunity</t>
  </si>
  <si>
    <t>Rejected / Closed</t>
  </si>
  <si>
    <t>.</t>
  </si>
  <si>
    <t>Root Cause</t>
  </si>
  <si>
    <t>Definition</t>
  </si>
  <si>
    <t>POR</t>
  </si>
  <si>
    <t>Plan of Record Changes</t>
  </si>
  <si>
    <t>Variations which change the operational capacity of the main warehouse. E.G. Increasing mezzanine from 80% to a W2W type</t>
  </si>
  <si>
    <t>Programme</t>
  </si>
  <si>
    <t>Programme Costs</t>
  </si>
  <si>
    <t>Adjustments to the Plan of Record dates including early access adjustments which will have a cost impact. E.G. Acceleration costs by GC</t>
  </si>
  <si>
    <t>Claims</t>
  </si>
  <si>
    <t>Claims Management</t>
  </si>
  <si>
    <t>GC Claims for additional cost due to prolongation of programme that could relate to variations having an impact of time E.G. Volume or complexity</t>
  </si>
  <si>
    <t>LP+IT</t>
  </si>
  <si>
    <t>Loss Prevention + IT</t>
  </si>
  <si>
    <t>Additional requirements such as installing second fibre lines or increasing the supplies required for the site</t>
  </si>
  <si>
    <t>Statutory</t>
  </si>
  <si>
    <t>Statutory Changes</t>
  </si>
  <si>
    <t>In-country legislation that is mandatory not captured in model design. E.G. Natural Sunlight Requirements and Local Fire Code Requirements</t>
  </si>
  <si>
    <t>HR</t>
  </si>
  <si>
    <t>Human Resource</t>
  </si>
  <si>
    <t>Office Layout changes such as layout adjustments to the Offices (country specific), or the inclusion of additional rooms</t>
  </si>
  <si>
    <t>WWD</t>
  </si>
  <si>
    <t>World Wide Design</t>
  </si>
  <si>
    <t>Includes Design Change Instructions and template enhancements / development</t>
  </si>
  <si>
    <t>AR</t>
  </si>
  <si>
    <t>Amazon Robotics (AR)</t>
  </si>
  <si>
    <t>Change required to facilitate AR such as additional power and data drops, level floor installation</t>
  </si>
  <si>
    <t>Material Handling Equipment - Change of Operational Layout</t>
  </si>
  <si>
    <t>Engineering Changes - E.G. Additional Penetrations or builders work required to facilitate the MHE or Storage installation</t>
  </si>
  <si>
    <t>Start-Up</t>
  </si>
  <si>
    <t>Material Handling Equipment - New Requirements</t>
  </si>
  <si>
    <t>Engineering Changes - E.G. Sprinklers or Additional Lighting under Conveyors</t>
  </si>
  <si>
    <t>General Contractor</t>
  </si>
  <si>
    <t>Additional Claims by GC for changes to specification (not captured in any of the above) that may result in either additional costs or savings</t>
  </si>
  <si>
    <t>Prov. Sums</t>
  </si>
  <si>
    <t>Provisional Sums to Contract</t>
  </si>
  <si>
    <t>This is the conversion of Provisional Sums to actual amounts for the Variation and could be either additional or a saving</t>
  </si>
  <si>
    <t>Health &amp; Safety</t>
  </si>
  <si>
    <t>Changes to improve safety of the project</t>
  </si>
  <si>
    <t>Operations</t>
  </si>
  <si>
    <t>Changes requested by the local or country Ops Team LT</t>
  </si>
  <si>
    <t>Open Book</t>
  </si>
  <si>
    <t>Open Book Cost Savings (GMP2 to GMP3)</t>
  </si>
  <si>
    <t>Buy Out Savings from GC Contract or Work Package Procurement</t>
  </si>
  <si>
    <t>Elemental Code</t>
  </si>
  <si>
    <t>Element</t>
  </si>
  <si>
    <t>Area Code</t>
  </si>
  <si>
    <t>Description</t>
  </si>
  <si>
    <t>W</t>
  </si>
  <si>
    <t>Warehouse</t>
  </si>
  <si>
    <t>O</t>
  </si>
  <si>
    <t>Office</t>
  </si>
  <si>
    <t>Z</t>
  </si>
  <si>
    <t>Externals</t>
  </si>
  <si>
    <t>P</t>
  </si>
  <si>
    <t>OV Parking</t>
  </si>
  <si>
    <t>Lev2 Code</t>
  </si>
  <si>
    <t>Site Preparation Sub-Contract Preliminaries</t>
  </si>
  <si>
    <t>Frame</t>
  </si>
  <si>
    <t>Stairs</t>
  </si>
  <si>
    <t>Detached Buildings Sub-Contract Preliminaries</t>
  </si>
  <si>
    <t>Hide/Unhide Unused CAR columns as required</t>
  </si>
  <si>
    <t>PO Tracker</t>
  </si>
  <si>
    <r>
      <t xml:space="preserve">Real Estate / D&amp;C CARs 
</t>
    </r>
    <r>
      <rPr>
        <sz val="11"/>
        <color theme="1"/>
        <rFont val="Calibri"/>
        <family val="2"/>
        <scheme val="minor"/>
      </rPr>
      <t>(Insert CAR Number and Value below)</t>
    </r>
  </si>
  <si>
    <r>
      <t xml:space="preserve">Other CARs
</t>
    </r>
    <r>
      <rPr>
        <sz val="11"/>
        <color theme="1"/>
        <rFont val="Calibri"/>
        <family val="2"/>
        <scheme val="minor"/>
      </rPr>
      <t>(Insert CAR Number and Value below)</t>
    </r>
  </si>
  <si>
    <t xml:space="preserve">Real Estate </t>
  </si>
  <si>
    <t>TDD</t>
  </si>
  <si>
    <t>Consultancy</t>
  </si>
  <si>
    <t>Construction</t>
  </si>
  <si>
    <t>Supplemental</t>
  </si>
  <si>
    <t>SU</t>
  </si>
  <si>
    <t>Storage</t>
  </si>
  <si>
    <t>CAR Value Total</t>
  </si>
  <si>
    <t>Variance
(PO-CAR)</t>
  </si>
  <si>
    <t>Service</t>
  </si>
  <si>
    <t>Total Cost</t>
  </si>
  <si>
    <t>Cost Tracking (All Tracked Approved CARs)</t>
  </si>
  <si>
    <t>Respective CAR Number</t>
  </si>
  <si>
    <t>Purchase Order Number</t>
  </si>
  <si>
    <r>
      <rPr>
        <b/>
        <u/>
        <sz val="11"/>
        <color theme="0"/>
        <rFont val="Arial"/>
        <family val="2"/>
      </rPr>
      <t>Fees &amp; Surveys</t>
    </r>
  </si>
  <si>
    <t>x</t>
  </si>
  <si>
    <r>
      <rPr>
        <b/>
        <u/>
        <sz val="11"/>
        <rFont val="Arial"/>
        <family val="2"/>
      </rPr>
      <t>Fees &amp; Surveys Sub-Total</t>
    </r>
    <r>
      <rPr>
        <b/>
        <sz val="11"/>
        <rFont val="Arial"/>
        <family val="2"/>
      </rPr>
      <t>:</t>
    </r>
  </si>
  <si>
    <t>Contractors</t>
  </si>
  <si>
    <r>
      <rPr>
        <b/>
        <u/>
        <sz val="11"/>
        <rFont val="Arial"/>
        <family val="2"/>
      </rPr>
      <t>Contractor Sub-Total</t>
    </r>
    <r>
      <rPr>
        <b/>
        <sz val="11"/>
        <rFont val="Arial"/>
        <family val="2"/>
      </rPr>
      <t>:</t>
    </r>
  </si>
  <si>
    <t>Amazon Construction Directs</t>
  </si>
  <si>
    <t>Amazon Construction Directs Sub-Total:</t>
  </si>
  <si>
    <t>Total:</t>
  </si>
  <si>
    <t>Date Submitted</t>
  </si>
  <si>
    <t>Lease</t>
  </si>
  <si>
    <t>Capex</t>
  </si>
  <si>
    <t>Original Budget Details</t>
  </si>
  <si>
    <t>Supplemental CAR Budget</t>
  </si>
  <si>
    <t>Date</t>
  </si>
  <si>
    <t>January</t>
  </si>
  <si>
    <t>March</t>
  </si>
  <si>
    <t>May</t>
  </si>
  <si>
    <t>June</t>
  </si>
  <si>
    <t>July</t>
  </si>
  <si>
    <t>August</t>
  </si>
  <si>
    <t>September</t>
  </si>
  <si>
    <t>October</t>
  </si>
  <si>
    <t>November</t>
  </si>
  <si>
    <t>December</t>
  </si>
  <si>
    <t>Confidence Level</t>
  </si>
  <si>
    <t>Guillermo Portillo</t>
  </si>
  <si>
    <t>Yard Area (sm)</t>
  </si>
  <si>
    <t>Building Size (sm)</t>
  </si>
  <si>
    <t>***All Costs Are Shown in Local Currency***</t>
  </si>
  <si>
    <t>ANTICIPATED CHANGES</t>
  </si>
  <si>
    <t>Espirito Santo</t>
  </si>
  <si>
    <t>Bahia</t>
  </si>
  <si>
    <t xml:space="preserve">Paraná </t>
  </si>
  <si>
    <t>Goiás</t>
  </si>
  <si>
    <t>MEDIUM</t>
  </si>
  <si>
    <t>Tenant Change Order Allowance/Contingency</t>
  </si>
  <si>
    <t>Amazon Contingency (Based on Hard Cost)</t>
  </si>
  <si>
    <t>Due-Diligence</t>
  </si>
  <si>
    <t>Direct Costs</t>
  </si>
  <si>
    <t>Approved Supplementals and Estimated Future Increases</t>
  </si>
  <si>
    <t>Amazon Pre-Construccion rellenara esta hoja Excel vez el CAR sea aprobado.
Durante Construccion, todas las ampliaciones de contrato (Change Orders) deben incluirse en la hoja Excel "Change Order summary" por el GC (constructor) y continuar en ella</t>
  </si>
  <si>
    <t>LCD 01</t>
  </si>
  <si>
    <t>LCD 02</t>
  </si>
  <si>
    <t>LCD 03</t>
  </si>
  <si>
    <t>LCD 04</t>
  </si>
  <si>
    <t>DES 01</t>
  </si>
  <si>
    <t>DES 02</t>
  </si>
  <si>
    <t>DES 03</t>
  </si>
  <si>
    <t>DES 04</t>
  </si>
  <si>
    <t>DES 05</t>
  </si>
  <si>
    <t>DES 06</t>
  </si>
  <si>
    <t>DES 07</t>
  </si>
  <si>
    <t>DES 08</t>
  </si>
  <si>
    <t>DES 09</t>
  </si>
  <si>
    <t>DES 10</t>
  </si>
  <si>
    <t>DES 11</t>
  </si>
  <si>
    <t>DES 12</t>
  </si>
  <si>
    <t>DES 13</t>
  </si>
  <si>
    <t>DES 14</t>
  </si>
  <si>
    <t>MIS</t>
  </si>
  <si>
    <t>DTA</t>
  </si>
  <si>
    <t>GCF</t>
  </si>
  <si>
    <t>DC 01</t>
  </si>
  <si>
    <t>DC 02</t>
  </si>
  <si>
    <t>DC 03</t>
  </si>
  <si>
    <t>DC 04</t>
  </si>
  <si>
    <t>DC 05</t>
  </si>
  <si>
    <t>SC 01</t>
  </si>
  <si>
    <t>SC 02</t>
  </si>
  <si>
    <t>SC 03</t>
  </si>
  <si>
    <t>SC 04</t>
  </si>
  <si>
    <t>SC 05</t>
  </si>
  <si>
    <t>SC 06</t>
  </si>
  <si>
    <t>SC 07</t>
  </si>
  <si>
    <t>FIN 02</t>
  </si>
  <si>
    <t>FIN 01</t>
  </si>
  <si>
    <t>FIN 03</t>
  </si>
  <si>
    <t>INC 00</t>
  </si>
  <si>
    <t>AC 00</t>
  </si>
  <si>
    <t>TAX 00</t>
  </si>
  <si>
    <t>AMZN 01</t>
  </si>
  <si>
    <t>AMZN 02</t>
  </si>
  <si>
    <t>AMZN 03</t>
  </si>
  <si>
    <t>Project Cashflow + Change Control Summary</t>
  </si>
  <si>
    <t>Release: ECCF 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</si>
</sst>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44" formatCode="_(&quot;$&quot;* #,##0.00_);_(&quot;$&quot;* \(#,##0.00\);_(&quot;$&quot;* &quot;-&quot;??_);_(@_)"/>
    <numFmt numFmtId="43" formatCode="_(* #,##0.00_);_(* \(#,##0.00\);_(* &quot;-&quot;??_);_(@_)"/>
    <numFmt numFmtId="164" formatCode="&quot;£&quot;#,##0;[Red]\-&quot;£&quot;#,##0"/>
    <numFmt numFmtId="165" formatCode="&quot;£&quot;#,##0.00;[Red]\-&quot;£&quot;#,##0.00"/>
    <numFmt numFmtId="166" formatCode="_-* #,##0.00_-;\-* #,##0.00_-;_-* &quot;-&quot;??_-;_-@_-"/>
    <numFmt numFmtId="167" formatCode="m/d/yy;@"/>
    <numFmt numFmtId="168" formatCode="_(\ * #,##0_);_(\ * \(#,##0\);_(\ * &quot;-&quot;??_);_(@_)"/>
    <numFmt numFmtId="169" formatCode="_-* #,##0.00\ _€_-;\-* #,##0.00\ _€_-;_-* &quot;-&quot;??\ _€_-;_-@_-"/>
    <numFmt numFmtId="170" formatCode="_-* #,##0\ _€_-;\-* #,##0\ _€_-;_-* &quot;-&quot;??\ _€_-;_-@_-"/>
    <numFmt numFmtId="171" formatCode="0.0"/>
    <numFmt numFmtId="172" formatCode="dd\ mmm\ \'yy"/>
    <numFmt numFmtId="173" formatCode="[$€-2]\ #,##0"/>
    <numFmt numFmtId="174" formatCode="&quot;£&quot;#,##0.00"/>
    <numFmt numFmtId="175" formatCode="[$€-2]\ #,##0;[Red]\-[$€-2]\ #,##0"/>
    <numFmt numFmtId="176" formatCode="dd/mm/yy;@"/>
    <numFmt numFmtId="177" formatCode="&quot;£&quot;#,##0"/>
    <numFmt numFmtId="178" formatCode="_-* #,##0_-;\-* #,##0_-;_-* &quot;-&quot;??_-;_-@_-"/>
    <numFmt numFmtId="179" formatCode="_(&quot;&quot;* #,##0.00_);_(&quot;&quot;* \(#,##0.00\);_(&quot;&quot;* &quot;-&quot;??_);_(@_)"/>
  </numFmts>
  <fonts count="112">
    <font>
      <sz val="11"/>
      <color theme="1"/>
      <name val="Calibri"/>
      <family val="2"/>
      <scheme val="minor"/>
    </font>
    <font>
      <sz val="11"/>
      <color theme="1"/>
      <name val="Calibri"/>
      <family val="2"/>
      <scheme val="minor"/>
    </font>
    <font>
      <sz val="10"/>
      <color theme="1"/>
      <name val="Arial Narrow"/>
      <family val="2"/>
    </font>
    <font>
      <sz val="9"/>
      <color theme="1"/>
      <name val="Arial Narrow"/>
      <family val="2"/>
    </font>
    <font>
      <b/>
      <sz val="11"/>
      <color theme="0"/>
      <name val="Arial Narrow"/>
      <family val="2"/>
    </font>
    <font>
      <sz val="10"/>
      <name val="Arial"/>
      <family val="2"/>
    </font>
    <font>
      <b/>
      <sz val="10"/>
      <name val="Arial Narrow"/>
      <family val="2"/>
    </font>
    <font>
      <b/>
      <sz val="10"/>
      <color theme="1"/>
      <name val="Arial Narrow"/>
      <family val="2"/>
    </font>
    <font>
      <b/>
      <sz val="11"/>
      <name val="Arial Narrow"/>
      <family val="2"/>
    </font>
    <font>
      <sz val="11"/>
      <color theme="1"/>
      <name val="Arial Narrow"/>
      <family val="2"/>
    </font>
    <font>
      <sz val="10"/>
      <name val="Arial Narrow"/>
      <family val="2"/>
    </font>
    <font>
      <b/>
      <sz val="11"/>
      <color theme="1"/>
      <name val="Arial Narrow"/>
      <family val="2"/>
    </font>
    <font>
      <sz val="10"/>
      <color rgb="FF000000"/>
      <name val="Arial Narrow"/>
      <family val="2"/>
    </font>
    <font>
      <sz val="10"/>
      <color rgb="FF0000FF"/>
      <name val="Arial Narrow"/>
      <family val="2"/>
    </font>
    <font>
      <b/>
      <sz val="10"/>
      <color theme="1"/>
      <name val="Calibri"/>
      <family val="2"/>
      <scheme val="minor"/>
    </font>
    <font>
      <sz val="10"/>
      <color theme="1"/>
      <name val="Calibri"/>
      <family val="2"/>
      <scheme val="minor"/>
    </font>
    <font>
      <b/>
      <sz val="11"/>
      <name val="Calibri"/>
      <family val="2"/>
      <scheme val="minor"/>
    </font>
    <font>
      <sz val="10"/>
      <color rgb="FF008000"/>
      <name val="Arial Narrow"/>
      <family val="2"/>
    </font>
    <font>
      <b/>
      <sz val="11"/>
      <color theme="1"/>
      <name val="Calibri"/>
      <family val="2"/>
      <scheme val="minor"/>
    </font>
    <font>
      <u/>
      <sz val="10"/>
      <color indexed="12"/>
      <name val="Arial"/>
      <family val="2"/>
    </font>
    <font>
      <b/>
      <sz val="12"/>
      <color theme="1"/>
      <name val="Calibri"/>
      <family val="2"/>
      <scheme val="minor"/>
    </font>
    <font>
      <sz val="12"/>
      <color theme="1"/>
      <name val="Calibri"/>
      <family val="2"/>
      <scheme val="minor"/>
    </font>
    <font>
      <b/>
      <sz val="9"/>
      <color rgb="FF000000"/>
      <name val="Arial Narrow"/>
      <family val="2"/>
    </font>
    <font>
      <b/>
      <sz val="12"/>
      <name val="Arial Narrow"/>
      <family val="2"/>
    </font>
    <font>
      <b/>
      <i/>
      <sz val="10"/>
      <color theme="1"/>
      <name val="Arial Narrow"/>
      <family val="2"/>
    </font>
    <font>
      <sz val="10"/>
      <color rgb="FF000000"/>
      <name val="Calibri"/>
      <family val="2"/>
    </font>
    <font>
      <b/>
      <sz val="12"/>
      <color theme="1"/>
      <name val="Arial Narrow"/>
      <family val="2"/>
    </font>
    <font>
      <b/>
      <sz val="10"/>
      <color rgb="FF000000"/>
      <name val="Tahoma"/>
      <family val="2"/>
    </font>
    <font>
      <sz val="10"/>
      <color rgb="FF000000"/>
      <name val="Tahoma"/>
      <family val="2"/>
    </font>
    <font>
      <b/>
      <u/>
      <sz val="11"/>
      <color rgb="FF000000"/>
      <name val="Calibri"/>
      <family val="2"/>
    </font>
    <font>
      <sz val="11"/>
      <color rgb="FF000000"/>
      <name val="Calibri"/>
      <family val="2"/>
    </font>
    <font>
      <sz val="11"/>
      <color rgb="FFFF0000"/>
      <name val="Arial Narrow"/>
      <family val="2"/>
    </font>
    <font>
      <sz val="12"/>
      <color theme="1"/>
      <name val="Arial Narrow"/>
      <family val="2"/>
    </font>
    <font>
      <sz val="11"/>
      <name val="Calibri"/>
      <family val="2"/>
      <scheme val="minor"/>
    </font>
    <font>
      <sz val="11"/>
      <name val="Arial Narrow"/>
      <family val="2"/>
    </font>
    <font>
      <b/>
      <sz val="12"/>
      <color rgb="FF000000"/>
      <name val="Segoe UI Semibold"/>
      <family val="2"/>
    </font>
    <font>
      <b/>
      <sz val="16"/>
      <color theme="1"/>
      <name val="Amazon Ember"/>
      <family val="2"/>
    </font>
    <font>
      <b/>
      <sz val="11"/>
      <color theme="1"/>
      <name val="Amazon Ember"/>
      <family val="2"/>
    </font>
    <font>
      <b/>
      <sz val="12"/>
      <color theme="1"/>
      <name val="Amazon Ember"/>
      <family val="2"/>
    </font>
    <font>
      <i/>
      <sz val="10"/>
      <color theme="1"/>
      <name val="Amazon Ember"/>
      <family val="2"/>
    </font>
    <font>
      <i/>
      <sz val="9"/>
      <color theme="1"/>
      <name val="Amazon Ember"/>
      <family val="2"/>
    </font>
    <font>
      <sz val="9"/>
      <color theme="1"/>
      <name val="Amazon Ember"/>
      <family val="2"/>
    </font>
    <font>
      <sz val="11"/>
      <color rgb="FFFF0000"/>
      <name val="Calibri"/>
      <family val="2"/>
      <scheme val="minor"/>
    </font>
    <font>
      <b/>
      <sz val="22"/>
      <name val="Calibri Light"/>
      <family val="2"/>
      <scheme val="major"/>
    </font>
    <font>
      <i/>
      <sz val="10"/>
      <color theme="1"/>
      <name val="Calibri"/>
      <family val="2"/>
      <scheme val="minor"/>
    </font>
    <font>
      <i/>
      <u/>
      <sz val="10"/>
      <color theme="1"/>
      <name val="Calibri"/>
      <family val="2"/>
      <scheme val="minor"/>
    </font>
    <font>
      <b/>
      <sz val="11"/>
      <color rgb="FFFF0000"/>
      <name val="Calibri"/>
      <family val="2"/>
      <scheme val="minor"/>
    </font>
    <font>
      <sz val="11"/>
      <color rgb="FF00B050"/>
      <name val="Calibri"/>
      <family val="2"/>
      <scheme val="minor"/>
    </font>
    <font>
      <u/>
      <sz val="11"/>
      <color theme="10"/>
      <name val="Calibri"/>
      <family val="2"/>
      <scheme val="minor"/>
    </font>
    <font>
      <sz val="11"/>
      <color theme="10"/>
      <name val="Calibri"/>
      <family val="2"/>
      <scheme val="minor"/>
    </font>
    <font>
      <b/>
      <sz val="16"/>
      <color rgb="FF00B0F0"/>
      <name val="Calibri Light"/>
      <family val="2"/>
      <scheme val="major"/>
    </font>
    <font>
      <u/>
      <sz val="10"/>
      <color theme="1"/>
      <name val="Calibri"/>
      <family val="2"/>
      <scheme val="minor"/>
    </font>
    <font>
      <i/>
      <sz val="10"/>
      <color theme="0" tint="-0.34998626667073579"/>
      <name val="Calibri"/>
      <family val="2"/>
      <scheme val="minor"/>
    </font>
    <font>
      <b/>
      <i/>
      <u/>
      <sz val="10"/>
      <color theme="1"/>
      <name val="Calibri"/>
      <family val="2"/>
      <scheme val="minor"/>
    </font>
    <font>
      <b/>
      <i/>
      <sz val="10"/>
      <color theme="0" tint="-0.34998626667073579"/>
      <name val="Calibri"/>
      <family val="2"/>
      <scheme val="minor"/>
    </font>
    <font>
      <b/>
      <i/>
      <sz val="10"/>
      <color theme="1"/>
      <name val="Calibri"/>
      <family val="2"/>
      <scheme val="minor"/>
    </font>
    <font>
      <b/>
      <sz val="16"/>
      <name val="Calibri Light"/>
      <family val="2"/>
      <scheme val="major"/>
    </font>
    <font>
      <b/>
      <u/>
      <sz val="16"/>
      <name val="Calibri Light"/>
      <family val="2"/>
      <scheme val="major"/>
    </font>
    <font>
      <i/>
      <sz val="11"/>
      <color theme="1"/>
      <name val="Calibri"/>
      <family val="2"/>
      <scheme val="minor"/>
    </font>
    <font>
      <b/>
      <sz val="12"/>
      <color theme="1"/>
      <name val="Calibri Light"/>
      <family val="2"/>
      <scheme val="major"/>
    </font>
    <font>
      <u/>
      <sz val="11"/>
      <color rgb="FFFF0000"/>
      <name val="Calibri"/>
      <family val="2"/>
      <scheme val="minor"/>
    </font>
    <font>
      <b/>
      <u/>
      <sz val="11"/>
      <color rgb="FFFF0000"/>
      <name val="Calibri"/>
      <family val="2"/>
      <scheme val="minor"/>
    </font>
    <font>
      <b/>
      <u/>
      <sz val="11"/>
      <color theme="1"/>
      <name val="Calibri"/>
      <family val="2"/>
      <scheme val="minor"/>
    </font>
    <font>
      <b/>
      <sz val="9"/>
      <color indexed="81"/>
      <name val="Tahoma"/>
      <family val="2"/>
    </font>
    <font>
      <sz val="9"/>
      <color indexed="81"/>
      <name val="Tahoma"/>
      <family val="2"/>
    </font>
    <font>
      <b/>
      <sz val="11"/>
      <color theme="0"/>
      <name val="Calibri"/>
      <family val="2"/>
      <scheme val="minor"/>
    </font>
    <font>
      <sz val="11"/>
      <color theme="0"/>
      <name val="Calibri"/>
      <family val="2"/>
      <scheme val="minor"/>
    </font>
    <font>
      <b/>
      <i/>
      <sz val="11"/>
      <color rgb="FF000000"/>
      <name val="Arial"/>
      <family val="2"/>
    </font>
    <font>
      <b/>
      <sz val="12"/>
      <color theme="0"/>
      <name val="Arial Narrow"/>
      <family val="2"/>
    </font>
    <font>
      <i/>
      <sz val="11"/>
      <color theme="2" tint="-0.249977111117893"/>
      <name val="Calibri"/>
      <family val="2"/>
      <scheme val="minor"/>
    </font>
    <font>
      <b/>
      <sz val="12"/>
      <color theme="1"/>
      <name val="Calibri"/>
      <family val="2"/>
    </font>
    <font>
      <b/>
      <sz val="11"/>
      <color rgb="FF000000"/>
      <name val="Arial"/>
      <family val="2"/>
    </font>
    <font>
      <sz val="11"/>
      <color rgb="FF000000"/>
      <name val="Arial"/>
      <family val="2"/>
    </font>
    <font>
      <sz val="11"/>
      <name val="Arial"/>
      <family val="2"/>
    </font>
    <font>
      <sz val="16"/>
      <color rgb="FF000000"/>
      <name val="Calibri"/>
      <family val="2"/>
    </font>
    <font>
      <b/>
      <sz val="36"/>
      <name val="Calibri"/>
      <family val="2"/>
      <scheme val="minor"/>
    </font>
    <font>
      <b/>
      <sz val="20"/>
      <name val="Calibri"/>
      <family val="2"/>
      <scheme val="minor"/>
    </font>
    <font>
      <b/>
      <sz val="36"/>
      <color theme="1"/>
      <name val="Calibri"/>
      <family val="2"/>
      <scheme val="minor"/>
    </font>
    <font>
      <b/>
      <sz val="16"/>
      <color theme="1"/>
      <name val="Calibri"/>
      <family val="2"/>
      <scheme val="minor"/>
    </font>
    <font>
      <b/>
      <sz val="20"/>
      <color theme="0"/>
      <name val="Calibri"/>
      <family val="2"/>
      <scheme val="minor"/>
    </font>
    <font>
      <b/>
      <u/>
      <sz val="12"/>
      <color theme="1"/>
      <name val="Calibri"/>
      <family val="2"/>
      <scheme val="minor"/>
    </font>
    <font>
      <b/>
      <u/>
      <sz val="16"/>
      <name val="Calibri"/>
      <family val="2"/>
      <scheme val="minor"/>
    </font>
    <font>
      <b/>
      <u/>
      <sz val="16"/>
      <color theme="1"/>
      <name val="Calibri"/>
      <family val="2"/>
      <scheme val="minor"/>
    </font>
    <font>
      <sz val="16"/>
      <color theme="1"/>
      <name val="Calibri"/>
      <family val="2"/>
      <scheme val="minor"/>
    </font>
    <font>
      <b/>
      <sz val="11"/>
      <color theme="1"/>
      <name val="Trebuchet MS"/>
      <family val="2"/>
    </font>
    <font>
      <sz val="11"/>
      <color theme="1"/>
      <name val="Trebuchet MS"/>
      <family val="2"/>
    </font>
    <font>
      <sz val="11"/>
      <name val="CG Omega"/>
      <family val="2"/>
    </font>
    <font>
      <b/>
      <sz val="11"/>
      <name val="Trebuchet MS"/>
      <family val="2"/>
    </font>
    <font>
      <sz val="11"/>
      <name val="Trebuchet MS"/>
      <family val="2"/>
    </font>
    <font>
      <sz val="11"/>
      <color theme="0" tint="-0.34998626667073579"/>
      <name val="Calibri"/>
      <family val="2"/>
      <scheme val="minor"/>
    </font>
    <font>
      <b/>
      <sz val="20"/>
      <color theme="1"/>
      <name val="Calibri"/>
      <family val="2"/>
      <scheme val="minor"/>
    </font>
    <font>
      <sz val="20"/>
      <color theme="1"/>
      <name val="Calibri"/>
      <family val="2"/>
      <scheme val="minor"/>
    </font>
    <font>
      <b/>
      <sz val="16"/>
      <color rgb="FF000000"/>
      <name val="Arial"/>
      <family val="2"/>
    </font>
    <font>
      <sz val="16"/>
      <color rgb="FF000000"/>
      <name val="Arial"/>
      <family val="2"/>
    </font>
    <font>
      <b/>
      <sz val="11"/>
      <name val="Calibri"/>
      <family val="2"/>
    </font>
    <font>
      <sz val="11"/>
      <color theme="0" tint="-0.249977111117893"/>
      <name val="Calibri"/>
      <family val="2"/>
      <scheme val="minor"/>
    </font>
    <font>
      <b/>
      <sz val="11"/>
      <color theme="0"/>
      <name val="Arial"/>
      <family val="2"/>
    </font>
    <font>
      <b/>
      <u/>
      <sz val="11"/>
      <color theme="0"/>
      <name val="Arial"/>
      <family val="2"/>
    </font>
    <font>
      <sz val="11"/>
      <color rgb="FF0070C0"/>
      <name val="Calibri"/>
      <family val="2"/>
      <scheme val="minor"/>
    </font>
    <font>
      <b/>
      <sz val="11"/>
      <name val="Arial"/>
      <family val="2"/>
    </font>
    <font>
      <b/>
      <u/>
      <sz val="11"/>
      <name val="Arial"/>
      <family val="2"/>
    </font>
    <font>
      <b/>
      <sz val="18"/>
      <name val="Calibri"/>
      <family val="2"/>
    </font>
    <font>
      <b/>
      <sz val="14"/>
      <name val="Calibri"/>
      <family val="2"/>
    </font>
    <font>
      <b/>
      <sz val="14"/>
      <color rgb="FF000000"/>
      <name val="Calibri"/>
      <family val="2"/>
    </font>
    <font>
      <b/>
      <sz val="14"/>
      <color theme="1"/>
      <name val="Calibri"/>
      <family val="2"/>
      <scheme val="minor"/>
    </font>
    <font>
      <b/>
      <sz val="11"/>
      <color rgb="FF000000"/>
      <name val="Calibri"/>
      <family val="2"/>
      <scheme val="minor"/>
    </font>
    <font>
      <sz val="11"/>
      <color theme="0"/>
      <name val="Arial Narrow"/>
      <family val="2"/>
    </font>
    <font>
      <sz val="10"/>
      <color rgb="FFFF0000"/>
      <name val="Arial Narrow"/>
      <family val="2"/>
    </font>
    <font>
      <b/>
      <sz val="11"/>
      <color theme="0"/>
      <name val="Trebuchet MS"/>
      <family val="2"/>
    </font>
    <font>
      <sz val="11"/>
      <color theme="0"/>
      <name val="Trebuchet MS"/>
      <family val="2"/>
    </font>
    <font>
      <b/>
      <sz val="11"/>
      <color theme="5" tint="0.59999389629810485"/>
      <name val="Trebuchet MS"/>
      <family val="2"/>
    </font>
    <font>
      <sz val="11"/>
      <color theme="0" tint="-4.9989318521683403E-2"/>
      <name val="Trebuchet MS"/>
      <family val="2"/>
    </font>
  </fonts>
  <fills count="30">
    <fill>
      <patternFill patternType="none"/>
    </fill>
    <fill>
      <patternFill patternType="gray125"/>
    </fill>
    <fill>
      <patternFill patternType="solid">
        <fgColor theme="0" tint="-0.249977111117893"/>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7E7"/>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rgb="FFFFF2CC"/>
        <bgColor indexed="64"/>
      </patternFill>
    </fill>
    <fill>
      <patternFill patternType="solid">
        <fgColor theme="4" tint="0.59999389629810485"/>
        <bgColor indexed="64"/>
      </patternFill>
    </fill>
    <fill>
      <patternFill patternType="solid">
        <fgColor rgb="FFBDD7EE"/>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6337778862885"/>
        <bgColor indexed="64"/>
      </patternFill>
    </fill>
    <fill>
      <patternFill patternType="solid">
        <fgColor theme="5" tint="0.59999389629810485"/>
        <bgColor indexed="64"/>
      </patternFill>
    </fill>
    <fill>
      <patternFill patternType="solid">
        <fgColor rgb="FF0070C0"/>
        <bgColor indexed="64"/>
      </patternFill>
    </fill>
    <fill>
      <patternFill patternType="solid">
        <fgColor theme="0" tint="-0.14999847407452621"/>
        <bgColor indexed="64"/>
      </patternFill>
    </fill>
    <fill>
      <patternFill patternType="solid">
        <fgColor rgb="FFFBEDD9"/>
        <bgColor indexed="64"/>
      </patternFill>
    </fill>
    <fill>
      <patternFill patternType="solid">
        <fgColor rgb="FFFDEADF"/>
        <bgColor indexed="64"/>
      </patternFill>
    </fill>
    <fill>
      <patternFill patternType="solid">
        <fgColor theme="7"/>
        <bgColor indexed="64"/>
      </patternFill>
    </fill>
    <fill>
      <patternFill patternType="solid">
        <fgColor theme="5"/>
        <bgColor indexed="64"/>
      </patternFill>
    </fill>
    <fill>
      <patternFill patternType="solid">
        <fgColor indexed="65"/>
        <bgColor indexed="64"/>
      </patternFill>
    </fill>
    <fill>
      <patternFill patternType="solid">
        <fgColor theme="5" tint="0.39997558519241921"/>
        <bgColor indexed="64"/>
      </patternFill>
    </fill>
    <fill>
      <patternFill patternType="solid">
        <fgColor theme="8" tint="0.59999389629810485"/>
        <bgColor indexed="64"/>
      </patternFill>
    </fill>
    <fill>
      <patternFill patternType="lightDown">
        <fgColor theme="0" tint="-0.14996795556505021"/>
        <bgColor theme="0" tint="-4.9989318521683403E-2"/>
      </patternFill>
    </fill>
  </fills>
  <borders count="142">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hair">
        <color auto="1"/>
      </right>
      <top/>
      <bottom/>
      <diagonal/>
    </border>
    <border>
      <left style="hair">
        <color auto="1"/>
      </left>
      <right style="hair">
        <color auto="1"/>
      </right>
      <top/>
      <bottom/>
      <diagonal/>
    </border>
    <border>
      <left/>
      <right style="medium">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hair">
        <color auto="1"/>
      </left>
      <right style="medium">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right/>
      <top style="thin">
        <color indexed="64"/>
      </top>
      <bottom style="thin">
        <color indexed="64"/>
      </bottom>
      <diagonal/>
    </border>
    <border>
      <left style="medium">
        <color auto="1"/>
      </left>
      <right/>
      <top style="medium">
        <color auto="1"/>
      </top>
      <bottom/>
      <diagonal/>
    </border>
    <border>
      <left/>
      <right style="medium">
        <color indexed="64"/>
      </right>
      <top style="medium">
        <color indexed="64"/>
      </top>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thin">
        <color auto="1"/>
      </bottom>
      <diagonal/>
    </border>
    <border>
      <left/>
      <right style="medium">
        <color auto="1"/>
      </right>
      <top style="thin">
        <color auto="1"/>
      </top>
      <bottom style="thin">
        <color auto="1"/>
      </bottom>
      <diagonal/>
    </border>
    <border>
      <left/>
      <right/>
      <top style="medium">
        <color auto="1"/>
      </top>
      <bottom style="thin">
        <color indexed="64"/>
      </bottom>
      <diagonal/>
    </border>
    <border>
      <left/>
      <right style="medium">
        <color indexed="64"/>
      </right>
      <top style="medium">
        <color auto="1"/>
      </top>
      <bottom style="thin">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indexed="64"/>
      </right>
      <top style="thin">
        <color auto="1"/>
      </top>
      <bottom style="medium">
        <color indexed="64"/>
      </bottom>
      <diagonal/>
    </border>
    <border>
      <left style="hair">
        <color auto="1"/>
      </left>
      <right/>
      <top/>
      <bottom/>
      <diagonal/>
    </border>
    <border>
      <left/>
      <right style="hair">
        <color auto="1"/>
      </right>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medium">
        <color indexed="64"/>
      </right>
      <top style="medium">
        <color auto="1"/>
      </top>
      <bottom style="thin">
        <color auto="1"/>
      </bottom>
      <diagonal/>
    </border>
    <border>
      <left style="medium">
        <color auto="1"/>
      </left>
      <right style="medium">
        <color indexed="64"/>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right/>
      <top/>
      <bottom style="double">
        <color auto="1"/>
      </bottom>
      <diagonal/>
    </border>
    <border>
      <left/>
      <right/>
      <top style="thin">
        <color auto="1"/>
      </top>
      <bottom style="double">
        <color auto="1"/>
      </bottom>
      <diagonal/>
    </border>
    <border>
      <left/>
      <right/>
      <top/>
      <bottom style="medium">
        <color theme="0" tint="-0.499984740745262"/>
      </bottom>
      <diagonal/>
    </border>
    <border>
      <left/>
      <right/>
      <top/>
      <bottom style="dashed">
        <color theme="0" tint="-0.499984740745262"/>
      </bottom>
      <diagonal/>
    </border>
    <border>
      <left style="medium">
        <color auto="1"/>
      </left>
      <right/>
      <top/>
      <bottom style="medium">
        <color auto="1"/>
      </bottom>
      <diagonal/>
    </border>
    <border>
      <left/>
      <right style="medium">
        <color auto="1"/>
      </right>
      <top/>
      <bottom style="thin">
        <color auto="1"/>
      </bottom>
      <diagonal/>
    </border>
    <border>
      <left style="thin">
        <color auto="1"/>
      </left>
      <right style="thin">
        <color auto="1"/>
      </right>
      <top/>
      <bottom style="thin">
        <color auto="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ck">
        <color theme="7" tint="0.39997558519241921"/>
      </bottom>
      <diagonal/>
    </border>
    <border>
      <left/>
      <right style="thick">
        <color theme="7" tint="0.39997558519241921"/>
      </right>
      <top/>
      <bottom/>
      <diagonal/>
    </border>
    <border>
      <left/>
      <right style="thick">
        <color theme="7" tint="0.39997558519241921"/>
      </right>
      <top style="thick">
        <color theme="7" tint="0.39997558519241921"/>
      </top>
      <bottom/>
      <diagonal/>
    </border>
    <border>
      <left style="medium">
        <color indexed="64"/>
      </left>
      <right style="medium">
        <color indexed="64"/>
      </right>
      <top/>
      <bottom style="medium">
        <color indexed="64"/>
      </bottom>
      <diagonal/>
    </border>
    <border>
      <left style="thick">
        <color theme="7" tint="0.39997558519241921"/>
      </left>
      <right/>
      <top/>
      <bottom/>
      <diagonal/>
    </border>
    <border>
      <left style="medium">
        <color indexed="64"/>
      </left>
      <right style="medium">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ck">
        <color theme="7" tint="0.39997558519241921"/>
      </right>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ck">
        <color theme="7" tint="0.39997558519241921"/>
      </left>
      <right/>
      <top/>
      <bottom style="thick">
        <color theme="7" tint="0.39997558519241921"/>
      </bottom>
      <diagonal/>
    </border>
    <border>
      <left/>
      <right style="thick">
        <color theme="7" tint="0.39997558519241921"/>
      </right>
      <top/>
      <bottom style="thick">
        <color theme="7" tint="0.39997558519241921"/>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right/>
      <top style="thin">
        <color auto="1"/>
      </top>
      <bottom style="medium">
        <color rgb="FFFFC000"/>
      </bottom>
      <diagonal/>
    </border>
    <border>
      <left style="medium">
        <color rgb="FFFFC000"/>
      </left>
      <right/>
      <top style="medium">
        <color rgb="FFFFC000"/>
      </top>
      <bottom/>
      <diagonal/>
    </border>
    <border>
      <left/>
      <right/>
      <top style="medium">
        <color rgb="FFFFC000"/>
      </top>
      <bottom/>
      <diagonal/>
    </border>
    <border>
      <left/>
      <right/>
      <top style="medium">
        <color rgb="FFFFC000"/>
      </top>
      <bottom style="medium">
        <color indexed="64"/>
      </bottom>
      <diagonal/>
    </border>
    <border>
      <left/>
      <right style="medium">
        <color rgb="FFFFC000"/>
      </right>
      <top style="medium">
        <color rgb="FFFFC000"/>
      </top>
      <bottom/>
      <diagonal/>
    </border>
    <border>
      <left/>
      <right style="thin">
        <color indexed="64"/>
      </right>
      <top/>
      <bottom/>
      <diagonal/>
    </border>
    <border>
      <left style="medium">
        <color rgb="FFFFC000"/>
      </left>
      <right/>
      <top/>
      <bottom/>
      <diagonal/>
    </border>
    <border>
      <left/>
      <right style="medium">
        <color rgb="FFFFC000"/>
      </right>
      <top/>
      <bottom/>
      <diagonal/>
    </border>
    <border>
      <left style="thin">
        <color rgb="FF000000"/>
      </left>
      <right style="thin">
        <color rgb="FF000000"/>
      </right>
      <top/>
      <bottom/>
      <diagonal/>
    </border>
    <border>
      <left style="thin">
        <color rgb="FF000000"/>
      </left>
      <right/>
      <top/>
      <bottom/>
      <diagonal/>
    </border>
    <border>
      <left style="thin">
        <color indexed="64"/>
      </left>
      <right style="thin">
        <color rgb="FF000000"/>
      </right>
      <top/>
      <bottom/>
      <diagonal/>
    </border>
    <border>
      <left/>
      <right style="thin">
        <color rgb="FF000000"/>
      </right>
      <top/>
      <bottom/>
      <diagonal/>
    </border>
    <border>
      <left style="thin">
        <color rgb="FF000000"/>
      </left>
      <right style="medium">
        <color indexed="64"/>
      </right>
      <top/>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rgb="FF000000"/>
      </left>
      <right style="medium">
        <color indexed="64"/>
      </right>
      <top style="thin">
        <color indexed="64"/>
      </top>
      <bottom style="thin">
        <color indexed="64"/>
      </bottom>
      <diagonal/>
    </border>
    <border>
      <left style="medium">
        <color indexed="64"/>
      </left>
      <right/>
      <top style="thin">
        <color rgb="FF000000"/>
      </top>
      <bottom style="medium">
        <color indexed="64"/>
      </bottom>
      <diagonal/>
    </border>
    <border>
      <left/>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right style="medium">
        <color indexed="64"/>
      </right>
      <top style="thin">
        <color rgb="FF000000"/>
      </top>
      <bottom style="medium">
        <color indexed="64"/>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indexed="64"/>
      </left>
      <right style="medium">
        <color indexed="64"/>
      </right>
      <top style="thin">
        <color rgb="FF000000"/>
      </top>
      <bottom style="medium">
        <color indexed="64"/>
      </bottom>
      <diagonal/>
    </border>
    <border>
      <left style="medium">
        <color indexed="64"/>
      </left>
      <right style="thin">
        <color indexed="64"/>
      </right>
      <top style="thin">
        <color rgb="FF000000"/>
      </top>
      <bottom style="medium">
        <color indexed="64"/>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medium">
        <color rgb="FF002060"/>
      </left>
      <right style="medium">
        <color indexed="64"/>
      </right>
      <top/>
      <bottom/>
      <diagonal/>
    </border>
    <border>
      <left/>
      <right style="medium">
        <color rgb="FF002060"/>
      </right>
      <top/>
      <bottom/>
      <diagonal/>
    </border>
    <border>
      <left style="thin">
        <color auto="1"/>
      </left>
      <right style="medium">
        <color rgb="FF002060"/>
      </right>
      <top style="thin">
        <color auto="1"/>
      </top>
      <bottom style="thin">
        <color auto="1"/>
      </bottom>
      <diagonal/>
    </border>
    <border>
      <left style="medium">
        <color rgb="FF002060"/>
      </left>
      <right style="thin">
        <color auto="1"/>
      </right>
      <top style="thin">
        <color auto="1"/>
      </top>
      <bottom style="thin">
        <color auto="1"/>
      </bottom>
      <diagonal/>
    </border>
    <border>
      <left style="medium">
        <color rgb="FF002060"/>
      </left>
      <right style="medium">
        <color indexed="64"/>
      </right>
      <top style="thin">
        <color auto="1"/>
      </top>
      <bottom style="thin">
        <color auto="1"/>
      </bottom>
      <diagonal/>
    </border>
    <border>
      <left style="medium">
        <color rgb="FF002060"/>
      </left>
      <right style="medium">
        <color indexed="64"/>
      </right>
      <top style="thin">
        <color auto="1"/>
      </top>
      <bottom style="medium">
        <color rgb="FF002060"/>
      </bottom>
      <diagonal/>
    </border>
    <border>
      <left/>
      <right style="thin">
        <color indexed="64"/>
      </right>
      <top/>
      <bottom style="medium">
        <color rgb="FF002060"/>
      </bottom>
      <diagonal/>
    </border>
    <border>
      <left style="thin">
        <color auto="1"/>
      </left>
      <right style="thin">
        <color auto="1"/>
      </right>
      <top style="thin">
        <color auto="1"/>
      </top>
      <bottom style="medium">
        <color rgb="FF002060"/>
      </bottom>
      <diagonal/>
    </border>
    <border>
      <left style="thin">
        <color auto="1"/>
      </left>
      <right style="medium">
        <color rgb="FF002060"/>
      </right>
      <top style="thin">
        <color auto="1"/>
      </top>
      <bottom style="medium">
        <color rgb="FF002060"/>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s>
  <cellStyleXfs count="21">
    <xf numFmtId="0" fontId="0" fillId="0" borderId="0"/>
    <xf numFmtId="44" fontId="1"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44"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19" fillId="0" borderId="0" applyNumberFormat="0" applyFill="0" applyBorder="0" applyAlignment="0" applyProtection="0">
      <alignment vertical="top"/>
      <protection locked="0"/>
    </xf>
    <xf numFmtId="0" fontId="1" fillId="0" borderId="0"/>
    <xf numFmtId="9" fontId="5" fillId="0" borderId="0" applyFont="0" applyFill="0" applyBorder="0" applyAlignment="0" applyProtection="0"/>
    <xf numFmtId="9" fontId="5" fillId="0" borderId="0" applyFont="0" applyFill="0" applyBorder="0" applyAlignment="0" applyProtection="0"/>
    <xf numFmtId="0" fontId="21" fillId="0" borderId="0"/>
    <xf numFmtId="9" fontId="1" fillId="0" borderId="0" applyFont="0" applyFill="0" applyBorder="0" applyAlignment="0" applyProtection="0"/>
    <xf numFmtId="0" fontId="48" fillId="0" borderId="0" applyNumberFormat="0" applyFill="0" applyBorder="0" applyAlignment="0" applyProtection="0"/>
    <xf numFmtId="0" fontId="86" fillId="0" borderId="0"/>
    <xf numFmtId="166" fontId="1" fillId="0" borderId="0" applyFont="0" applyFill="0" applyBorder="0" applyAlignment="0" applyProtection="0"/>
  </cellStyleXfs>
  <cellXfs count="916">
    <xf numFmtId="0" fontId="0" fillId="0" borderId="0" xfId="0"/>
    <xf numFmtId="0" fontId="18" fillId="0" borderId="0" xfId="0" applyFont="1"/>
    <xf numFmtId="0" fontId="2" fillId="0" borderId="33" xfId="0" applyFont="1" applyBorder="1" applyAlignment="1" applyProtection="1"/>
    <xf numFmtId="0" fontId="2" fillId="0" borderId="42" xfId="0" applyFont="1" applyBorder="1" applyAlignment="1" applyProtection="1"/>
    <xf numFmtId="0" fontId="2" fillId="0" borderId="35" xfId="0" applyFont="1" applyBorder="1" applyAlignment="1" applyProtection="1"/>
    <xf numFmtId="0" fontId="2" fillId="0" borderId="1" xfId="0" applyFont="1" applyBorder="1" applyAlignment="1" applyProtection="1"/>
    <xf numFmtId="0" fontId="2" fillId="0" borderId="40" xfId="0" applyFont="1" applyBorder="1" applyAlignment="1" applyProtection="1"/>
    <xf numFmtId="0" fontId="2" fillId="5" borderId="28" xfId="0" applyFont="1" applyFill="1" applyBorder="1" applyAlignment="1" applyProtection="1"/>
    <xf numFmtId="0" fontId="2" fillId="0" borderId="12" xfId="1" applyNumberFormat="1" applyFont="1" applyBorder="1" applyAlignment="1" applyProtection="1"/>
    <xf numFmtId="44" fontId="2" fillId="0" borderId="13" xfId="1" applyNumberFormat="1" applyFont="1" applyBorder="1" applyAlignment="1" applyProtection="1"/>
    <xf numFmtId="0" fontId="2" fillId="0" borderId="8" xfId="1" applyNumberFormat="1" applyFont="1" applyBorder="1" applyAlignment="1" applyProtection="1"/>
    <xf numFmtId="44" fontId="2" fillId="0" borderId="9" xfId="1" applyNumberFormat="1" applyFont="1" applyBorder="1" applyAlignment="1" applyProtection="1"/>
    <xf numFmtId="44" fontId="32" fillId="0" borderId="20" xfId="0" applyNumberFormat="1" applyFont="1" applyFill="1" applyBorder="1" applyAlignment="1" applyProtection="1"/>
    <xf numFmtId="44" fontId="12" fillId="3" borderId="7" xfId="0" applyNumberFormat="1" applyFont="1" applyFill="1" applyBorder="1" applyProtection="1"/>
    <xf numFmtId="0" fontId="10" fillId="0" borderId="35" xfId="3" applyFont="1" applyBorder="1" applyAlignment="1" applyProtection="1">
      <alignment horizontal="left"/>
    </xf>
    <xf numFmtId="44" fontId="32" fillId="0" borderId="20" xfId="1" applyNumberFormat="1" applyFont="1" applyFill="1" applyBorder="1" applyAlignment="1" applyProtection="1"/>
    <xf numFmtId="44" fontId="32" fillId="0" borderId="19" xfId="1" applyNumberFormat="1" applyFont="1" applyFill="1" applyBorder="1" applyAlignment="1" applyProtection="1"/>
    <xf numFmtId="0" fontId="11" fillId="0" borderId="0" xfId="0" applyFont="1" applyAlignment="1" applyProtection="1">
      <alignment horizontal="left"/>
    </xf>
    <xf numFmtId="0" fontId="6" fillId="0" borderId="4" xfId="2" applyFont="1" applyBorder="1" applyAlignment="1" applyProtection="1">
      <alignment horizontal="left"/>
    </xf>
    <xf numFmtId="0" fontId="6" fillId="0" borderId="35" xfId="2" applyFont="1" applyBorder="1" applyAlignment="1" applyProtection="1">
      <alignment horizontal="left"/>
    </xf>
    <xf numFmtId="0" fontId="6" fillId="2" borderId="21" xfId="2" applyFont="1" applyFill="1" applyBorder="1" applyAlignment="1" applyProtection="1">
      <alignment horizontal="left"/>
    </xf>
    <xf numFmtId="0" fontId="6" fillId="2" borderId="0" xfId="2" applyFont="1" applyFill="1" applyAlignment="1" applyProtection="1">
      <alignment horizontal="center"/>
    </xf>
    <xf numFmtId="0" fontId="9" fillId="0" borderId="22" xfId="0" applyFont="1" applyBorder="1" applyProtection="1"/>
    <xf numFmtId="0" fontId="10" fillId="0" borderId="43" xfId="3" applyFont="1" applyBorder="1" applyAlignment="1" applyProtection="1">
      <alignment horizontal="left"/>
    </xf>
    <xf numFmtId="0" fontId="9" fillId="0" borderId="0" xfId="0" applyFont="1" applyProtection="1"/>
    <xf numFmtId="0" fontId="6" fillId="3" borderId="2" xfId="3" applyFont="1" applyFill="1" applyBorder="1" applyAlignment="1" applyProtection="1">
      <alignment horizontal="left"/>
    </xf>
    <xf numFmtId="0" fontId="6" fillId="2" borderId="23" xfId="2" applyFont="1" applyFill="1" applyBorder="1" applyAlignment="1" applyProtection="1">
      <alignment horizontal="left"/>
    </xf>
    <xf numFmtId="0" fontId="6" fillId="2" borderId="20" xfId="2" applyFont="1" applyFill="1" applyBorder="1" applyAlignment="1" applyProtection="1">
      <alignment horizontal="center"/>
    </xf>
    <xf numFmtId="0" fontId="9" fillId="0" borderId="35" xfId="0" applyFont="1" applyBorder="1" applyAlignment="1" applyProtection="1">
      <alignment horizontal="left"/>
    </xf>
    <xf numFmtId="0" fontId="6" fillId="2" borderId="25" xfId="3" applyFont="1" applyFill="1" applyBorder="1" applyAlignment="1" applyProtection="1">
      <alignment horizontal="left"/>
    </xf>
    <xf numFmtId="0" fontId="11" fillId="2" borderId="22" xfId="0" applyFont="1" applyFill="1" applyBorder="1" applyProtection="1"/>
    <xf numFmtId="0" fontId="10" fillId="4" borderId="35" xfId="3" applyFont="1" applyFill="1" applyBorder="1" applyAlignment="1" applyProtection="1">
      <alignment horizontal="left"/>
    </xf>
    <xf numFmtId="0" fontId="9" fillId="0" borderId="35" xfId="0" applyFont="1" applyBorder="1" applyProtection="1"/>
    <xf numFmtId="0" fontId="9" fillId="0" borderId="27" xfId="0" applyFont="1" applyBorder="1" applyProtection="1"/>
    <xf numFmtId="0" fontId="10" fillId="0" borderId="40" xfId="3" applyFont="1" applyBorder="1" applyAlignment="1" applyProtection="1">
      <alignment horizontal="left"/>
    </xf>
    <xf numFmtId="0" fontId="6" fillId="0" borderId="40" xfId="2" applyFont="1" applyBorder="1" applyAlignment="1" applyProtection="1">
      <alignment horizontal="left"/>
    </xf>
    <xf numFmtId="0" fontId="9" fillId="0" borderId="0" xfId="0" applyFont="1" applyAlignment="1" applyProtection="1">
      <alignment horizontal="left"/>
    </xf>
    <xf numFmtId="0" fontId="34" fillId="0" borderId="22" xfId="3" applyFont="1" applyBorder="1" applyAlignment="1" applyProtection="1"/>
    <xf numFmtId="0" fontId="34" fillId="4" borderId="22" xfId="3" applyFont="1" applyFill="1" applyBorder="1" applyAlignment="1" applyProtection="1">
      <alignment horizontal="left"/>
    </xf>
    <xf numFmtId="0" fontId="34" fillId="0" borderId="22" xfId="3" applyFont="1" applyBorder="1" applyAlignment="1" applyProtection="1">
      <alignment horizontal="left"/>
    </xf>
    <xf numFmtId="0" fontId="43" fillId="0" borderId="56" xfId="0" applyFont="1" applyFill="1" applyBorder="1" applyAlignment="1">
      <alignment vertical="center"/>
    </xf>
    <xf numFmtId="0" fontId="33" fillId="0" borderId="56" xfId="0" applyFont="1" applyFill="1" applyBorder="1"/>
    <xf numFmtId="14" fontId="33" fillId="0" borderId="56" xfId="0" applyNumberFormat="1" applyFont="1" applyFill="1" applyBorder="1"/>
    <xf numFmtId="0" fontId="44" fillId="7" borderId="0" xfId="0" applyFont="1" applyFill="1" applyAlignment="1"/>
    <xf numFmtId="0" fontId="0" fillId="7" borderId="0" xfId="0" applyFill="1"/>
    <xf numFmtId="14" fontId="0" fillId="7" borderId="0" xfId="0" applyNumberFormat="1" applyFill="1"/>
    <xf numFmtId="14" fontId="0" fillId="0" borderId="0" xfId="0" applyNumberFormat="1"/>
    <xf numFmtId="0" fontId="46" fillId="9" borderId="0" xfId="0" applyFont="1" applyFill="1"/>
    <xf numFmtId="0" fontId="0" fillId="9" borderId="0" xfId="0" applyFill="1"/>
    <xf numFmtId="14" fontId="0" fillId="9" borderId="0" xfId="0" applyNumberFormat="1" applyFill="1"/>
    <xf numFmtId="0" fontId="44" fillId="0" borderId="0" xfId="0" applyFont="1"/>
    <xf numFmtId="0" fontId="0" fillId="0" borderId="0" xfId="0" applyFill="1"/>
    <xf numFmtId="0" fontId="50" fillId="0" borderId="57" xfId="0" applyFont="1" applyFill="1" applyBorder="1" applyAlignment="1">
      <alignment vertical="center"/>
    </xf>
    <xf numFmtId="0" fontId="0" fillId="0" borderId="57" xfId="0" applyFill="1" applyBorder="1"/>
    <xf numFmtId="14" fontId="0" fillId="0" borderId="57" xfId="0" applyNumberFormat="1" applyFill="1" applyBorder="1"/>
    <xf numFmtId="0" fontId="15" fillId="0" borderId="0" xfId="0" applyFont="1" applyFill="1" applyAlignment="1">
      <alignment vertical="center"/>
    </xf>
    <xf numFmtId="0" fontId="0" fillId="0" borderId="0" xfId="0" applyFill="1" applyBorder="1"/>
    <xf numFmtId="14" fontId="0" fillId="0" borderId="0" xfId="0" applyNumberFormat="1" applyFill="1" applyBorder="1"/>
    <xf numFmtId="0" fontId="20" fillId="0" borderId="0" xfId="0" applyFont="1"/>
    <xf numFmtId="0" fontId="52" fillId="0" borderId="0" xfId="0" applyFont="1"/>
    <xf numFmtId="0" fontId="46" fillId="0" borderId="0" xfId="0" applyFont="1"/>
    <xf numFmtId="0" fontId="51" fillId="0" borderId="0" xfId="0" applyFont="1"/>
    <xf numFmtId="0" fontId="44" fillId="9" borderId="0" xfId="0" applyFont="1" applyFill="1"/>
    <xf numFmtId="0" fontId="56" fillId="0" borderId="57" xfId="0" applyFont="1" applyFill="1" applyBorder="1" applyAlignment="1"/>
    <xf numFmtId="0" fontId="42" fillId="0" borderId="57" xfId="0" applyFont="1" applyFill="1" applyBorder="1"/>
    <xf numFmtId="14" fontId="42" fillId="0" borderId="57" xfId="0" applyNumberFormat="1" applyFont="1" applyFill="1" applyBorder="1"/>
    <xf numFmtId="0" fontId="42" fillId="0" borderId="0" xfId="0" applyFont="1" applyFill="1" applyBorder="1"/>
    <xf numFmtId="14" fontId="42" fillId="0" borderId="0" xfId="0" applyNumberFormat="1" applyFont="1" applyFill="1" applyBorder="1"/>
    <xf numFmtId="0" fontId="57" fillId="0" borderId="0" xfId="0" applyFont="1" applyFill="1" applyBorder="1" applyAlignment="1">
      <alignment vertical="center"/>
    </xf>
    <xf numFmtId="0" fontId="18" fillId="0" borderId="58" xfId="0" applyFont="1" applyBorder="1"/>
    <xf numFmtId="0" fontId="42" fillId="0" borderId="58" xfId="0" applyFont="1" applyFill="1" applyBorder="1"/>
    <xf numFmtId="14" fontId="42" fillId="0" borderId="58" xfId="0" applyNumberFormat="1" applyFont="1" applyFill="1" applyBorder="1"/>
    <xf numFmtId="0" fontId="59" fillId="10" borderId="0" xfId="0" applyFont="1" applyFill="1"/>
    <xf numFmtId="0" fontId="42" fillId="10" borderId="0" xfId="0" applyFont="1" applyFill="1" applyBorder="1"/>
    <xf numFmtId="14" fontId="42" fillId="10" borderId="0" xfId="0" applyNumberFormat="1" applyFont="1" applyFill="1" applyBorder="1"/>
    <xf numFmtId="0" fontId="58" fillId="0" borderId="0" xfId="0" applyFont="1"/>
    <xf numFmtId="0" fontId="48" fillId="0" borderId="0" xfId="18" applyAlignment="1"/>
    <xf numFmtId="0" fontId="58" fillId="0" borderId="0" xfId="0" applyFont="1" applyAlignment="1"/>
    <xf numFmtId="0" fontId="0" fillId="0" borderId="0" xfId="0" applyFont="1" applyAlignment="1">
      <alignment horizontal="left" vertical="center" indent="5"/>
    </xf>
    <xf numFmtId="0" fontId="0" fillId="0" borderId="0" xfId="0" applyFont="1" applyAlignment="1">
      <alignment vertical="center"/>
    </xf>
    <xf numFmtId="0" fontId="0" fillId="0" borderId="0" xfId="0" applyFont="1"/>
    <xf numFmtId="0" fontId="16" fillId="0" borderId="0" xfId="0" applyFont="1" applyFill="1" applyBorder="1"/>
    <xf numFmtId="0" fontId="48" fillId="0" borderId="0" xfId="18" applyFill="1" applyBorder="1" applyAlignment="1">
      <alignment horizontal="left"/>
    </xf>
    <xf numFmtId="0" fontId="18" fillId="0" borderId="0" xfId="0" applyFont="1" applyBorder="1"/>
    <xf numFmtId="0" fontId="61" fillId="0" borderId="0" xfId="0" applyFont="1"/>
    <xf numFmtId="0" fontId="34" fillId="0" borderId="1" xfId="3" applyFont="1" applyBorder="1" applyAlignment="1" applyProtection="1">
      <alignment vertical="top"/>
    </xf>
    <xf numFmtId="49" fontId="9" fillId="0" borderId="8" xfId="1" applyNumberFormat="1" applyFont="1" applyBorder="1" applyProtection="1"/>
    <xf numFmtId="6" fontId="3" fillId="0" borderId="19" xfId="1" applyNumberFormat="1" applyFont="1" applyBorder="1" applyProtection="1"/>
    <xf numFmtId="6" fontId="3" fillId="0" borderId="20" xfId="1" applyNumberFormat="1" applyFont="1" applyBorder="1" applyProtection="1"/>
    <xf numFmtId="0" fontId="7" fillId="0" borderId="2" xfId="0" applyFont="1" applyBorder="1" applyAlignment="1" applyProtection="1">
      <alignment wrapText="1"/>
    </xf>
    <xf numFmtId="0" fontId="7" fillId="0" borderId="38" xfId="0" applyFont="1" applyBorder="1" applyAlignment="1" applyProtection="1">
      <alignment horizontal="right" wrapText="1"/>
    </xf>
    <xf numFmtId="6" fontId="2" fillId="0" borderId="16" xfId="1" applyNumberFormat="1" applyFont="1" applyBorder="1" applyAlignment="1" applyProtection="1"/>
    <xf numFmtId="44" fontId="2" fillId="0" borderId="17" xfId="1" applyNumberFormat="1" applyFont="1" applyBorder="1" applyAlignment="1" applyProtection="1"/>
    <xf numFmtId="6" fontId="9" fillId="11" borderId="47" xfId="1" applyNumberFormat="1" applyFont="1" applyFill="1" applyBorder="1" applyProtection="1"/>
    <xf numFmtId="44" fontId="12" fillId="0" borderId="26" xfId="0" applyNumberFormat="1" applyFont="1" applyFill="1" applyBorder="1" applyProtection="1"/>
    <xf numFmtId="44" fontId="2" fillId="0" borderId="28" xfId="1" applyNumberFormat="1" applyFont="1" applyFill="1" applyBorder="1" applyAlignment="1" applyProtection="1"/>
    <xf numFmtId="44" fontId="2" fillId="0" borderId="41" xfId="1" applyNumberFormat="1" applyFont="1" applyFill="1" applyBorder="1" applyAlignment="1" applyProtection="1"/>
    <xf numFmtId="44" fontId="6" fillId="0" borderId="52" xfId="1" applyFont="1" applyFill="1" applyBorder="1" applyAlignment="1" applyProtection="1"/>
    <xf numFmtId="44" fontId="10" fillId="0" borderId="52" xfId="1" applyFont="1" applyFill="1" applyBorder="1" applyAlignment="1" applyProtection="1"/>
    <xf numFmtId="44" fontId="23" fillId="0" borderId="52" xfId="1" applyFont="1" applyFill="1" applyBorder="1" applyAlignment="1" applyProtection="1"/>
    <xf numFmtId="44" fontId="24" fillId="0" borderId="46" xfId="1" applyNumberFormat="1" applyFont="1" applyFill="1" applyBorder="1" applyAlignment="1" applyProtection="1">
      <alignment horizontal="right"/>
    </xf>
    <xf numFmtId="0" fontId="6" fillId="2" borderId="0" xfId="2" applyFont="1" applyFill="1" applyBorder="1" applyAlignment="1" applyProtection="1">
      <alignment horizontal="center"/>
    </xf>
    <xf numFmtId="0" fontId="34" fillId="0" borderId="61" xfId="3" applyFont="1" applyBorder="1" applyAlignment="1" applyProtection="1">
      <alignment vertical="top"/>
    </xf>
    <xf numFmtId="44" fontId="12" fillId="0" borderId="60" xfId="0" applyNumberFormat="1" applyFont="1" applyFill="1" applyBorder="1" applyProtection="1"/>
    <xf numFmtId="44" fontId="2" fillId="0" borderId="28" xfId="1" applyFont="1" applyFill="1" applyBorder="1" applyAlignment="1" applyProtection="1"/>
    <xf numFmtId="44" fontId="2" fillId="0" borderId="32" xfId="1" applyNumberFormat="1" applyFont="1" applyFill="1" applyBorder="1" applyAlignment="1" applyProtection="1"/>
    <xf numFmtId="44" fontId="2" fillId="0" borderId="30" xfId="1" applyNumberFormat="1" applyFont="1" applyFill="1" applyBorder="1" applyAlignment="1" applyProtection="1"/>
    <xf numFmtId="0" fontId="34" fillId="0" borderId="33" xfId="3" applyFont="1" applyBorder="1" applyAlignment="1" applyProtection="1">
      <alignment horizontal="left" vertical="center"/>
    </xf>
    <xf numFmtId="0" fontId="34" fillId="0" borderId="35" xfId="3" applyFont="1" applyBorder="1" applyAlignment="1" applyProtection="1">
      <alignment horizontal="left" vertical="center"/>
    </xf>
    <xf numFmtId="0" fontId="6" fillId="13" borderId="35" xfId="3" applyFont="1" applyFill="1" applyBorder="1" applyAlignment="1" applyProtection="1">
      <alignment horizontal="left"/>
    </xf>
    <xf numFmtId="0" fontId="8" fillId="13" borderId="22" xfId="3" applyFont="1" applyFill="1" applyBorder="1" applyAlignment="1" applyProtection="1"/>
    <xf numFmtId="0" fontId="9" fillId="14" borderId="1" xfId="0" applyFont="1" applyFill="1" applyBorder="1" applyAlignment="1" applyProtection="1">
      <alignment horizontal="center"/>
    </xf>
    <xf numFmtId="0" fontId="4" fillId="12" borderId="23" xfId="0" applyFont="1" applyFill="1" applyBorder="1" applyAlignment="1" applyProtection="1">
      <alignment horizontal="left"/>
    </xf>
    <xf numFmtId="0" fontId="4" fillId="12" borderId="20" xfId="0" applyFont="1" applyFill="1" applyBorder="1" applyProtection="1"/>
    <xf numFmtId="0" fontId="4" fillId="12" borderId="24" xfId="0" applyFont="1" applyFill="1" applyBorder="1" applyProtection="1"/>
    <xf numFmtId="0" fontId="4" fillId="12" borderId="2" xfId="0" applyFont="1" applyFill="1" applyBorder="1" applyAlignment="1" applyProtection="1"/>
    <xf numFmtId="0" fontId="4" fillId="12" borderId="3" xfId="0" applyFont="1" applyFill="1" applyBorder="1" applyAlignment="1" applyProtection="1"/>
    <xf numFmtId="0" fontId="4" fillId="12" borderId="2" xfId="0" applyFont="1" applyFill="1" applyBorder="1" applyProtection="1"/>
    <xf numFmtId="0" fontId="4" fillId="12" borderId="3" xfId="0" applyFont="1" applyFill="1" applyBorder="1" applyProtection="1"/>
    <xf numFmtId="0" fontId="4" fillId="12" borderId="10" xfId="0" applyFont="1" applyFill="1" applyBorder="1" applyProtection="1"/>
    <xf numFmtId="0" fontId="6" fillId="3" borderId="4" xfId="2" applyFont="1" applyFill="1" applyBorder="1" applyAlignment="1" applyProtection="1">
      <alignment horizontal="center"/>
    </xf>
    <xf numFmtId="0" fontId="6" fillId="3" borderId="5" xfId="2" applyFont="1" applyFill="1" applyBorder="1" applyAlignment="1" applyProtection="1">
      <alignment horizontal="center"/>
    </xf>
    <xf numFmtId="0" fontId="6" fillId="3" borderId="7" xfId="2" applyFont="1" applyFill="1" applyBorder="1" applyAlignment="1" applyProtection="1">
      <alignment horizontal="center"/>
    </xf>
    <xf numFmtId="0" fontId="6" fillId="3" borderId="7" xfId="2" applyFont="1" applyFill="1" applyBorder="1" applyAlignment="1" applyProtection="1">
      <alignment horizontal="center" wrapText="1"/>
    </xf>
    <xf numFmtId="0" fontId="6" fillId="3" borderId="11" xfId="2" applyFont="1" applyFill="1" applyBorder="1" applyAlignment="1" applyProtection="1">
      <alignment horizontal="center"/>
    </xf>
    <xf numFmtId="0" fontId="6" fillId="3" borderId="43" xfId="2" applyFont="1" applyFill="1" applyBorder="1" applyAlignment="1" applyProtection="1">
      <alignment horizontal="center"/>
    </xf>
    <xf numFmtId="0" fontId="6" fillId="3" borderId="44" xfId="2" applyFont="1" applyFill="1" applyBorder="1" applyAlignment="1" applyProtection="1"/>
    <xf numFmtId="44" fontId="6" fillId="3" borderId="44" xfId="2" applyNumberFormat="1" applyFont="1" applyFill="1" applyBorder="1" applyAlignment="1" applyProtection="1">
      <alignment horizontal="center"/>
    </xf>
    <xf numFmtId="44" fontId="6" fillId="3" borderId="45" xfId="2" applyNumberFormat="1" applyFont="1" applyFill="1" applyBorder="1" applyAlignment="1" applyProtection="1">
      <alignment horizontal="center"/>
    </xf>
    <xf numFmtId="44" fontId="26" fillId="3" borderId="7" xfId="0" applyNumberFormat="1" applyFont="1" applyFill="1" applyBorder="1" applyAlignment="1" applyProtection="1"/>
    <xf numFmtId="44" fontId="26" fillId="3" borderId="7" xfId="1" applyNumberFormat="1" applyFont="1" applyFill="1" applyBorder="1" applyAlignment="1" applyProtection="1"/>
    <xf numFmtId="44" fontId="26" fillId="3" borderId="10" xfId="1" applyNumberFormat="1" applyFont="1" applyFill="1" applyBorder="1" applyAlignment="1" applyProtection="1"/>
    <xf numFmtId="0" fontId="6" fillId="3" borderId="59" xfId="3" applyFont="1" applyFill="1" applyBorder="1" applyAlignment="1" applyProtection="1">
      <alignment horizontal="left"/>
    </xf>
    <xf numFmtId="44" fontId="12" fillId="3" borderId="44" xfId="0" applyNumberFormat="1" applyFont="1" applyFill="1" applyBorder="1" applyProtection="1"/>
    <xf numFmtId="44" fontId="12" fillId="3" borderId="45" xfId="0" applyNumberFormat="1" applyFont="1" applyFill="1" applyBorder="1" applyProtection="1"/>
    <xf numFmtId="44" fontId="12" fillId="3" borderId="11" xfId="0" applyNumberFormat="1" applyFont="1" applyFill="1" applyBorder="1" applyProtection="1"/>
    <xf numFmtId="0" fontId="6" fillId="3" borderId="3" xfId="3" applyFont="1" applyFill="1" applyBorder="1" applyAlignment="1" applyProtection="1">
      <alignment horizontal="left" indent="1"/>
    </xf>
    <xf numFmtId="0" fontId="6" fillId="3" borderId="2" xfId="2" applyFont="1" applyFill="1" applyBorder="1" applyAlignment="1" applyProtection="1">
      <alignment horizontal="left" wrapText="1"/>
    </xf>
    <xf numFmtId="0" fontId="6" fillId="3" borderId="6" xfId="2" applyFont="1" applyFill="1" applyBorder="1" applyAlignment="1" applyProtection="1">
      <alignment horizontal="center" wrapText="1"/>
    </xf>
    <xf numFmtId="0" fontId="6" fillId="3" borderId="7" xfId="2" applyFont="1" applyFill="1" applyBorder="1" applyAlignment="1" applyProtection="1">
      <alignment horizontal="center" vertical="top" wrapText="1"/>
    </xf>
    <xf numFmtId="0" fontId="6" fillId="3" borderId="11" xfId="2" applyFont="1" applyFill="1" applyBorder="1" applyAlignment="1" applyProtection="1">
      <alignment horizontal="center" vertical="top" wrapText="1"/>
    </xf>
    <xf numFmtId="0" fontId="7" fillId="3" borderId="2" xfId="0" applyFont="1" applyFill="1" applyBorder="1" applyAlignment="1" applyProtection="1"/>
    <xf numFmtId="0" fontId="7" fillId="3" borderId="3" xfId="0" applyFont="1" applyFill="1" applyBorder="1" applyAlignment="1" applyProtection="1"/>
    <xf numFmtId="44" fontId="7" fillId="3" borderId="3" xfId="1" applyNumberFormat="1" applyFont="1" applyFill="1" applyBorder="1" applyAlignment="1" applyProtection="1"/>
    <xf numFmtId="44" fontId="7" fillId="3" borderId="10" xfId="1" applyNumberFormat="1" applyFont="1" applyFill="1" applyBorder="1" applyAlignment="1" applyProtection="1"/>
    <xf numFmtId="0" fontId="6" fillId="11" borderId="2" xfId="0" applyFont="1" applyFill="1" applyBorder="1" applyAlignment="1" applyProtection="1"/>
    <xf numFmtId="0" fontId="8" fillId="11" borderId="3" xfId="0" applyFont="1" applyFill="1" applyBorder="1" applyAlignment="1" applyProtection="1"/>
    <xf numFmtId="0" fontId="0" fillId="17" borderId="62" xfId="0" applyFont="1" applyFill="1" applyBorder="1"/>
    <xf numFmtId="0" fontId="0" fillId="0" borderId="62" xfId="0" applyFont="1" applyBorder="1"/>
    <xf numFmtId="0" fontId="65" fillId="16" borderId="63" xfId="0" applyFont="1" applyFill="1" applyBorder="1"/>
    <xf numFmtId="0" fontId="0" fillId="0" borderId="64" xfId="0" applyFont="1" applyBorder="1"/>
    <xf numFmtId="0" fontId="8" fillId="0" borderId="0" xfId="0" applyFont="1" applyProtection="1"/>
    <xf numFmtId="14" fontId="11" fillId="0" borderId="0" xfId="0" applyNumberFormat="1" applyFont="1" applyAlignment="1" applyProtection="1">
      <alignment horizontal="left"/>
    </xf>
    <xf numFmtId="0" fontId="6" fillId="0" borderId="53" xfId="2" applyFont="1" applyBorder="1" applyAlignment="1" applyProtection="1">
      <alignment horizontal="left"/>
    </xf>
    <xf numFmtId="0" fontId="6" fillId="14" borderId="36" xfId="2" applyFont="1" applyFill="1" applyBorder="1" applyAlignment="1" applyProtection="1">
      <alignment horizontal="left"/>
    </xf>
    <xf numFmtId="0" fontId="31" fillId="0" borderId="0" xfId="0" applyFont="1" applyProtection="1"/>
    <xf numFmtId="0" fontId="6" fillId="14" borderId="40" xfId="2" applyFont="1" applyFill="1" applyBorder="1" applyAlignment="1" applyProtection="1">
      <alignment horizontal="left"/>
    </xf>
    <xf numFmtId="0" fontId="10" fillId="0" borderId="0" xfId="2" applyFont="1" applyAlignment="1" applyProtection="1"/>
    <xf numFmtId="0" fontId="6" fillId="0" borderId="11" xfId="2" applyFont="1" applyFill="1" applyBorder="1" applyAlignment="1" applyProtection="1"/>
    <xf numFmtId="0" fontId="31" fillId="0" borderId="0" xfId="0" applyFont="1" applyFill="1" applyProtection="1"/>
    <xf numFmtId="44" fontId="13" fillId="0" borderId="1" xfId="0" applyNumberFormat="1" applyFont="1" applyFill="1" applyBorder="1" applyProtection="1"/>
    <xf numFmtId="0" fontId="6" fillId="0" borderId="3" xfId="3" applyFont="1" applyBorder="1" applyAlignment="1" applyProtection="1">
      <alignment horizontal="left"/>
    </xf>
    <xf numFmtId="0" fontId="6" fillId="0" borderId="3" xfId="3" applyFont="1" applyBorder="1" applyAlignment="1" applyProtection="1">
      <alignment horizontal="left" indent="1"/>
    </xf>
    <xf numFmtId="0" fontId="2" fillId="0" borderId="3" xfId="0" applyFont="1" applyBorder="1" applyProtection="1"/>
    <xf numFmtId="0" fontId="9" fillId="0" borderId="0" xfId="0" applyFont="1" applyFill="1" applyProtection="1"/>
    <xf numFmtId="44" fontId="13" fillId="0" borderId="28" xfId="0" applyNumberFormat="1" applyFont="1" applyFill="1" applyBorder="1" applyProtection="1"/>
    <xf numFmtId="44" fontId="2" fillId="0" borderId="1" xfId="1" applyFont="1" applyFill="1" applyBorder="1" applyProtection="1"/>
    <xf numFmtId="0" fontId="10" fillId="0" borderId="0" xfId="0" applyFont="1" applyProtection="1"/>
    <xf numFmtId="0" fontId="6" fillId="3" borderId="19" xfId="3" applyFont="1" applyFill="1" applyBorder="1" applyAlignment="1" applyProtection="1">
      <alignment horizontal="left" indent="1"/>
    </xf>
    <xf numFmtId="0" fontId="6" fillId="0" borderId="0" xfId="0" applyFont="1" applyProtection="1"/>
    <xf numFmtId="0" fontId="6" fillId="0" borderId="0" xfId="3" applyFont="1" applyFill="1" applyBorder="1" applyAlignment="1" applyProtection="1">
      <alignment horizontal="left"/>
    </xf>
    <xf numFmtId="0" fontId="6" fillId="0" borderId="0" xfId="3" applyFont="1" applyFill="1" applyBorder="1" applyAlignment="1" applyProtection="1">
      <alignment horizontal="left" indent="1"/>
    </xf>
    <xf numFmtId="44" fontId="12" fillId="0" borderId="0" xfId="0" applyNumberFormat="1" applyFont="1" applyFill="1" applyBorder="1" applyProtection="1"/>
    <xf numFmtId="0" fontId="8" fillId="11" borderId="10" xfId="0" applyFont="1" applyFill="1" applyBorder="1" applyAlignment="1" applyProtection="1"/>
    <xf numFmtId="44" fontId="2" fillId="0" borderId="1" xfId="1" applyNumberFormat="1" applyFont="1" applyFill="1" applyBorder="1" applyAlignment="1" applyProtection="1"/>
    <xf numFmtId="44" fontId="2" fillId="0" borderId="42" xfId="1" applyNumberFormat="1" applyFont="1" applyFill="1" applyBorder="1" applyAlignment="1" applyProtection="1"/>
    <xf numFmtId="0" fontId="2" fillId="0" borderId="20" xfId="0" applyFont="1" applyBorder="1" applyAlignment="1" applyProtection="1"/>
    <xf numFmtId="44" fontId="2" fillId="0" borderId="20" xfId="0" applyNumberFormat="1" applyFont="1" applyFill="1" applyBorder="1" applyAlignment="1" applyProtection="1"/>
    <xf numFmtId="44" fontId="2" fillId="0" borderId="20" xfId="1" applyNumberFormat="1" applyFont="1" applyFill="1" applyBorder="1" applyAlignment="1" applyProtection="1"/>
    <xf numFmtId="44" fontId="10" fillId="0" borderId="0" xfId="0" applyNumberFormat="1" applyFont="1" applyProtection="1"/>
    <xf numFmtId="0" fontId="26" fillId="3" borderId="4" xfId="0" applyFont="1" applyFill="1" applyBorder="1" applyAlignment="1" applyProtection="1"/>
    <xf numFmtId="0" fontId="26" fillId="3" borderId="7" xfId="0" applyFont="1" applyFill="1" applyBorder="1" applyAlignment="1" applyProtection="1"/>
    <xf numFmtId="0" fontId="26" fillId="0" borderId="20" xfId="0" applyFont="1" applyFill="1" applyBorder="1" applyAlignment="1" applyProtection="1"/>
    <xf numFmtId="44" fontId="26" fillId="0" borderId="0" xfId="1" applyNumberFormat="1" applyFont="1" applyFill="1" applyBorder="1" applyAlignment="1" applyProtection="1"/>
    <xf numFmtId="0" fontId="26" fillId="0" borderId="19" xfId="0" applyFont="1" applyFill="1" applyBorder="1" applyAlignment="1" applyProtection="1"/>
    <xf numFmtId="44" fontId="32" fillId="0" borderId="19" xfId="0" applyNumberFormat="1" applyFont="1" applyFill="1" applyBorder="1" applyAlignment="1" applyProtection="1"/>
    <xf numFmtId="6" fontId="9" fillId="0" borderId="9" xfId="1" applyNumberFormat="1" applyFont="1" applyBorder="1" applyProtection="1"/>
    <xf numFmtId="44" fontId="2" fillId="0" borderId="9" xfId="1" applyFont="1" applyFill="1" applyBorder="1" applyProtection="1"/>
    <xf numFmtId="44" fontId="2" fillId="0" borderId="15" xfId="1" applyFont="1" applyFill="1" applyBorder="1" applyProtection="1"/>
    <xf numFmtId="44" fontId="2" fillId="0" borderId="9" xfId="1" applyFont="1" applyBorder="1" applyProtection="1"/>
    <xf numFmtId="44" fontId="2" fillId="0" borderId="15" xfId="1" applyFont="1" applyBorder="1" applyProtection="1"/>
    <xf numFmtId="0" fontId="0" fillId="0" borderId="65" xfId="0" applyFont="1" applyBorder="1"/>
    <xf numFmtId="0" fontId="6" fillId="18" borderId="1" xfId="2" applyFont="1" applyFill="1" applyBorder="1" applyAlignment="1" applyProtection="1">
      <alignment horizontal="left" vertical="center"/>
    </xf>
    <xf numFmtId="0" fontId="9" fillId="0" borderId="1" xfId="0" applyFont="1" applyBorder="1" applyProtection="1">
      <protection locked="0"/>
    </xf>
    <xf numFmtId="0" fontId="6" fillId="2" borderId="25" xfId="0" applyFont="1" applyFill="1" applyBorder="1" applyAlignment="1" applyProtection="1">
      <alignment horizontal="left"/>
    </xf>
    <xf numFmtId="0" fontId="9" fillId="2" borderId="22" xfId="0" applyFont="1" applyFill="1" applyBorder="1" applyProtection="1"/>
    <xf numFmtId="6" fontId="9" fillId="0" borderId="9" xfId="1" applyNumberFormat="1" applyFont="1" applyBorder="1" applyAlignment="1" applyProtection="1">
      <alignment wrapText="1"/>
    </xf>
    <xf numFmtId="0" fontId="6" fillId="19" borderId="40" xfId="2" applyFont="1" applyFill="1" applyBorder="1" applyAlignment="1" applyProtection="1">
      <alignment horizontal="left"/>
    </xf>
    <xf numFmtId="0" fontId="9" fillId="0" borderId="21" xfId="0" applyFont="1" applyBorder="1" applyProtection="1"/>
    <xf numFmtId="0" fontId="9" fillId="0" borderId="66" xfId="0" applyFont="1" applyBorder="1" applyProtection="1"/>
    <xf numFmtId="0" fontId="9" fillId="0" borderId="59" xfId="0" applyFont="1" applyBorder="1" applyProtection="1"/>
    <xf numFmtId="0" fontId="9" fillId="0" borderId="67" xfId="0" applyFont="1" applyBorder="1" applyProtection="1"/>
    <xf numFmtId="0" fontId="9" fillId="0" borderId="0" xfId="0" applyFont="1" applyBorder="1" applyProtection="1"/>
    <xf numFmtId="0" fontId="9" fillId="4" borderId="0" xfId="0" applyFont="1" applyFill="1" applyProtection="1"/>
    <xf numFmtId="0" fontId="9" fillId="4" borderId="0" xfId="0" applyFont="1" applyFill="1" applyAlignment="1" applyProtection="1">
      <alignment horizontal="left"/>
    </xf>
    <xf numFmtId="0" fontId="11" fillId="4" borderId="0" xfId="0" applyFont="1" applyFill="1" applyAlignment="1" applyProtection="1">
      <alignment horizontal="right"/>
    </xf>
    <xf numFmtId="168" fontId="67" fillId="4" borderId="0" xfId="0" applyNumberFormat="1" applyFont="1" applyFill="1" applyBorder="1" applyAlignment="1" applyProtection="1">
      <alignment horizontal="center"/>
    </xf>
    <xf numFmtId="168" fontId="0" fillId="4" borderId="0" xfId="1" applyNumberFormat="1" applyFont="1" applyFill="1" applyBorder="1" applyProtection="1"/>
    <xf numFmtId="0" fontId="11" fillId="4" borderId="0" xfId="0" applyFont="1" applyFill="1" applyAlignment="1" applyProtection="1">
      <alignment horizontal="left"/>
    </xf>
    <xf numFmtId="0" fontId="4" fillId="4" borderId="0" xfId="0" applyFont="1" applyFill="1" applyBorder="1" applyProtection="1"/>
    <xf numFmtId="0" fontId="9" fillId="0" borderId="0" xfId="0" applyFont="1" applyFill="1" applyBorder="1" applyProtection="1"/>
    <xf numFmtId="0" fontId="0" fillId="4" borderId="0" xfId="0" applyFill="1" applyProtection="1"/>
    <xf numFmtId="0" fontId="18" fillId="4" borderId="0" xfId="0" applyFont="1" applyFill="1" applyBorder="1" applyAlignment="1" applyProtection="1">
      <alignment horizontal="center"/>
    </xf>
    <xf numFmtId="0" fontId="0" fillId="4" borderId="0" xfId="0" applyFill="1" applyAlignment="1" applyProtection="1">
      <alignment vertical="center"/>
    </xf>
    <xf numFmtId="0" fontId="4" fillId="20" borderId="23" xfId="0" applyFont="1" applyFill="1" applyBorder="1" applyAlignment="1" applyProtection="1">
      <alignment horizontal="left"/>
    </xf>
    <xf numFmtId="0" fontId="4" fillId="20" borderId="20" xfId="0" applyFont="1" applyFill="1" applyBorder="1" applyAlignment="1" applyProtection="1">
      <alignment horizontal="left"/>
    </xf>
    <xf numFmtId="0" fontId="4" fillId="20" borderId="24" xfId="0" applyFont="1" applyFill="1" applyBorder="1" applyAlignment="1" applyProtection="1">
      <alignment horizontal="left"/>
    </xf>
    <xf numFmtId="0" fontId="6" fillId="4" borderId="68" xfId="2" applyFont="1" applyFill="1" applyBorder="1" applyAlignment="1" applyProtection="1">
      <alignment horizontal="left"/>
    </xf>
    <xf numFmtId="0" fontId="6" fillId="4" borderId="31" xfId="2" applyFont="1" applyFill="1" applyBorder="1" applyAlignment="1" applyProtection="1">
      <alignment horizontal="left"/>
    </xf>
    <xf numFmtId="0" fontId="8" fillId="4" borderId="21" xfId="0" applyFont="1" applyFill="1" applyBorder="1" applyProtection="1"/>
    <xf numFmtId="0" fontId="8" fillId="4" borderId="0" xfId="0" applyFont="1" applyFill="1" applyBorder="1" applyProtection="1"/>
    <xf numFmtId="169" fontId="0" fillId="4" borderId="21" xfId="4" applyNumberFormat="1" applyFont="1" applyFill="1" applyBorder="1" applyAlignment="1" applyProtection="1">
      <alignment horizontal="center"/>
    </xf>
    <xf numFmtId="169" fontId="0" fillId="4" borderId="0" xfId="4" applyNumberFormat="1" applyFont="1" applyFill="1" applyBorder="1" applyAlignment="1" applyProtection="1">
      <alignment horizontal="center"/>
    </xf>
    <xf numFmtId="0" fontId="0" fillId="4" borderId="0" xfId="0" applyFill="1" applyBorder="1" applyProtection="1"/>
    <xf numFmtId="0" fontId="0" fillId="7" borderId="66" xfId="0" applyFill="1" applyBorder="1" applyAlignment="1" applyProtection="1">
      <alignment horizontal="center" vertical="center"/>
    </xf>
    <xf numFmtId="0" fontId="6" fillId="4" borderId="25" xfId="2" applyFont="1" applyFill="1" applyBorder="1" applyAlignment="1" applyProtection="1">
      <alignment horizontal="left"/>
    </xf>
    <xf numFmtId="0" fontId="6" fillId="4" borderId="22" xfId="2" applyFont="1" applyFill="1" applyBorder="1" applyAlignment="1" applyProtection="1">
      <alignment horizontal="left"/>
    </xf>
    <xf numFmtId="0" fontId="0" fillId="4" borderId="21" xfId="0" applyFill="1" applyBorder="1" applyProtection="1"/>
    <xf numFmtId="0" fontId="10" fillId="22" borderId="30" xfId="2" applyFont="1" applyFill="1" applyBorder="1" applyAlignment="1" applyProtection="1">
      <alignment horizontal="left"/>
      <protection locked="0"/>
    </xf>
    <xf numFmtId="0" fontId="69" fillId="4" borderId="0" xfId="0" applyFont="1" applyFill="1" applyBorder="1" applyAlignment="1" applyProtection="1">
      <alignment horizontal="right"/>
    </xf>
    <xf numFmtId="0" fontId="69" fillId="0" borderId="66" xfId="0" applyFont="1" applyBorder="1" applyAlignment="1" applyProtection="1">
      <alignment horizontal="center" vertical="center"/>
    </xf>
    <xf numFmtId="0" fontId="0" fillId="7" borderId="33" xfId="0" applyFill="1" applyBorder="1" applyAlignment="1" applyProtection="1">
      <alignment horizontal="center"/>
    </xf>
    <xf numFmtId="0" fontId="0" fillId="7" borderId="34" xfId="0" applyFill="1" applyBorder="1" applyAlignment="1" applyProtection="1">
      <alignment horizontal="center"/>
    </xf>
    <xf numFmtId="49" fontId="0" fillId="7" borderId="51" xfId="0" quotePrefix="1" applyNumberFormat="1" applyFill="1" applyBorder="1" applyAlignment="1" applyProtection="1">
      <alignment horizontal="center"/>
    </xf>
    <xf numFmtId="49" fontId="0" fillId="7" borderId="68" xfId="0" quotePrefix="1" applyNumberFormat="1" applyFill="1" applyBorder="1" applyAlignment="1" applyProtection="1">
      <alignment horizontal="center"/>
    </xf>
    <xf numFmtId="0" fontId="8" fillId="4" borderId="0" xfId="0" applyFont="1" applyFill="1" applyBorder="1" applyAlignment="1" applyProtection="1">
      <alignment horizontal="center"/>
    </xf>
    <xf numFmtId="0" fontId="8" fillId="4" borderId="66" xfId="0" applyFont="1" applyFill="1" applyBorder="1" applyAlignment="1" applyProtection="1">
      <alignment horizontal="center"/>
    </xf>
    <xf numFmtId="0" fontId="0" fillId="7" borderId="35" xfId="0" applyFill="1" applyBorder="1" applyAlignment="1" applyProtection="1">
      <alignment horizontal="center"/>
    </xf>
    <xf numFmtId="0" fontId="0" fillId="7" borderId="26" xfId="0" applyFill="1" applyBorder="1" applyAlignment="1" applyProtection="1">
      <alignment horizontal="center"/>
    </xf>
    <xf numFmtId="0" fontId="0" fillId="7" borderId="52" xfId="0" applyFill="1" applyBorder="1" applyAlignment="1" applyProtection="1">
      <alignment horizontal="center"/>
    </xf>
    <xf numFmtId="0" fontId="0" fillId="7" borderId="25" xfId="0" applyFill="1" applyBorder="1" applyAlignment="1" applyProtection="1">
      <alignment horizontal="center"/>
    </xf>
    <xf numFmtId="0" fontId="8" fillId="23" borderId="1" xfId="0" applyFont="1" applyFill="1" applyBorder="1" applyAlignment="1" applyProtection="1">
      <alignment horizontal="center"/>
      <protection locked="0"/>
    </xf>
    <xf numFmtId="0" fontId="8" fillId="23" borderId="26" xfId="0" applyFont="1" applyFill="1" applyBorder="1" applyAlignment="1" applyProtection="1">
      <alignment horizontal="center"/>
      <protection locked="0"/>
    </xf>
    <xf numFmtId="49" fontId="0" fillId="7" borderId="66" xfId="0" applyNumberFormat="1" applyFill="1" applyBorder="1" applyAlignment="1" applyProtection="1">
      <alignment horizontal="center" vertical="center"/>
    </xf>
    <xf numFmtId="0" fontId="11" fillId="4" borderId="0" xfId="0" applyFont="1" applyFill="1" applyBorder="1" applyAlignment="1" applyProtection="1">
      <alignment vertical="center" wrapText="1"/>
    </xf>
    <xf numFmtId="0" fontId="0" fillId="0" borderId="66" xfId="0" applyNumberFormat="1" applyFill="1" applyBorder="1" applyAlignment="1" applyProtection="1">
      <alignment horizontal="center" vertical="center"/>
    </xf>
    <xf numFmtId="9" fontId="0" fillId="7" borderId="66" xfId="0" applyNumberFormat="1" applyFill="1" applyBorder="1" applyAlignment="1" applyProtection="1">
      <alignment horizontal="center" vertical="center"/>
    </xf>
    <xf numFmtId="0" fontId="6" fillId="4" borderId="69" xfId="2" applyFont="1" applyFill="1" applyBorder="1" applyAlignment="1" applyProtection="1">
      <alignment horizontal="left"/>
    </xf>
    <xf numFmtId="0" fontId="6" fillId="4" borderId="27" xfId="2" applyFont="1" applyFill="1" applyBorder="1" applyAlignment="1" applyProtection="1">
      <alignment horizontal="left"/>
    </xf>
    <xf numFmtId="0" fontId="10" fillId="22" borderId="70" xfId="2" applyFont="1" applyFill="1" applyBorder="1" applyAlignment="1" applyProtection="1">
      <alignment horizontal="left"/>
      <protection locked="0"/>
    </xf>
    <xf numFmtId="0" fontId="4" fillId="20" borderId="71" xfId="0" applyFont="1" applyFill="1" applyBorder="1" applyAlignment="1" applyProtection="1">
      <alignment horizontal="center"/>
    </xf>
    <xf numFmtId="0" fontId="11" fillId="0" borderId="0" xfId="0" applyFont="1" applyAlignment="1" applyProtection="1">
      <alignment horizontal="center"/>
    </xf>
    <xf numFmtId="0" fontId="4" fillId="20" borderId="20" xfId="0" applyFont="1" applyFill="1" applyBorder="1" applyProtection="1"/>
    <xf numFmtId="0" fontId="4" fillId="20" borderId="72" xfId="0" applyFont="1" applyFill="1" applyBorder="1" applyAlignment="1" applyProtection="1">
      <alignment horizontal="center"/>
    </xf>
    <xf numFmtId="49" fontId="0" fillId="7" borderId="52" xfId="0" quotePrefix="1" applyNumberFormat="1" applyFill="1" applyBorder="1" applyAlignment="1" applyProtection="1">
      <alignment horizontal="center"/>
    </xf>
    <xf numFmtId="168" fontId="0" fillId="4" borderId="0" xfId="1" applyNumberFormat="1" applyFont="1" applyFill="1" applyBorder="1" applyAlignment="1" applyProtection="1">
      <alignment wrapText="1"/>
    </xf>
    <xf numFmtId="0" fontId="9" fillId="4" borderId="0" xfId="0" applyFont="1" applyFill="1" applyAlignment="1" applyProtection="1">
      <alignment wrapText="1"/>
    </xf>
    <xf numFmtId="0" fontId="6" fillId="24" borderId="2" xfId="2" applyFont="1" applyFill="1" applyBorder="1" applyAlignment="1" applyProtection="1">
      <alignment horizontal="left"/>
    </xf>
    <xf numFmtId="0" fontId="6" fillId="24" borderId="3" xfId="2" applyFont="1" applyFill="1" applyBorder="1" applyAlignment="1" applyProtection="1">
      <alignment horizontal="left" wrapText="1"/>
    </xf>
    <xf numFmtId="0" fontId="6" fillId="24" borderId="6" xfId="2" applyFont="1" applyFill="1" applyBorder="1" applyAlignment="1" applyProtection="1">
      <alignment horizontal="center" wrapText="1"/>
    </xf>
    <xf numFmtId="0" fontId="6" fillId="24" borderId="7" xfId="2" applyFont="1" applyFill="1" applyBorder="1" applyAlignment="1" applyProtection="1">
      <alignment horizontal="center" wrapText="1"/>
    </xf>
    <xf numFmtId="0" fontId="6" fillId="24" borderId="5" xfId="2" applyFont="1" applyFill="1" applyBorder="1" applyAlignment="1" applyProtection="1">
      <alignment horizontal="center" wrapText="1"/>
    </xf>
    <xf numFmtId="0" fontId="6" fillId="24" borderId="11" xfId="2" applyFont="1" applyFill="1" applyBorder="1" applyAlignment="1" applyProtection="1">
      <alignment horizontal="center" wrapText="1"/>
    </xf>
    <xf numFmtId="0" fontId="9" fillId="0" borderId="0" xfId="0" applyFont="1" applyAlignment="1" applyProtection="1">
      <alignment wrapText="1"/>
    </xf>
    <xf numFmtId="0" fontId="6" fillId="24" borderId="71" xfId="2" applyFont="1" applyFill="1" applyBorder="1" applyAlignment="1" applyProtection="1">
      <alignment horizontal="center" wrapText="1"/>
    </xf>
    <xf numFmtId="0" fontId="0" fillId="4" borderId="21" xfId="0" applyFill="1" applyBorder="1" applyAlignment="1" applyProtection="1">
      <alignment wrapText="1"/>
    </xf>
    <xf numFmtId="0" fontId="0" fillId="4" borderId="0" xfId="0" applyFill="1" applyBorder="1" applyAlignment="1" applyProtection="1">
      <alignment wrapText="1"/>
    </xf>
    <xf numFmtId="49" fontId="0" fillId="7" borderId="66" xfId="0" applyNumberFormat="1" applyFill="1" applyBorder="1" applyAlignment="1" applyProtection="1">
      <alignment horizontal="center" vertical="center" wrapText="1"/>
    </xf>
    <xf numFmtId="0" fontId="0" fillId="7" borderId="35" xfId="0" applyFill="1" applyBorder="1" applyAlignment="1" applyProtection="1">
      <alignment horizontal="center" wrapText="1"/>
    </xf>
    <xf numFmtId="0" fontId="0" fillId="7" borderId="26" xfId="0" applyFill="1" applyBorder="1" applyAlignment="1" applyProtection="1">
      <alignment horizontal="center" wrapText="1"/>
    </xf>
    <xf numFmtId="0" fontId="0" fillId="7" borderId="52" xfId="0" applyFill="1" applyBorder="1" applyAlignment="1" applyProtection="1">
      <alignment horizontal="center" wrapText="1"/>
    </xf>
    <xf numFmtId="0" fontId="6" fillId="2" borderId="33" xfId="2" applyFont="1" applyFill="1" applyBorder="1" applyAlignment="1" applyProtection="1">
      <alignment horizontal="left"/>
    </xf>
    <xf numFmtId="0" fontId="6" fillId="2" borderId="42" xfId="2" applyFont="1" applyFill="1" applyBorder="1" applyAlignment="1" applyProtection="1">
      <alignment horizontal="left"/>
    </xf>
    <xf numFmtId="0" fontId="6" fillId="2" borderId="66" xfId="2" applyFont="1" applyFill="1" applyBorder="1" applyAlignment="1" applyProtection="1">
      <alignment horizontal="left"/>
    </xf>
    <xf numFmtId="0" fontId="6" fillId="2" borderId="51" xfId="2" applyFont="1" applyFill="1" applyBorder="1" applyAlignment="1" applyProtection="1">
      <alignment horizontal="left"/>
    </xf>
    <xf numFmtId="0" fontId="10" fillId="0" borderId="22" xfId="3" applyFont="1" applyBorder="1" applyAlignment="1" applyProtection="1">
      <alignment horizontal="left"/>
    </xf>
    <xf numFmtId="44" fontId="13" fillId="22" borderId="1" xfId="0" applyNumberFormat="1" applyFont="1" applyFill="1" applyBorder="1" applyProtection="1">
      <protection locked="0"/>
    </xf>
    <xf numFmtId="44" fontId="13" fillId="22" borderId="29" xfId="0" applyNumberFormat="1" applyFont="1" applyFill="1" applyBorder="1" applyProtection="1">
      <protection locked="0"/>
    </xf>
    <xf numFmtId="44" fontId="2" fillId="22" borderId="26" xfId="0" applyNumberFormat="1" applyFont="1" applyFill="1" applyBorder="1" applyProtection="1">
      <protection locked="0"/>
    </xf>
    <xf numFmtId="44" fontId="13" fillId="0" borderId="52" xfId="0" applyNumberFormat="1" applyFont="1" applyBorder="1" applyProtection="1"/>
    <xf numFmtId="170" fontId="0" fillId="7" borderId="66" xfId="4" applyNumberFormat="1" applyFont="1" applyFill="1" applyBorder="1" applyAlignment="1" applyProtection="1">
      <alignment horizontal="center" vertical="center"/>
    </xf>
    <xf numFmtId="44" fontId="13" fillId="22" borderId="73" xfId="0" applyNumberFormat="1" applyFont="1" applyFill="1" applyBorder="1" applyProtection="1">
      <protection locked="0"/>
    </xf>
    <xf numFmtId="44" fontId="2" fillId="22" borderId="74" xfId="0" applyNumberFormat="1" applyFont="1" applyFill="1" applyBorder="1" applyProtection="1">
      <protection locked="0"/>
    </xf>
    <xf numFmtId="0" fontId="6" fillId="3" borderId="3" xfId="3" applyFont="1" applyFill="1" applyBorder="1" applyAlignment="1" applyProtection="1">
      <alignment horizontal="left"/>
    </xf>
    <xf numFmtId="44" fontId="12" fillId="3" borderId="5" xfId="0" applyNumberFormat="1" applyFont="1" applyFill="1" applyBorder="1" applyProtection="1"/>
    <xf numFmtId="44" fontId="12" fillId="3" borderId="71" xfId="0" applyNumberFormat="1" applyFont="1" applyFill="1" applyBorder="1" applyProtection="1"/>
    <xf numFmtId="0" fontId="6" fillId="0" borderId="59" xfId="3" applyFont="1" applyBorder="1" applyAlignment="1" applyProtection="1">
      <alignment horizontal="left"/>
    </xf>
    <xf numFmtId="0" fontId="6" fillId="0" borderId="19" xfId="3" applyFont="1" applyBorder="1" applyAlignment="1" applyProtection="1">
      <alignment horizontal="left"/>
    </xf>
    <xf numFmtId="0" fontId="6" fillId="0" borderId="19" xfId="3" applyFont="1" applyBorder="1" applyAlignment="1" applyProtection="1">
      <alignment horizontal="left" indent="1"/>
    </xf>
    <xf numFmtId="0" fontId="2" fillId="0" borderId="10" xfId="0" applyFont="1" applyBorder="1" applyProtection="1"/>
    <xf numFmtId="0" fontId="2" fillId="0" borderId="71" xfId="0" applyFont="1" applyBorder="1" applyProtection="1"/>
    <xf numFmtId="0" fontId="6" fillId="2" borderId="20" xfId="2" applyFont="1" applyFill="1" applyBorder="1" applyAlignment="1" applyProtection="1">
      <alignment horizontal="left"/>
    </xf>
    <xf numFmtId="0" fontId="6" fillId="2" borderId="75" xfId="2" applyFont="1" applyFill="1" applyBorder="1" applyAlignment="1" applyProtection="1">
      <alignment horizontal="center"/>
    </xf>
    <xf numFmtId="0" fontId="6" fillId="2" borderId="76" xfId="2" applyFont="1" applyFill="1" applyBorder="1" applyAlignment="1" applyProtection="1">
      <alignment horizontal="center"/>
    </xf>
    <xf numFmtId="0" fontId="6" fillId="2" borderId="72" xfId="2" applyFont="1" applyFill="1" applyBorder="1" applyAlignment="1" applyProtection="1">
      <alignment horizontal="center"/>
    </xf>
    <xf numFmtId="0" fontId="6" fillId="2" borderId="22" xfId="0" applyFont="1" applyFill="1" applyBorder="1" applyAlignment="1" applyProtection="1">
      <alignment horizontal="left"/>
    </xf>
    <xf numFmtId="0" fontId="6" fillId="2" borderId="61" xfId="2" applyFont="1" applyFill="1" applyBorder="1" applyAlignment="1" applyProtection="1">
      <alignment horizontal="center"/>
    </xf>
    <xf numFmtId="44" fontId="6" fillId="2" borderId="54" xfId="0" applyNumberFormat="1" applyFont="1" applyFill="1" applyBorder="1" applyAlignment="1" applyProtection="1"/>
    <xf numFmtId="44" fontId="6" fillId="2" borderId="52" xfId="0" applyNumberFormat="1" applyFont="1" applyFill="1" applyBorder="1" applyAlignment="1" applyProtection="1"/>
    <xf numFmtId="169" fontId="0" fillId="4" borderId="59" xfId="4" applyNumberFormat="1" applyFont="1" applyFill="1" applyBorder="1" applyAlignment="1" applyProtection="1">
      <alignment horizontal="center"/>
    </xf>
    <xf numFmtId="169" fontId="0" fillId="4" borderId="19" xfId="4" applyNumberFormat="1" applyFont="1" applyFill="1" applyBorder="1" applyAlignment="1" applyProtection="1">
      <alignment horizontal="center"/>
    </xf>
    <xf numFmtId="0" fontId="0" fillId="4" borderId="19" xfId="0" applyFill="1" applyBorder="1" applyProtection="1"/>
    <xf numFmtId="170" fontId="0" fillId="7" borderId="67" xfId="4" applyNumberFormat="1" applyFont="1" applyFill="1" applyBorder="1" applyAlignment="1" applyProtection="1">
      <alignment horizontal="center" vertical="center"/>
    </xf>
    <xf numFmtId="169" fontId="0" fillId="0" borderId="21" xfId="4" applyNumberFormat="1" applyFont="1" applyBorder="1" applyAlignment="1" applyProtection="1">
      <alignment horizontal="center"/>
    </xf>
    <xf numFmtId="169" fontId="0" fillId="0" borderId="0" xfId="4" applyNumberFormat="1" applyFont="1" applyBorder="1" applyAlignment="1" applyProtection="1">
      <alignment horizontal="center"/>
    </xf>
    <xf numFmtId="0" fontId="0" fillId="0" borderId="0" xfId="0" applyProtection="1"/>
    <xf numFmtId="0" fontId="0" fillId="0" borderId="0" xfId="0" applyAlignment="1" applyProtection="1">
      <alignment vertical="center"/>
    </xf>
    <xf numFmtId="0" fontId="65" fillId="12" borderId="77" xfId="0" applyFont="1" applyFill="1" applyBorder="1" applyAlignment="1" applyProtection="1">
      <alignment horizontal="center" vertical="center" wrapText="1"/>
    </xf>
    <xf numFmtId="171" fontId="18" fillId="2" borderId="2" xfId="0" applyNumberFormat="1" applyFont="1" applyFill="1" applyBorder="1" applyAlignment="1" applyProtection="1">
      <alignment horizontal="left"/>
    </xf>
    <xf numFmtId="171" fontId="18" fillId="2" borderId="3" xfId="0" applyNumberFormat="1" applyFont="1" applyFill="1" applyBorder="1" applyAlignment="1" applyProtection="1">
      <alignment horizontal="left"/>
    </xf>
    <xf numFmtId="0" fontId="18" fillId="2" borderId="3" xfId="0" applyFont="1" applyFill="1" applyBorder="1" applyAlignment="1" applyProtection="1">
      <alignment horizontal="left"/>
    </xf>
    <xf numFmtId="0" fontId="18" fillId="2" borderId="10" xfId="0" applyFont="1" applyFill="1" applyBorder="1" applyAlignment="1" applyProtection="1">
      <alignment horizontal="left" vertical="center"/>
    </xf>
    <xf numFmtId="171" fontId="0" fillId="0" borderId="53" xfId="0" applyNumberFormat="1" applyBorder="1" applyAlignment="1" applyProtection="1">
      <alignment horizontal="left" indent="1"/>
    </xf>
    <xf numFmtId="171" fontId="0" fillId="0" borderId="61" xfId="0" applyNumberFormat="1" applyBorder="1" applyAlignment="1" applyProtection="1">
      <alignment horizontal="left" indent="1"/>
    </xf>
    <xf numFmtId="0" fontId="0" fillId="0" borderId="61" xfId="0" applyBorder="1" applyProtection="1"/>
    <xf numFmtId="3" fontId="0" fillId="7" borderId="54" xfId="0" applyNumberFormat="1" applyFill="1" applyBorder="1" applyAlignment="1" applyProtection="1">
      <alignment vertical="center"/>
    </xf>
    <xf numFmtId="171" fontId="0" fillId="0" borderId="35" xfId="0" applyNumberFormat="1" applyBorder="1" applyAlignment="1" applyProtection="1">
      <alignment horizontal="left" indent="1"/>
    </xf>
    <xf numFmtId="171" fontId="0" fillId="0" borderId="1" xfId="0" applyNumberFormat="1" applyBorder="1" applyAlignment="1" applyProtection="1">
      <alignment horizontal="left" indent="1"/>
    </xf>
    <xf numFmtId="0" fontId="0" fillId="0" borderId="1" xfId="0" applyBorder="1" applyProtection="1"/>
    <xf numFmtId="3" fontId="0" fillId="7" borderId="26" xfId="0" applyNumberFormat="1" applyFill="1" applyBorder="1" applyAlignment="1" applyProtection="1">
      <alignment vertical="center"/>
    </xf>
    <xf numFmtId="0" fontId="0" fillId="7" borderId="46" xfId="0" applyFill="1" applyBorder="1" applyAlignment="1" applyProtection="1">
      <alignment horizontal="center"/>
    </xf>
    <xf numFmtId="49" fontId="0" fillId="7" borderId="35" xfId="0" quotePrefix="1" applyNumberFormat="1" applyFill="1" applyBorder="1" applyAlignment="1" applyProtection="1">
      <alignment horizontal="center"/>
    </xf>
    <xf numFmtId="49" fontId="0" fillId="7" borderId="26" xfId="0" quotePrefix="1" applyNumberFormat="1" applyFill="1" applyBorder="1" applyAlignment="1" applyProtection="1">
      <alignment horizontal="center"/>
    </xf>
    <xf numFmtId="0" fontId="0" fillId="0" borderId="1" xfId="0" applyFill="1" applyBorder="1" applyProtection="1"/>
    <xf numFmtId="171" fontId="0" fillId="0" borderId="40" xfId="0" applyNumberFormat="1" applyBorder="1" applyAlignment="1" applyProtection="1">
      <alignment horizontal="left" indent="1"/>
    </xf>
    <xf numFmtId="171" fontId="0" fillId="0" borderId="28" xfId="0" applyNumberFormat="1" applyBorder="1" applyAlignment="1" applyProtection="1">
      <alignment horizontal="left" indent="1"/>
    </xf>
    <xf numFmtId="0" fontId="0" fillId="0" borderId="28" xfId="0" applyBorder="1" applyProtection="1"/>
    <xf numFmtId="3" fontId="0" fillId="7" borderId="41" xfId="0" applyNumberFormat="1" applyFill="1" applyBorder="1" applyAlignment="1" applyProtection="1">
      <alignment vertical="center"/>
    </xf>
    <xf numFmtId="3" fontId="18" fillId="24" borderId="10" xfId="0" applyNumberFormat="1" applyFont="1" applyFill="1" applyBorder="1" applyAlignment="1" applyProtection="1">
      <alignment vertical="center"/>
    </xf>
    <xf numFmtId="3" fontId="0" fillId="0" borderId="0" xfId="0" applyNumberFormat="1" applyAlignment="1" applyProtection="1">
      <alignment vertical="center"/>
    </xf>
    <xf numFmtId="0" fontId="58" fillId="2" borderId="10" xfId="0" applyFont="1" applyFill="1" applyBorder="1" applyAlignment="1" applyProtection="1">
      <alignment horizontal="center" vertical="center"/>
    </xf>
    <xf numFmtId="0" fontId="6" fillId="2" borderId="22" xfId="3" applyFont="1" applyFill="1" applyBorder="1" applyAlignment="1" applyProtection="1">
      <alignment horizontal="left"/>
    </xf>
    <xf numFmtId="44" fontId="6" fillId="2" borderId="30" xfId="0" applyNumberFormat="1" applyFont="1" applyFill="1" applyBorder="1" applyAlignment="1" applyProtection="1"/>
    <xf numFmtId="49" fontId="18" fillId="21" borderId="53" xfId="0" applyNumberFormat="1" applyFont="1" applyFill="1" applyBorder="1" applyAlignment="1" applyProtection="1">
      <alignment horizontal="left" indent="1"/>
    </xf>
    <xf numFmtId="49" fontId="70" fillId="21" borderId="61" xfId="0" applyNumberFormat="1" applyFont="1" applyFill="1" applyBorder="1" applyAlignment="1" applyProtection="1">
      <alignment horizontal="right" indent="1"/>
    </xf>
    <xf numFmtId="0" fontId="18" fillId="21" borderId="61" xfId="0" applyFont="1" applyFill="1" applyBorder="1" applyProtection="1"/>
    <xf numFmtId="3" fontId="0" fillId="21" borderId="54" xfId="0" applyNumberFormat="1" applyFill="1" applyBorder="1" applyAlignment="1" applyProtection="1">
      <alignment vertical="center"/>
    </xf>
    <xf numFmtId="168" fontId="67" fillId="25" borderId="4" xfId="0" applyNumberFormat="1" applyFont="1" applyFill="1" applyBorder="1" applyAlignment="1" applyProtection="1">
      <alignment horizontal="center"/>
    </xf>
    <xf numFmtId="44" fontId="17" fillId="0" borderId="52" xfId="0" applyNumberFormat="1" applyFont="1" applyBorder="1" applyProtection="1"/>
    <xf numFmtId="49" fontId="0" fillId="0" borderId="35" xfId="0" applyNumberFormat="1" applyFill="1" applyBorder="1" applyAlignment="1" applyProtection="1">
      <alignment horizontal="right"/>
    </xf>
    <xf numFmtId="49" fontId="0" fillId="0" borderId="1" xfId="0" applyNumberFormat="1" applyFill="1" applyBorder="1" applyAlignment="1" applyProtection="1">
      <alignment horizontal="right"/>
    </xf>
    <xf numFmtId="0" fontId="0" fillId="0" borderId="1" xfId="0" applyFill="1" applyBorder="1" applyAlignment="1" applyProtection="1">
      <alignment horizontal="left" indent="2"/>
    </xf>
    <xf numFmtId="0" fontId="0" fillId="7" borderId="53" xfId="0" applyFill="1" applyBorder="1" applyAlignment="1" applyProtection="1">
      <alignment horizontal="center"/>
    </xf>
    <xf numFmtId="0" fontId="72" fillId="7" borderId="78" xfId="0" applyFont="1" applyFill="1" applyBorder="1" applyProtection="1"/>
    <xf numFmtId="168" fontId="0" fillId="0" borderId="53" xfId="1" applyNumberFormat="1" applyFont="1" applyBorder="1" applyProtection="1"/>
    <xf numFmtId="168" fontId="0" fillId="26" borderId="35" xfId="1" applyNumberFormat="1" applyFont="1" applyFill="1" applyBorder="1" applyProtection="1"/>
    <xf numFmtId="49" fontId="18" fillId="21" borderId="35" xfId="0" applyNumberFormat="1" applyFont="1" applyFill="1" applyBorder="1" applyAlignment="1" applyProtection="1">
      <alignment horizontal="left" indent="1"/>
    </xf>
    <xf numFmtId="49" fontId="70" fillId="21" borderId="1" xfId="0" applyNumberFormat="1" applyFont="1" applyFill="1" applyBorder="1" applyAlignment="1" applyProtection="1">
      <alignment horizontal="right" indent="1"/>
    </xf>
    <xf numFmtId="0" fontId="18" fillId="21" borderId="1" xfId="0" applyFont="1" applyFill="1" applyBorder="1" applyProtection="1"/>
    <xf numFmtId="3" fontId="0" fillId="21" borderId="26" xfId="0" applyNumberFormat="1" applyFill="1" applyBorder="1" applyAlignment="1" applyProtection="1">
      <alignment vertical="center"/>
    </xf>
    <xf numFmtId="0" fontId="72" fillId="7" borderId="22" xfId="0" applyFont="1" applyFill="1" applyBorder="1" applyProtection="1"/>
    <xf numFmtId="168" fontId="0" fillId="0" borderId="35" xfId="1" applyNumberFormat="1" applyFont="1" applyBorder="1" applyProtection="1"/>
    <xf numFmtId="49" fontId="58" fillId="0" borderId="35" xfId="0" applyNumberFormat="1" applyFont="1" applyFill="1" applyBorder="1" applyAlignment="1" applyProtection="1">
      <alignment horizontal="right"/>
    </xf>
    <xf numFmtId="49" fontId="58" fillId="0" borderId="1" xfId="0" applyNumberFormat="1" applyFont="1" applyFill="1" applyBorder="1" applyAlignment="1" applyProtection="1">
      <alignment horizontal="right"/>
    </xf>
    <xf numFmtId="49" fontId="0" fillId="0" borderId="35" xfId="0" applyNumberFormat="1" applyFont="1" applyFill="1" applyBorder="1" applyAlignment="1" applyProtection="1">
      <alignment horizontal="right"/>
    </xf>
    <xf numFmtId="49" fontId="0" fillId="0" borderId="1" xfId="0" applyNumberFormat="1" applyFont="1" applyFill="1" applyBorder="1" applyAlignment="1" applyProtection="1">
      <alignment horizontal="right"/>
    </xf>
    <xf numFmtId="168" fontId="10" fillId="0" borderId="22" xfId="3" applyNumberFormat="1" applyFont="1" applyBorder="1" applyAlignment="1" applyProtection="1">
      <alignment horizontal="left"/>
    </xf>
    <xf numFmtId="0" fontId="10" fillId="4" borderId="22" xfId="3" applyFont="1" applyFill="1" applyBorder="1" applyAlignment="1" applyProtection="1">
      <alignment horizontal="left"/>
    </xf>
    <xf numFmtId="44" fontId="2" fillId="22" borderId="30" xfId="0" applyNumberFormat="1" applyFont="1" applyFill="1" applyBorder="1" applyProtection="1">
      <protection locked="0"/>
    </xf>
    <xf numFmtId="0" fontId="0" fillId="0" borderId="1" xfId="0" applyFont="1" applyFill="1" applyBorder="1" applyAlignment="1" applyProtection="1">
      <alignment horizontal="left" indent="2"/>
    </xf>
    <xf numFmtId="0" fontId="6" fillId="0" borderId="21" xfId="3" applyFont="1" applyBorder="1" applyAlignment="1" applyProtection="1">
      <alignment horizontal="left"/>
    </xf>
    <xf numFmtId="0" fontId="6" fillId="0" borderId="0" xfId="3" applyFont="1" applyBorder="1" applyAlignment="1" applyProtection="1">
      <alignment horizontal="left"/>
    </xf>
    <xf numFmtId="0" fontId="6" fillId="0" borderId="0" xfId="3" applyFont="1" applyBorder="1" applyAlignment="1" applyProtection="1">
      <alignment horizontal="left" indent="1"/>
    </xf>
    <xf numFmtId="0" fontId="2" fillId="0" borderId="20" xfId="0" applyFont="1" applyBorder="1" applyProtection="1"/>
    <xf numFmtId="0" fontId="2" fillId="0" borderId="24" xfId="0" applyFont="1" applyBorder="1" applyProtection="1"/>
    <xf numFmtId="0" fontId="2" fillId="0" borderId="72" xfId="0" applyFont="1" applyBorder="1" applyProtection="1"/>
    <xf numFmtId="44" fontId="6" fillId="2" borderId="49" xfId="0" applyNumberFormat="1" applyFont="1" applyFill="1" applyBorder="1" applyAlignment="1" applyProtection="1"/>
    <xf numFmtId="44" fontId="6" fillId="2" borderId="32" xfId="0" applyNumberFormat="1" applyFont="1" applyFill="1" applyBorder="1" applyAlignment="1" applyProtection="1"/>
    <xf numFmtId="44" fontId="6" fillId="2" borderId="51" xfId="0" applyNumberFormat="1" applyFont="1" applyFill="1" applyBorder="1" applyAlignment="1" applyProtection="1"/>
    <xf numFmtId="0" fontId="0" fillId="7" borderId="40" xfId="0" applyFill="1" applyBorder="1" applyAlignment="1" applyProtection="1">
      <alignment horizontal="center"/>
    </xf>
    <xf numFmtId="0" fontId="0" fillId="7" borderId="41" xfId="0" applyFill="1" applyBorder="1" applyAlignment="1" applyProtection="1">
      <alignment horizontal="center"/>
    </xf>
    <xf numFmtId="0" fontId="73" fillId="7" borderId="22" xfId="0" applyFont="1" applyFill="1" applyBorder="1" applyProtection="1"/>
    <xf numFmtId="44" fontId="2" fillId="22" borderId="41" xfId="0" applyNumberFormat="1" applyFont="1" applyFill="1" applyBorder="1" applyProtection="1">
      <protection locked="0"/>
    </xf>
    <xf numFmtId="168" fontId="18" fillId="4" borderId="0" xfId="0" applyNumberFormat="1" applyFont="1" applyFill="1" applyBorder="1" applyProtection="1"/>
    <xf numFmtId="0" fontId="10" fillId="0" borderId="2" xfId="3" applyFont="1" applyBorder="1" applyAlignment="1" applyProtection="1">
      <alignment horizontal="left"/>
    </xf>
    <xf numFmtId="0" fontId="10" fillId="0" borderId="3" xfId="3" applyFont="1" applyBorder="1" applyAlignment="1" applyProtection="1">
      <alignment horizontal="left"/>
    </xf>
    <xf numFmtId="0" fontId="10" fillId="0" borderId="5" xfId="3" applyFont="1" applyBorder="1" applyAlignment="1" applyProtection="1">
      <alignment horizontal="left" indent="1"/>
    </xf>
    <xf numFmtId="44" fontId="13" fillId="0" borderId="46" xfId="0" applyNumberFormat="1" applyFont="1" applyBorder="1" applyProtection="1"/>
    <xf numFmtId="44" fontId="13" fillId="0" borderId="71" xfId="0" applyNumberFormat="1" applyFont="1" applyBorder="1" applyProtection="1"/>
    <xf numFmtId="0" fontId="10" fillId="4" borderId="0" xfId="0" applyFont="1" applyFill="1" applyProtection="1"/>
    <xf numFmtId="49" fontId="0" fillId="21" borderId="35" xfId="0" applyNumberFormat="1" applyFill="1" applyBorder="1" applyAlignment="1" applyProtection="1">
      <alignment horizontal="left" indent="1"/>
    </xf>
    <xf numFmtId="0" fontId="0" fillId="21" borderId="1" xfId="0" applyFill="1" applyBorder="1" applyProtection="1"/>
    <xf numFmtId="49" fontId="0" fillId="0" borderId="35" xfId="0" applyNumberFormat="1" applyFill="1" applyBorder="1" applyAlignment="1" applyProtection="1">
      <alignment horizontal="left" indent="1"/>
    </xf>
    <xf numFmtId="49" fontId="0" fillId="0" borderId="1" xfId="0" applyNumberFormat="1" applyFill="1" applyBorder="1" applyAlignment="1" applyProtection="1">
      <alignment horizontal="left" indent="1"/>
    </xf>
    <xf numFmtId="0" fontId="33" fillId="0" borderId="1" xfId="0" applyFont="1" applyFill="1" applyBorder="1" applyProtection="1"/>
    <xf numFmtId="0" fontId="72" fillId="7" borderId="80" xfId="0" applyFont="1" applyFill="1" applyBorder="1" applyProtection="1"/>
    <xf numFmtId="168" fontId="18" fillId="8" borderId="6" xfId="0" applyNumberFormat="1" applyFont="1" applyFill="1" applyBorder="1" applyProtection="1"/>
    <xf numFmtId="49" fontId="0" fillId="0" borderId="40" xfId="0" applyNumberFormat="1" applyFill="1" applyBorder="1" applyAlignment="1" applyProtection="1">
      <alignment horizontal="left" indent="1"/>
    </xf>
    <xf numFmtId="49" fontId="0" fillId="0" borderId="28" xfId="0" applyNumberFormat="1" applyFill="1" applyBorder="1" applyAlignment="1" applyProtection="1">
      <alignment horizontal="left" indent="1"/>
    </xf>
    <xf numFmtId="0" fontId="33" fillId="0" borderId="28" xfId="0" applyFont="1" applyFill="1" applyBorder="1" applyProtection="1"/>
    <xf numFmtId="49" fontId="18" fillId="24" borderId="2" xfId="0" applyNumberFormat="1" applyFont="1" applyFill="1" applyBorder="1" applyAlignment="1" applyProtection="1">
      <alignment horizontal="left" vertical="center"/>
    </xf>
    <xf numFmtId="49" fontId="18" fillId="24" borderId="3" xfId="0" applyNumberFormat="1" applyFont="1" applyFill="1" applyBorder="1" applyAlignment="1" applyProtection="1">
      <alignment horizontal="left" vertical="center"/>
    </xf>
    <xf numFmtId="0" fontId="18" fillId="24" borderId="3" xfId="0" applyFont="1" applyFill="1" applyBorder="1" applyProtection="1"/>
    <xf numFmtId="3" fontId="9" fillId="0" borderId="0" xfId="0" applyNumberFormat="1" applyFont="1" applyProtection="1"/>
    <xf numFmtId="171" fontId="18" fillId="0" borderId="0" xfId="0" applyNumberFormat="1" applyFont="1" applyBorder="1" applyAlignment="1" applyProtection="1">
      <alignment horizontal="left" vertical="center"/>
    </xf>
    <xf numFmtId="0" fontId="18" fillId="0" borderId="0" xfId="0" applyFont="1" applyBorder="1" applyProtection="1"/>
    <xf numFmtId="3" fontId="18" fillId="0" borderId="0" xfId="0" applyNumberFormat="1" applyFont="1" applyBorder="1" applyAlignment="1" applyProtection="1">
      <alignment vertical="center"/>
    </xf>
    <xf numFmtId="168" fontId="9" fillId="0" borderId="0" xfId="0" applyNumberFormat="1" applyFont="1" applyProtection="1"/>
    <xf numFmtId="2" fontId="0" fillId="0" borderId="35" xfId="0" applyNumberFormat="1" applyBorder="1" applyAlignment="1" applyProtection="1">
      <alignment horizontal="left" indent="1"/>
    </xf>
    <xf numFmtId="2" fontId="0" fillId="0" borderId="35" xfId="0" applyNumberFormat="1" applyFill="1" applyBorder="1" applyAlignment="1" applyProtection="1">
      <alignment horizontal="left" indent="1"/>
    </xf>
    <xf numFmtId="171" fontId="0" fillId="0" borderId="1" xfId="0" applyNumberFormat="1" applyFill="1" applyBorder="1" applyAlignment="1" applyProtection="1">
      <alignment horizontal="left" indent="1"/>
    </xf>
    <xf numFmtId="2" fontId="18" fillId="21" borderId="35" xfId="0" applyNumberFormat="1" applyFont="1" applyFill="1" applyBorder="1" applyAlignment="1" applyProtection="1">
      <alignment horizontal="left" indent="1"/>
    </xf>
    <xf numFmtId="2" fontId="0" fillId="0" borderId="40" xfId="0" applyNumberFormat="1" applyFill="1" applyBorder="1" applyAlignment="1" applyProtection="1">
      <alignment horizontal="left" indent="1"/>
    </xf>
    <xf numFmtId="171" fontId="0" fillId="0" borderId="28" xfId="0" applyNumberFormat="1" applyFill="1" applyBorder="1" applyAlignment="1" applyProtection="1">
      <alignment horizontal="left" indent="1"/>
    </xf>
    <xf numFmtId="0" fontId="0" fillId="0" borderId="28" xfId="0" applyFill="1" applyBorder="1" applyProtection="1"/>
    <xf numFmtId="171" fontId="18" fillId="0" borderId="0" xfId="0" applyNumberFormat="1" applyFont="1" applyProtection="1"/>
    <xf numFmtId="0" fontId="18" fillId="0" borderId="0" xfId="0" applyFont="1" applyProtection="1"/>
    <xf numFmtId="3" fontId="18" fillId="0" borderId="0" xfId="0" applyNumberFormat="1" applyFont="1" applyAlignment="1" applyProtection="1">
      <alignment vertical="center"/>
    </xf>
    <xf numFmtId="171" fontId="18" fillId="2" borderId="23" xfId="0" applyNumberFormat="1" applyFont="1" applyFill="1" applyBorder="1" applyAlignment="1" applyProtection="1">
      <alignment horizontal="left"/>
    </xf>
    <xf numFmtId="171" fontId="18" fillId="2" borderId="20" xfId="0" applyNumberFormat="1" applyFont="1" applyFill="1" applyBorder="1" applyAlignment="1" applyProtection="1">
      <alignment horizontal="left"/>
    </xf>
    <xf numFmtId="0" fontId="18" fillId="2" borderId="20" xfId="0" applyFont="1" applyFill="1" applyBorder="1" applyAlignment="1" applyProtection="1">
      <alignment horizontal="left"/>
    </xf>
    <xf numFmtId="0" fontId="18" fillId="2" borderId="24" xfId="0" applyFont="1" applyFill="1" applyBorder="1" applyAlignment="1" applyProtection="1">
      <alignment horizontal="left" vertical="center"/>
    </xf>
    <xf numFmtId="171" fontId="0" fillId="0" borderId="53" xfId="0" applyNumberFormat="1" applyFill="1" applyBorder="1" applyAlignment="1" applyProtection="1">
      <alignment horizontal="left" indent="1"/>
    </xf>
    <xf numFmtId="171" fontId="0" fillId="0" borderId="61" xfId="0" applyNumberFormat="1" applyFill="1" applyBorder="1" applyAlignment="1" applyProtection="1">
      <alignment horizontal="left" indent="1"/>
    </xf>
    <xf numFmtId="0" fontId="0" fillId="0" borderId="61" xfId="0" applyFont="1" applyFill="1" applyBorder="1" applyProtection="1"/>
    <xf numFmtId="10" fontId="18" fillId="7" borderId="54" xfId="17" applyNumberFormat="1" applyFont="1" applyFill="1" applyBorder="1" applyAlignment="1" applyProtection="1">
      <alignment vertical="center"/>
    </xf>
    <xf numFmtId="171" fontId="0" fillId="0" borderId="40" xfId="0" applyNumberFormat="1" applyFill="1" applyBorder="1" applyAlignment="1" applyProtection="1">
      <alignment horizontal="left" indent="1"/>
    </xf>
    <xf numFmtId="0" fontId="0" fillId="0" borderId="28" xfId="0" applyFont="1" applyFill="1" applyBorder="1" applyProtection="1"/>
    <xf numFmtId="3" fontId="18" fillId="7" borderId="41" xfId="0" applyNumberFormat="1" applyFont="1" applyFill="1" applyBorder="1" applyAlignment="1" applyProtection="1">
      <alignment vertical="center"/>
    </xf>
    <xf numFmtId="49" fontId="18" fillId="24" borderId="2" xfId="0" applyNumberFormat="1" applyFont="1" applyFill="1" applyBorder="1" applyProtection="1"/>
    <xf numFmtId="49" fontId="18" fillId="24" borderId="3" xfId="0" applyNumberFormat="1" applyFont="1" applyFill="1" applyBorder="1" applyProtection="1"/>
    <xf numFmtId="9" fontId="18" fillId="7" borderId="54" xfId="17" applyFont="1" applyFill="1" applyBorder="1" applyAlignment="1" applyProtection="1">
      <alignment vertical="center"/>
    </xf>
    <xf numFmtId="49" fontId="18" fillId="0" borderId="0" xfId="0" applyNumberFormat="1" applyFont="1" applyBorder="1" applyProtection="1"/>
    <xf numFmtId="171" fontId="18" fillId="24" borderId="2" xfId="0" applyNumberFormat="1" applyFont="1" applyFill="1" applyBorder="1" applyProtection="1"/>
    <xf numFmtId="171" fontId="18" fillId="24" borderId="3" xfId="0" applyNumberFormat="1" applyFont="1" applyFill="1" applyBorder="1" applyProtection="1"/>
    <xf numFmtId="10" fontId="44" fillId="0" borderId="0" xfId="17" applyNumberFormat="1" applyFont="1" applyAlignment="1" applyProtection="1">
      <alignment vertical="center"/>
    </xf>
    <xf numFmtId="0" fontId="18" fillId="0" borderId="61" xfId="0" applyFont="1" applyBorder="1" applyProtection="1"/>
    <xf numFmtId="3" fontId="18" fillId="7" borderId="54" xfId="0" applyNumberFormat="1" applyFont="1" applyFill="1" applyBorder="1" applyAlignment="1" applyProtection="1">
      <alignment vertical="center"/>
    </xf>
    <xf numFmtId="0" fontId="18" fillId="0" borderId="28" xfId="0" applyFont="1" applyFill="1" applyBorder="1" applyProtection="1"/>
    <xf numFmtId="3" fontId="18" fillId="0" borderId="41" xfId="0" applyNumberFormat="1" applyFont="1" applyFill="1" applyBorder="1" applyAlignment="1" applyProtection="1">
      <alignment vertical="center"/>
    </xf>
    <xf numFmtId="171" fontId="18" fillId="0" borderId="0" xfId="0" applyNumberFormat="1" applyFont="1" applyBorder="1" applyProtection="1"/>
    <xf numFmtId="0" fontId="0" fillId="0" borderId="0" xfId="0" applyBorder="1" applyProtection="1"/>
    <xf numFmtId="0" fontId="0" fillId="0" borderId="0" xfId="0" applyBorder="1" applyAlignment="1" applyProtection="1">
      <alignment vertical="center"/>
    </xf>
    <xf numFmtId="171" fontId="0" fillId="0" borderId="43" xfId="0" applyNumberFormat="1" applyBorder="1" applyAlignment="1" applyProtection="1">
      <alignment horizontal="left" indent="1"/>
    </xf>
    <xf numFmtId="171" fontId="0" fillId="0" borderId="44" xfId="0" applyNumberFormat="1" applyBorder="1" applyAlignment="1" applyProtection="1">
      <alignment horizontal="left" indent="1"/>
    </xf>
    <xf numFmtId="0" fontId="0" fillId="0" borderId="44" xfId="0" applyFont="1" applyFill="1" applyBorder="1" applyProtection="1"/>
    <xf numFmtId="10" fontId="18" fillId="7" borderId="45" xfId="17" applyNumberFormat="1" applyFont="1" applyFill="1" applyBorder="1" applyAlignment="1" applyProtection="1">
      <alignment vertical="center"/>
    </xf>
    <xf numFmtId="0" fontId="0" fillId="0" borderId="61" xfId="0" applyFont="1" applyBorder="1" applyProtection="1"/>
    <xf numFmtId="0" fontId="0" fillId="0" borderId="1" xfId="0" applyFont="1" applyBorder="1" applyProtection="1"/>
    <xf numFmtId="3" fontId="0" fillId="7" borderId="26" xfId="0" applyNumberFormat="1" applyFont="1" applyFill="1" applyBorder="1" applyAlignment="1" applyProtection="1">
      <alignment vertical="center"/>
    </xf>
    <xf numFmtId="0" fontId="0" fillId="0" borderId="1" xfId="0" applyFont="1" applyFill="1" applyBorder="1" applyProtection="1"/>
    <xf numFmtId="3" fontId="18" fillId="7" borderId="26" xfId="0" applyNumberFormat="1" applyFont="1" applyFill="1" applyBorder="1" applyAlignment="1" applyProtection="1">
      <alignment vertical="center"/>
    </xf>
    <xf numFmtId="0" fontId="18" fillId="0" borderId="71" xfId="0" applyFont="1" applyFill="1" applyBorder="1" applyAlignment="1" applyProtection="1">
      <alignment wrapText="1"/>
    </xf>
    <xf numFmtId="0" fontId="0" fillId="20" borderId="0" xfId="0" applyFill="1" applyBorder="1" applyProtection="1"/>
    <xf numFmtId="0" fontId="0" fillId="20" borderId="81" xfId="0" applyFill="1" applyBorder="1" applyProtection="1"/>
    <xf numFmtId="0" fontId="0" fillId="20" borderId="0" xfId="0" applyFill="1" applyProtection="1"/>
    <xf numFmtId="0" fontId="0" fillId="20" borderId="82" xfId="0" applyFill="1" applyBorder="1" applyProtection="1"/>
    <xf numFmtId="0" fontId="75" fillId="4" borderId="0" xfId="0" applyFont="1" applyFill="1" applyBorder="1" applyAlignment="1" applyProtection="1">
      <alignment vertical="center"/>
    </xf>
    <xf numFmtId="0" fontId="76" fillId="4" borderId="0" xfId="0" applyFont="1" applyFill="1" applyBorder="1" applyAlignment="1" applyProtection="1">
      <alignment vertical="center"/>
    </xf>
    <xf numFmtId="0" fontId="66" fillId="4" borderId="0" xfId="0" applyFont="1" applyFill="1" applyBorder="1" applyProtection="1"/>
    <xf numFmtId="0" fontId="77" fillId="4" borderId="0" xfId="0" applyFont="1" applyFill="1" applyBorder="1" applyAlignment="1" applyProtection="1">
      <alignment horizontal="right"/>
    </xf>
    <xf numFmtId="0" fontId="78" fillId="4" borderId="83" xfId="0" applyFont="1" applyFill="1" applyBorder="1" applyAlignment="1" applyProtection="1">
      <alignment horizontal="right" vertical="center"/>
    </xf>
    <xf numFmtId="0" fontId="0" fillId="4" borderId="82" xfId="0" applyFill="1" applyBorder="1" applyProtection="1"/>
    <xf numFmtId="0" fontId="80" fillId="4" borderId="85" xfId="0" applyFont="1" applyFill="1" applyBorder="1" applyAlignment="1" applyProtection="1"/>
    <xf numFmtId="0" fontId="81" fillId="4" borderId="0" xfId="0" applyFont="1" applyFill="1" applyBorder="1" applyAlignment="1" applyProtection="1">
      <alignment vertical="center"/>
    </xf>
    <xf numFmtId="0" fontId="80" fillId="4" borderId="82" xfId="0" applyFont="1" applyFill="1" applyBorder="1" applyAlignment="1" applyProtection="1"/>
    <xf numFmtId="0" fontId="80" fillId="4" borderId="0" xfId="0" applyFont="1" applyFill="1" applyBorder="1" applyAlignment="1" applyProtection="1"/>
    <xf numFmtId="0" fontId="83" fillId="4" borderId="0" xfId="0" applyFont="1" applyFill="1" applyBorder="1" applyAlignment="1" applyProtection="1">
      <alignment horizontal="right"/>
    </xf>
    <xf numFmtId="0" fontId="83" fillId="4" borderId="0" xfId="0" applyFont="1" applyFill="1" applyAlignment="1" applyProtection="1">
      <alignment horizontal="right"/>
    </xf>
    <xf numFmtId="0" fontId="0" fillId="4" borderId="0" xfId="0" applyFill="1" applyAlignment="1" applyProtection="1">
      <alignment horizontal="right"/>
    </xf>
    <xf numFmtId="0" fontId="82" fillId="4" borderId="0" xfId="0" applyFont="1" applyFill="1" applyProtection="1"/>
    <xf numFmtId="0" fontId="80" fillId="4" borderId="0" xfId="0" applyFont="1" applyFill="1" applyProtection="1"/>
    <xf numFmtId="0" fontId="0" fillId="4" borderId="89" xfId="0" applyFill="1" applyBorder="1" applyProtection="1"/>
    <xf numFmtId="0" fontId="87" fillId="4" borderId="36" xfId="19" applyFont="1" applyFill="1" applyBorder="1" applyAlignment="1" applyProtection="1">
      <alignment horizontal="center" vertical="center" wrapText="1"/>
    </xf>
    <xf numFmtId="14" fontId="88" fillId="23" borderId="77" xfId="19" applyNumberFormat="1" applyFont="1" applyFill="1" applyBorder="1" applyAlignment="1" applyProtection="1">
      <alignment horizontal="center" vertical="center" wrapText="1"/>
      <protection locked="0"/>
    </xf>
    <xf numFmtId="49" fontId="88" fillId="23" borderId="77" xfId="19" applyNumberFormat="1" applyFont="1" applyFill="1" applyBorder="1" applyAlignment="1" applyProtection="1">
      <alignment horizontal="center" vertical="center" wrapText="1"/>
      <protection locked="0"/>
    </xf>
    <xf numFmtId="1" fontId="88" fillId="4" borderId="77" xfId="19" applyNumberFormat="1" applyFont="1" applyFill="1" applyBorder="1" applyAlignment="1" applyProtection="1">
      <alignment horizontal="center" vertical="center" wrapText="1"/>
      <protection locked="0"/>
    </xf>
    <xf numFmtId="1" fontId="88" fillId="23" borderId="77" xfId="19" applyNumberFormat="1" applyFont="1" applyFill="1" applyBorder="1" applyAlignment="1" applyProtection="1">
      <alignment horizontal="center" vertical="center" wrapText="1"/>
      <protection locked="0"/>
    </xf>
    <xf numFmtId="1" fontId="88" fillId="23" borderId="79" xfId="19" applyNumberFormat="1" applyFont="1" applyFill="1" applyBorder="1" applyAlignment="1" applyProtection="1">
      <alignment horizontal="center" vertical="center" wrapText="1"/>
      <protection locked="0"/>
    </xf>
    <xf numFmtId="1" fontId="88" fillId="4" borderId="79" xfId="19" applyNumberFormat="1" applyFont="1" applyFill="1" applyBorder="1" applyAlignment="1" applyProtection="1">
      <alignment horizontal="center" vertical="center" wrapText="1"/>
      <protection locked="0"/>
    </xf>
    <xf numFmtId="1" fontId="88" fillId="23" borderId="37" xfId="19" applyNumberFormat="1" applyFont="1" applyFill="1" applyBorder="1" applyAlignment="1" applyProtection="1">
      <alignment horizontal="center" vertical="center" wrapText="1"/>
      <protection locked="0"/>
    </xf>
    <xf numFmtId="173" fontId="88" fillId="4" borderId="36" xfId="19" applyNumberFormat="1" applyFont="1" applyFill="1" applyBorder="1" applyAlignment="1" applyProtection="1">
      <alignment horizontal="center" vertical="center" wrapText="1"/>
      <protection locked="0"/>
    </xf>
    <xf numFmtId="173" fontId="88" fillId="4" borderId="77" xfId="19" applyNumberFormat="1" applyFont="1" applyFill="1" applyBorder="1" applyAlignment="1" applyProtection="1">
      <alignment horizontal="center" vertical="center" wrapText="1"/>
      <protection locked="0"/>
    </xf>
    <xf numFmtId="173" fontId="88" fillId="4" borderId="37" xfId="19" applyNumberFormat="1" applyFont="1" applyFill="1" applyBorder="1" applyAlignment="1" applyProtection="1">
      <alignment horizontal="center" vertical="center" wrapText="1"/>
      <protection locked="0"/>
    </xf>
    <xf numFmtId="0" fontId="88" fillId="23" borderId="94" xfId="19" applyNumberFormat="1" applyFont="1" applyFill="1" applyBorder="1" applyAlignment="1" applyProtection="1">
      <alignment horizontal="center" vertical="center" wrapText="1"/>
      <protection locked="0"/>
    </xf>
    <xf numFmtId="164" fontId="33" fillId="0" borderId="0" xfId="0" applyNumberFormat="1" applyFont="1" applyProtection="1"/>
    <xf numFmtId="0" fontId="33" fillId="0" borderId="0" xfId="0" applyFont="1" applyProtection="1"/>
    <xf numFmtId="0" fontId="87" fillId="4" borderId="40" xfId="19" applyFont="1" applyFill="1" applyBorder="1" applyAlignment="1" applyProtection="1">
      <alignment horizontal="center" vertical="center" wrapText="1"/>
    </xf>
    <xf numFmtId="1" fontId="88" fillId="23" borderId="50" xfId="19" applyNumberFormat="1" applyFont="1" applyFill="1" applyBorder="1" applyAlignment="1" applyProtection="1">
      <alignment horizontal="center" vertical="center" wrapText="1"/>
      <protection locked="0"/>
    </xf>
    <xf numFmtId="0" fontId="87" fillId="4" borderId="0" xfId="19" applyFont="1" applyFill="1" applyBorder="1" applyAlignment="1" applyProtection="1">
      <alignment horizontal="center" vertical="center" wrapText="1"/>
    </xf>
    <xf numFmtId="1" fontId="87" fillId="4" borderId="0" xfId="19" applyNumberFormat="1" applyFont="1" applyFill="1" applyBorder="1" applyAlignment="1" applyProtection="1">
      <alignment horizontal="center" vertical="center" wrapText="1"/>
    </xf>
    <xf numFmtId="174" fontId="87" fillId="4" borderId="0" xfId="19" applyNumberFormat="1" applyFont="1" applyFill="1" applyBorder="1" applyAlignment="1" applyProtection="1">
      <alignment horizontal="right" vertical="center" wrapText="1"/>
    </xf>
    <xf numFmtId="173" fontId="87" fillId="4" borderId="55" xfId="19" applyNumberFormat="1" applyFont="1" applyFill="1" applyBorder="1" applyAlignment="1" applyProtection="1">
      <alignment horizontal="center" vertical="center" wrapText="1"/>
    </xf>
    <xf numFmtId="174" fontId="87" fillId="4" borderId="0" xfId="19" applyNumberFormat="1" applyFont="1" applyFill="1" applyBorder="1" applyAlignment="1" applyProtection="1">
      <alignment horizontal="center" vertical="center" wrapText="1"/>
    </xf>
    <xf numFmtId="176" fontId="87" fillId="4" borderId="0" xfId="19" applyNumberFormat="1" applyFont="1" applyFill="1" applyBorder="1" applyAlignment="1" applyProtection="1">
      <alignment horizontal="center" vertical="center" wrapText="1"/>
    </xf>
    <xf numFmtId="0" fontId="89" fillId="0" borderId="0" xfId="0" applyFont="1" applyProtection="1"/>
    <xf numFmtId="0" fontId="0" fillId="4" borderId="85" xfId="0" applyFill="1" applyBorder="1" applyProtection="1"/>
    <xf numFmtId="0" fontId="0" fillId="4" borderId="0" xfId="0" applyFont="1" applyFill="1" applyAlignment="1" applyProtection="1">
      <alignment horizontal="right"/>
    </xf>
    <xf numFmtId="0" fontId="0" fillId="4" borderId="95" xfId="0" applyFill="1" applyBorder="1" applyProtection="1"/>
    <xf numFmtId="0" fontId="0" fillId="4" borderId="81" xfId="0" applyFill="1" applyBorder="1" applyProtection="1"/>
    <xf numFmtId="0" fontId="0" fillId="4" borderId="96" xfId="0" applyFill="1" applyBorder="1" applyProtection="1"/>
    <xf numFmtId="0" fontId="0" fillId="0" borderId="0" xfId="0" applyAlignment="1" applyProtection="1">
      <alignment wrapText="1"/>
    </xf>
    <xf numFmtId="0" fontId="0" fillId="20" borderId="79" xfId="0" applyFill="1" applyBorder="1"/>
    <xf numFmtId="0" fontId="0" fillId="20" borderId="101" xfId="0" applyFill="1" applyBorder="1"/>
    <xf numFmtId="0" fontId="0" fillId="20" borderId="94" xfId="0" applyFill="1" applyBorder="1"/>
    <xf numFmtId="0" fontId="0" fillId="20" borderId="73" xfId="0" applyFill="1" applyBorder="1"/>
    <xf numFmtId="0" fontId="0" fillId="4" borderId="102" xfId="0" applyFill="1" applyBorder="1"/>
    <xf numFmtId="0" fontId="0" fillId="4" borderId="103" xfId="0" applyFill="1" applyBorder="1"/>
    <xf numFmtId="0" fontId="66" fillId="4" borderId="105" xfId="0" applyFont="1" applyFill="1" applyBorder="1"/>
    <xf numFmtId="0" fontId="0" fillId="20" borderId="106" xfId="0" applyFill="1" applyBorder="1"/>
    <xf numFmtId="0" fontId="0" fillId="4" borderId="107" xfId="0" applyFill="1" applyBorder="1"/>
    <xf numFmtId="0" fontId="90" fillId="4" borderId="0" xfId="0" applyFont="1" applyFill="1" applyBorder="1"/>
    <xf numFmtId="0" fontId="0" fillId="4" borderId="0" xfId="0" applyFill="1" applyBorder="1"/>
    <xf numFmtId="0" fontId="0" fillId="4" borderId="66" xfId="0" applyFill="1" applyBorder="1"/>
    <xf numFmtId="0" fontId="0" fillId="20" borderId="72" xfId="0" applyFill="1" applyBorder="1"/>
    <xf numFmtId="0" fontId="0" fillId="20" borderId="72" xfId="0" applyFill="1" applyBorder="1" applyAlignment="1">
      <alignment vertical="center"/>
    </xf>
    <xf numFmtId="0" fontId="0" fillId="4" borderId="21" xfId="0" applyFill="1" applyBorder="1"/>
    <xf numFmtId="0" fontId="66" fillId="4" borderId="108" xfId="0" applyFont="1" applyFill="1" applyBorder="1"/>
    <xf numFmtId="0" fontId="0" fillId="20" borderId="86" xfId="0" applyFill="1" applyBorder="1"/>
    <xf numFmtId="0" fontId="18" fillId="0" borderId="99" xfId="0" applyFont="1" applyBorder="1" applyAlignment="1">
      <alignment horizontal="center" vertical="center" wrapText="1"/>
    </xf>
    <xf numFmtId="0" fontId="18" fillId="0" borderId="78" xfId="0" applyFont="1" applyBorder="1" applyAlignment="1">
      <alignment horizontal="center" vertical="center"/>
    </xf>
    <xf numFmtId="0" fontId="18" fillId="0" borderId="60" xfId="0" applyFont="1" applyBorder="1" applyAlignment="1">
      <alignment horizontal="center" vertical="center"/>
    </xf>
    <xf numFmtId="0" fontId="0" fillId="20" borderId="86" xfId="0" applyFill="1" applyBorder="1" applyAlignment="1">
      <alignment vertical="center"/>
    </xf>
    <xf numFmtId="0" fontId="18" fillId="0" borderId="78" xfId="0" applyFont="1" applyBorder="1" applyAlignment="1">
      <alignment horizontal="center" vertical="center" wrapText="1"/>
    </xf>
    <xf numFmtId="0" fontId="0" fillId="4" borderId="59" xfId="0" applyFill="1" applyBorder="1"/>
    <xf numFmtId="0" fontId="0" fillId="4" borderId="19" xfId="0" applyFill="1" applyBorder="1"/>
    <xf numFmtId="0" fontId="18" fillId="4" borderId="67" xfId="0" applyFont="1" applyFill="1" applyBorder="1" applyAlignment="1">
      <alignment horizontal="right" vertical="center"/>
    </xf>
    <xf numFmtId="0" fontId="94" fillId="20" borderId="86" xfId="0" applyFont="1" applyFill="1" applyBorder="1" applyAlignment="1">
      <alignment horizontal="center" vertical="center" wrapText="1"/>
    </xf>
    <xf numFmtId="0" fontId="18" fillId="7" borderId="35" xfId="0" applyFont="1" applyFill="1" applyBorder="1" applyAlignment="1" applyProtection="1">
      <alignment horizontal="center" vertical="center" wrapText="1"/>
      <protection locked="0"/>
    </xf>
    <xf numFmtId="0" fontId="18" fillId="7" borderId="1" xfId="0" applyFont="1" applyFill="1" applyBorder="1" applyAlignment="1" applyProtection="1">
      <alignment horizontal="center" vertical="center" wrapText="1"/>
      <protection locked="0"/>
    </xf>
    <xf numFmtId="0" fontId="18" fillId="7" borderId="26" xfId="0" applyFont="1" applyFill="1" applyBorder="1" applyAlignment="1" applyProtection="1">
      <alignment horizontal="center" vertical="center" wrapText="1"/>
      <protection locked="0"/>
    </xf>
    <xf numFmtId="0" fontId="18" fillId="7" borderId="30" xfId="0" applyFont="1" applyFill="1" applyBorder="1" applyAlignment="1" applyProtection="1">
      <alignment horizontal="center" vertical="center" wrapText="1"/>
      <protection locked="0"/>
    </xf>
    <xf numFmtId="0" fontId="94" fillId="0" borderId="33" xfId="0" applyFont="1" applyFill="1" applyBorder="1" applyAlignment="1">
      <alignment horizontal="left" vertical="center" wrapText="1"/>
    </xf>
    <xf numFmtId="0" fontId="94" fillId="0" borderId="42" xfId="0" applyFont="1" applyFill="1" applyBorder="1" applyAlignment="1">
      <alignment horizontal="left" vertical="center" wrapText="1"/>
    </xf>
    <xf numFmtId="0" fontId="94" fillId="0" borderId="42" xfId="0" applyFont="1" applyFill="1" applyBorder="1" applyAlignment="1">
      <alignment horizontal="center" vertical="center" wrapText="1"/>
    </xf>
    <xf numFmtId="0" fontId="94" fillId="0" borderId="34" xfId="0" applyFont="1" applyFill="1" applyBorder="1" applyAlignment="1">
      <alignment horizontal="center" vertical="center" wrapText="1"/>
    </xf>
    <xf numFmtId="177" fontId="18" fillId="7" borderId="35" xfId="0" applyNumberFormat="1" applyFont="1" applyFill="1" applyBorder="1" applyAlignment="1" applyProtection="1">
      <alignment horizontal="center" vertical="center" wrapText="1"/>
      <protection locked="0"/>
    </xf>
    <xf numFmtId="177" fontId="18" fillId="7" borderId="1" xfId="0" applyNumberFormat="1" applyFont="1" applyFill="1" applyBorder="1" applyAlignment="1" applyProtection="1">
      <alignment horizontal="center" vertical="center" wrapText="1"/>
      <protection locked="0"/>
    </xf>
    <xf numFmtId="177" fontId="18" fillId="7" borderId="26" xfId="0" applyNumberFormat="1" applyFont="1" applyFill="1" applyBorder="1" applyAlignment="1" applyProtection="1">
      <alignment horizontal="center" vertical="center" wrapText="1"/>
      <protection locked="0"/>
    </xf>
    <xf numFmtId="177" fontId="94" fillId="20" borderId="86" xfId="0" applyNumberFormat="1" applyFont="1" applyFill="1" applyBorder="1" applyAlignment="1">
      <alignment horizontal="center" vertical="center" wrapText="1"/>
    </xf>
    <xf numFmtId="177" fontId="18" fillId="7" borderId="53" xfId="0" applyNumberFormat="1" applyFont="1" applyFill="1" applyBorder="1" applyAlignment="1" applyProtection="1">
      <alignment horizontal="center" vertical="center" wrapText="1"/>
      <protection locked="0"/>
    </xf>
    <xf numFmtId="177" fontId="18" fillId="7" borderId="61" xfId="0" applyNumberFormat="1" applyFont="1" applyFill="1" applyBorder="1" applyAlignment="1" applyProtection="1">
      <alignment horizontal="center" vertical="center" wrapText="1"/>
      <protection locked="0"/>
    </xf>
    <xf numFmtId="177" fontId="18" fillId="7" borderId="60" xfId="0" applyNumberFormat="1" applyFont="1" applyFill="1" applyBorder="1" applyAlignment="1" applyProtection="1">
      <alignment horizontal="center" vertical="center" wrapText="1"/>
      <protection locked="0"/>
    </xf>
    <xf numFmtId="0" fontId="95" fillId="0" borderId="0" xfId="0" applyFont="1"/>
    <xf numFmtId="0" fontId="96" fillId="20" borderId="25" xfId="0" applyFont="1" applyFill="1" applyBorder="1" applyAlignment="1">
      <alignment horizontal="left" vertical="center" wrapText="1"/>
    </xf>
    <xf numFmtId="0" fontId="66" fillId="20" borderId="22" xfId="0" applyFont="1" applyFill="1" applyBorder="1" applyAlignment="1">
      <alignment horizontal="left" vertical="center" wrapText="1"/>
    </xf>
    <xf numFmtId="177" fontId="66" fillId="20" borderId="22" xfId="0" applyNumberFormat="1" applyFont="1" applyFill="1" applyBorder="1" applyAlignment="1">
      <alignment horizontal="center" vertical="center" wrapText="1"/>
    </xf>
    <xf numFmtId="0" fontId="66" fillId="20" borderId="22" xfId="0" applyFont="1" applyFill="1" applyBorder="1" applyAlignment="1">
      <alignment vertical="center" wrapText="1"/>
    </xf>
    <xf numFmtId="0" fontId="66" fillId="20" borderId="0" xfId="0" applyFont="1" applyFill="1" applyBorder="1" applyAlignment="1">
      <alignment vertical="top" wrapText="1"/>
    </xf>
    <xf numFmtId="177" fontId="66" fillId="20" borderId="0" xfId="0" applyNumberFormat="1" applyFont="1" applyFill="1" applyBorder="1" applyAlignment="1">
      <alignment horizontal="center" vertical="top" wrapText="1"/>
    </xf>
    <xf numFmtId="177" fontId="66" fillId="20" borderId="30" xfId="0" applyNumberFormat="1" applyFont="1" applyFill="1" applyBorder="1" applyAlignment="1">
      <alignment horizontal="center" vertical="center" wrapText="1"/>
    </xf>
    <xf numFmtId="0" fontId="98" fillId="20" borderId="106" xfId="0" applyFont="1" applyFill="1" applyBorder="1"/>
    <xf numFmtId="0" fontId="73" fillId="7" borderId="21" xfId="0" applyFont="1" applyFill="1" applyBorder="1" applyAlignment="1" applyProtection="1">
      <alignment horizontal="left" vertical="center" wrapText="1"/>
      <protection locked="0"/>
    </xf>
    <xf numFmtId="0" fontId="73" fillId="7" borderId="109" xfId="0" applyFont="1" applyFill="1" applyBorder="1" applyAlignment="1" applyProtection="1">
      <alignment horizontal="center" vertical="center" wrapText="1"/>
      <protection locked="0"/>
    </xf>
    <xf numFmtId="177" fontId="72" fillId="7" borderId="110" xfId="0" applyNumberFormat="1" applyFont="1" applyFill="1" applyBorder="1" applyAlignment="1" applyProtection="1">
      <alignment horizontal="center" vertical="center" wrapText="1"/>
      <protection locked="0"/>
    </xf>
    <xf numFmtId="1" fontId="72" fillId="7" borderId="110" xfId="0" applyNumberFormat="1" applyFont="1" applyFill="1" applyBorder="1" applyAlignment="1" applyProtection="1">
      <alignment horizontal="center" vertical="center" wrapText="1"/>
      <protection locked="0"/>
    </xf>
    <xf numFmtId="0" fontId="72" fillId="7" borderId="110" xfId="0" applyNumberFormat="1" applyFont="1" applyFill="1" applyBorder="1" applyAlignment="1" applyProtection="1">
      <alignment horizontal="center" vertical="center" wrapText="1"/>
      <protection locked="0"/>
    </xf>
    <xf numFmtId="1" fontId="72" fillId="20" borderId="86" xfId="0" applyNumberFormat="1" applyFont="1" applyFill="1" applyBorder="1" applyAlignment="1">
      <alignment horizontal="center" vertical="top" wrapText="1"/>
    </xf>
    <xf numFmtId="177" fontId="72" fillId="0" borderId="36" xfId="0" applyNumberFormat="1" applyFont="1" applyFill="1" applyBorder="1" applyAlignment="1">
      <alignment horizontal="center" vertical="center" wrapText="1"/>
    </xf>
    <xf numFmtId="177" fontId="72" fillId="0" borderId="77" xfId="0" applyNumberFormat="1" applyFont="1" applyFill="1" applyBorder="1" applyAlignment="1">
      <alignment horizontal="center" vertical="center" wrapText="1"/>
    </xf>
    <xf numFmtId="177" fontId="72" fillId="0" borderId="37" xfId="0" applyNumberFormat="1" applyFont="1" applyFill="1" applyBorder="1" applyAlignment="1">
      <alignment horizontal="center" vertical="center" wrapText="1"/>
    </xf>
    <xf numFmtId="177" fontId="72" fillId="20" borderId="86" xfId="0" applyNumberFormat="1" applyFont="1" applyFill="1" applyBorder="1" applyAlignment="1">
      <alignment horizontal="center" vertical="top" wrapText="1"/>
    </xf>
    <xf numFmtId="177" fontId="73" fillId="0" borderId="0" xfId="0" applyNumberFormat="1" applyFont="1" applyFill="1" applyBorder="1" applyAlignment="1">
      <alignment horizontal="center" vertical="center" wrapText="1"/>
    </xf>
    <xf numFmtId="177" fontId="73" fillId="0" borderId="111" xfId="0" applyNumberFormat="1" applyFont="1" applyFill="1" applyBorder="1" applyAlignment="1">
      <alignment horizontal="center" vertical="center" wrapText="1"/>
    </xf>
    <xf numFmtId="177" fontId="71" fillId="0" borderId="112" xfId="0" applyNumberFormat="1" applyFont="1" applyFill="1" applyBorder="1" applyAlignment="1">
      <alignment horizontal="center" vertical="center" wrapText="1"/>
    </xf>
    <xf numFmtId="177" fontId="72" fillId="0" borderId="113" xfId="0" applyNumberFormat="1" applyFont="1" applyFill="1" applyBorder="1" applyAlignment="1">
      <alignment horizontal="center" vertical="center" wrapText="1"/>
    </xf>
    <xf numFmtId="0" fontId="89" fillId="0" borderId="0" xfId="0" applyFont="1"/>
    <xf numFmtId="0" fontId="99" fillId="7" borderId="21" xfId="0" applyFont="1" applyFill="1" applyBorder="1" applyAlignment="1" applyProtection="1">
      <alignment horizontal="left" vertical="center" wrapText="1"/>
      <protection locked="0"/>
    </xf>
    <xf numFmtId="177" fontId="72" fillId="0" borderId="92" xfId="0" applyNumberFormat="1" applyFont="1" applyFill="1" applyBorder="1" applyAlignment="1">
      <alignment horizontal="center" vertical="center" wrapText="1"/>
    </xf>
    <xf numFmtId="177" fontId="72" fillId="0" borderId="93" xfId="0" applyNumberFormat="1" applyFont="1" applyFill="1" applyBorder="1" applyAlignment="1">
      <alignment horizontal="center" vertical="center" wrapText="1"/>
    </xf>
    <xf numFmtId="177" fontId="72" fillId="0" borderId="74" xfId="0" applyNumberFormat="1" applyFont="1" applyFill="1" applyBorder="1" applyAlignment="1">
      <alignment horizontal="center" vertical="center" wrapText="1"/>
    </xf>
    <xf numFmtId="0" fontId="0" fillId="7" borderId="110" xfId="0" applyFont="1" applyFill="1" applyBorder="1" applyAlignment="1" applyProtection="1">
      <alignment horizontal="center" vertical="center" wrapText="1"/>
      <protection locked="0"/>
    </xf>
    <xf numFmtId="0" fontId="0" fillId="7" borderId="110" xfId="0" applyNumberFormat="1" applyFont="1" applyFill="1" applyBorder="1" applyAlignment="1" applyProtection="1">
      <alignment vertical="center" wrapText="1"/>
      <protection locked="0"/>
    </xf>
    <xf numFmtId="0" fontId="0" fillId="20" borderId="86" xfId="0" applyFont="1" applyFill="1" applyBorder="1" applyAlignment="1">
      <alignment vertical="top" wrapText="1"/>
    </xf>
    <xf numFmtId="177" fontId="0" fillId="20" borderId="86" xfId="0" applyNumberFormat="1" applyFont="1" applyFill="1" applyBorder="1" applyAlignment="1">
      <alignment horizontal="center" vertical="top" wrapText="1"/>
    </xf>
    <xf numFmtId="177" fontId="73" fillId="0" borderId="113" xfId="0" applyNumberFormat="1" applyFont="1" applyFill="1" applyBorder="1" applyAlignment="1">
      <alignment horizontal="center" vertical="center" wrapText="1"/>
    </xf>
    <xf numFmtId="0" fontId="99" fillId="14" borderId="25" xfId="0" applyFont="1" applyFill="1" applyBorder="1" applyAlignment="1">
      <alignment horizontal="right" vertical="center" wrapText="1"/>
    </xf>
    <xf numFmtId="0" fontId="0" fillId="14" borderId="114" xfId="0" applyFont="1" applyFill="1" applyBorder="1" applyAlignment="1">
      <alignment horizontal="left" vertical="center" wrapText="1"/>
    </xf>
    <xf numFmtId="177" fontId="99" fillId="14" borderId="115" xfId="0" applyNumberFormat="1" applyFont="1" applyFill="1" applyBorder="1" applyAlignment="1">
      <alignment horizontal="center" vertical="center" wrapText="1"/>
    </xf>
    <xf numFmtId="177" fontId="99" fillId="20" borderId="86" xfId="0" applyNumberFormat="1" applyFont="1" applyFill="1" applyBorder="1" applyAlignment="1">
      <alignment horizontal="center" vertical="center" wrapText="1"/>
    </xf>
    <xf numFmtId="177" fontId="99" fillId="14" borderId="35" xfId="0" applyNumberFormat="1" applyFont="1" applyFill="1" applyBorder="1" applyAlignment="1">
      <alignment horizontal="center" vertical="center" wrapText="1"/>
    </xf>
    <xf numFmtId="177" fontId="99" fillId="14" borderId="1" xfId="0" applyNumberFormat="1" applyFont="1" applyFill="1" applyBorder="1" applyAlignment="1">
      <alignment horizontal="center" vertical="center" wrapText="1"/>
    </xf>
    <xf numFmtId="177" fontId="99" fillId="14" borderId="29" xfId="0" applyNumberFormat="1" applyFont="1" applyFill="1" applyBorder="1" applyAlignment="1">
      <alignment horizontal="center" vertical="center" wrapText="1"/>
    </xf>
    <xf numFmtId="177" fontId="99" fillId="14" borderId="22" xfId="0" applyNumberFormat="1" applyFont="1" applyFill="1" applyBorder="1" applyAlignment="1">
      <alignment horizontal="center" vertical="center" wrapText="1"/>
    </xf>
    <xf numFmtId="177" fontId="99" fillId="14" borderId="116" xfId="0" applyNumberFormat="1" applyFont="1" applyFill="1" applyBorder="1" applyAlignment="1">
      <alignment horizontal="center" vertical="center" wrapText="1"/>
    </xf>
    <xf numFmtId="0" fontId="99" fillId="4" borderId="25" xfId="0" applyFont="1" applyFill="1" applyBorder="1" applyAlignment="1">
      <alignment horizontal="right" vertical="center" wrapText="1"/>
    </xf>
    <xf numFmtId="0" fontId="0" fillId="4" borderId="22" xfId="0" applyFont="1" applyFill="1" applyBorder="1" applyAlignment="1">
      <alignment horizontal="left" vertical="center" wrapText="1"/>
    </xf>
    <xf numFmtId="177" fontId="99" fillId="4" borderId="22" xfId="0" applyNumberFormat="1" applyFont="1" applyFill="1" applyBorder="1" applyAlignment="1">
      <alignment horizontal="center" vertical="center" wrapText="1"/>
    </xf>
    <xf numFmtId="0" fontId="0" fillId="4" borderId="30" xfId="0" applyFont="1" applyFill="1" applyBorder="1" applyAlignment="1">
      <alignment horizontal="left" vertical="center" wrapText="1"/>
    </xf>
    <xf numFmtId="0" fontId="0" fillId="20" borderId="86" xfId="0" applyFont="1" applyFill="1" applyBorder="1" applyAlignment="1">
      <alignment horizontal="left" vertical="top" wrapText="1"/>
    </xf>
    <xf numFmtId="177" fontId="71" fillId="4" borderId="25" xfId="0" applyNumberFormat="1" applyFont="1" applyFill="1" applyBorder="1" applyAlignment="1">
      <alignment horizontal="center" vertical="center" wrapText="1"/>
    </xf>
    <xf numFmtId="177" fontId="71" fillId="4" borderId="22" xfId="0" applyNumberFormat="1" applyFont="1" applyFill="1" applyBorder="1" applyAlignment="1">
      <alignment horizontal="center" vertical="center" wrapText="1"/>
    </xf>
    <xf numFmtId="177" fontId="71" fillId="4" borderId="30" xfId="0" applyNumberFormat="1" applyFont="1" applyFill="1" applyBorder="1" applyAlignment="1">
      <alignment horizontal="center" vertical="center" wrapText="1"/>
    </xf>
    <xf numFmtId="177" fontId="73" fillId="4" borderId="30" xfId="0" applyNumberFormat="1" applyFont="1" applyFill="1" applyBorder="1" applyAlignment="1">
      <alignment horizontal="center" vertical="center" wrapText="1"/>
    </xf>
    <xf numFmtId="0" fontId="97" fillId="20" borderId="25" xfId="0" applyFont="1" applyFill="1" applyBorder="1" applyAlignment="1">
      <alignment horizontal="left" vertical="center" wrapText="1"/>
    </xf>
    <xf numFmtId="0" fontId="0" fillId="7" borderId="110" xfId="0" applyNumberFormat="1" applyFont="1" applyFill="1" applyBorder="1" applyAlignment="1" applyProtection="1">
      <alignment horizontal="left" vertical="center" wrapText="1"/>
      <protection locked="0"/>
    </xf>
    <xf numFmtId="177" fontId="71" fillId="0" borderId="110" xfId="0" applyNumberFormat="1" applyFont="1" applyFill="1" applyBorder="1" applyAlignment="1">
      <alignment horizontal="center" vertical="center" wrapText="1"/>
    </xf>
    <xf numFmtId="177" fontId="99" fillId="0" borderId="110" xfId="0" applyNumberFormat="1" applyFont="1" applyFill="1" applyBorder="1" applyAlignment="1">
      <alignment horizontal="center" vertical="center" wrapText="1"/>
    </xf>
    <xf numFmtId="0" fontId="0" fillId="4" borderId="25" xfId="0" applyFont="1" applyFill="1" applyBorder="1" applyAlignment="1">
      <alignment horizontal="left" vertical="center" wrapText="1"/>
    </xf>
    <xf numFmtId="177" fontId="0" fillId="4" borderId="22" xfId="0" applyNumberFormat="1" applyFont="1" applyFill="1" applyBorder="1" applyAlignment="1">
      <alignment horizontal="center" vertical="center" wrapText="1"/>
    </xf>
    <xf numFmtId="0" fontId="0" fillId="4" borderId="22" xfId="0" applyFont="1" applyFill="1" applyBorder="1" applyAlignment="1">
      <alignment vertical="center" wrapText="1"/>
    </xf>
    <xf numFmtId="0" fontId="0" fillId="4" borderId="30" xfId="0" applyFont="1" applyFill="1" applyBorder="1" applyAlignment="1">
      <alignment vertical="center" wrapText="1"/>
    </xf>
    <xf numFmtId="177" fontId="0" fillId="4" borderId="25" xfId="0" applyNumberFormat="1" applyFont="1" applyFill="1" applyBorder="1" applyAlignment="1">
      <alignment horizontal="center" vertical="center" wrapText="1"/>
    </xf>
    <xf numFmtId="177" fontId="0" fillId="4" borderId="30" xfId="0" applyNumberFormat="1" applyFont="1" applyFill="1" applyBorder="1" applyAlignment="1">
      <alignment horizontal="center" vertical="center" wrapText="1"/>
    </xf>
    <xf numFmtId="177" fontId="72" fillId="4" borderId="30" xfId="0" applyNumberFormat="1" applyFont="1" applyFill="1" applyBorder="1" applyAlignment="1">
      <alignment horizontal="center" vertical="center" wrapText="1"/>
    </xf>
    <xf numFmtId="177" fontId="72" fillId="0" borderId="53" xfId="0" applyNumberFormat="1" applyFont="1" applyFill="1" applyBorder="1" applyAlignment="1">
      <alignment horizontal="center" vertical="center" wrapText="1"/>
    </xf>
    <xf numFmtId="177" fontId="72" fillId="0" borderId="61" xfId="0" applyNumberFormat="1" applyFont="1" applyFill="1" applyBorder="1" applyAlignment="1">
      <alignment horizontal="center" vertical="center" wrapText="1"/>
    </xf>
    <xf numFmtId="177" fontId="72" fillId="0" borderId="54" xfId="0" applyNumberFormat="1" applyFont="1" applyFill="1" applyBorder="1" applyAlignment="1">
      <alignment horizontal="center" vertical="center" wrapText="1"/>
    </xf>
    <xf numFmtId="177" fontId="102" fillId="0" borderId="119" xfId="0" applyNumberFormat="1" applyFont="1" applyFill="1" applyBorder="1" applyAlignment="1">
      <alignment horizontal="center" vertical="center" wrapText="1"/>
    </xf>
    <xf numFmtId="0" fontId="102" fillId="20" borderId="59" xfId="0" applyFont="1" applyFill="1" applyBorder="1" applyAlignment="1">
      <alignment vertical="top" wrapText="1"/>
    </xf>
    <xf numFmtId="177" fontId="102" fillId="0" borderId="122" xfId="0" applyNumberFormat="1" applyFont="1" applyFill="1" applyBorder="1" applyAlignment="1">
      <alignment horizontal="center" vertical="center" wrapText="1"/>
    </xf>
    <xf numFmtId="177" fontId="102" fillId="0" borderId="123" xfId="0" applyNumberFormat="1" applyFont="1" applyFill="1" applyBorder="1" applyAlignment="1">
      <alignment horizontal="center" vertical="center" wrapText="1"/>
    </xf>
    <xf numFmtId="177" fontId="102" fillId="0" borderId="124" xfId="0" applyNumberFormat="1" applyFont="1" applyFill="1" applyBorder="1" applyAlignment="1">
      <alignment horizontal="center" vertical="center" wrapText="1"/>
    </xf>
    <xf numFmtId="177" fontId="103" fillId="20" borderId="67" xfId="0" applyNumberFormat="1" applyFont="1" applyFill="1" applyBorder="1" applyAlignment="1">
      <alignment horizontal="center" vertical="top" wrapText="1"/>
    </xf>
    <xf numFmtId="177" fontId="103" fillId="0" borderId="117" xfId="0" applyNumberFormat="1" applyFont="1" applyFill="1" applyBorder="1" applyAlignment="1">
      <alignment horizontal="center" vertical="center" wrapText="1"/>
    </xf>
    <xf numFmtId="177" fontId="103" fillId="0" borderId="125" xfId="0" applyNumberFormat="1" applyFont="1" applyFill="1" applyBorder="1" applyAlignment="1">
      <alignment horizontal="center" vertical="center" wrapText="1"/>
    </xf>
    <xf numFmtId="4" fontId="103" fillId="20" borderId="67" xfId="0" applyNumberFormat="1" applyFont="1" applyFill="1" applyBorder="1" applyAlignment="1">
      <alignment vertical="top" wrapText="1"/>
    </xf>
    <xf numFmtId="177" fontId="104" fillId="0" borderId="126" xfId="0" applyNumberFormat="1" applyFont="1" applyFill="1" applyBorder="1" applyAlignment="1">
      <alignment horizontal="center" vertical="center" wrapText="1"/>
    </xf>
    <xf numFmtId="177" fontId="104" fillId="0" borderId="121" xfId="0" applyNumberFormat="1" applyFont="1" applyFill="1" applyBorder="1" applyAlignment="1">
      <alignment horizontal="center" vertical="center" wrapText="1"/>
    </xf>
    <xf numFmtId="0" fontId="0" fillId="4" borderId="127" xfId="0" applyFill="1" applyBorder="1"/>
    <xf numFmtId="0" fontId="0" fillId="4" borderId="128" xfId="0" applyFill="1" applyBorder="1"/>
    <xf numFmtId="0" fontId="0" fillId="4" borderId="129" xfId="0" applyFill="1" applyBorder="1"/>
    <xf numFmtId="0" fontId="0" fillId="20" borderId="100" xfId="0" applyFill="1" applyBorder="1"/>
    <xf numFmtId="0" fontId="0" fillId="20" borderId="78" xfId="0" applyFill="1" applyBorder="1"/>
    <xf numFmtId="0" fontId="0" fillId="20" borderId="87" xfId="0" applyFill="1" applyBorder="1"/>
    <xf numFmtId="0" fontId="65" fillId="16" borderId="65" xfId="0" applyFont="1" applyFill="1" applyBorder="1"/>
    <xf numFmtId="0" fontId="0" fillId="17" borderId="65" xfId="0" applyFont="1" applyFill="1" applyBorder="1"/>
    <xf numFmtId="0" fontId="8" fillId="22" borderId="35" xfId="0" applyFont="1" applyFill="1" applyBorder="1" applyAlignment="1" applyProtection="1">
      <alignment vertical="top"/>
      <protection locked="0"/>
    </xf>
    <xf numFmtId="178" fontId="8" fillId="22" borderId="1" xfId="20" applyNumberFormat="1" applyFont="1" applyFill="1" applyBorder="1" applyAlignment="1" applyProtection="1">
      <alignment vertical="top"/>
      <protection locked="0"/>
    </xf>
    <xf numFmtId="166" fontId="9" fillId="0" borderId="1" xfId="20" applyFont="1" applyBorder="1" applyProtection="1">
      <protection locked="0"/>
    </xf>
    <xf numFmtId="1" fontId="88" fillId="4" borderId="28" xfId="19" applyNumberFormat="1" applyFont="1" applyFill="1" applyBorder="1" applyAlignment="1" applyProtection="1">
      <alignment horizontal="center" vertical="center" wrapText="1"/>
      <protection locked="0"/>
    </xf>
    <xf numFmtId="0" fontId="9" fillId="22" borderId="30" xfId="0" applyFont="1" applyFill="1" applyBorder="1" applyAlignment="1" applyProtection="1">
      <alignment horizontal="left"/>
      <protection locked="0"/>
    </xf>
    <xf numFmtId="0" fontId="6" fillId="4" borderId="0" xfId="2" applyFont="1" applyFill="1" applyBorder="1" applyAlignment="1" applyProtection="1">
      <alignment horizontal="left"/>
    </xf>
    <xf numFmtId="0" fontId="9" fillId="0" borderId="0" xfId="0" applyFont="1" applyBorder="1" applyProtection="1">
      <protection hidden="1"/>
    </xf>
    <xf numFmtId="179" fontId="17" fillId="0" borderId="29" xfId="0" applyNumberFormat="1" applyFont="1" applyFill="1" applyBorder="1" applyProtection="1"/>
    <xf numFmtId="179" fontId="13" fillId="0" borderId="29" xfId="0" applyNumberFormat="1" applyFont="1" applyFill="1" applyBorder="1" applyProtection="1"/>
    <xf numFmtId="179" fontId="17" fillId="22" borderId="1" xfId="0" applyNumberFormat="1" applyFont="1" applyFill="1" applyBorder="1" applyProtection="1">
      <protection locked="0"/>
    </xf>
    <xf numFmtId="179" fontId="17" fillId="22" borderId="29" xfId="0" applyNumberFormat="1" applyFont="1" applyFill="1" applyBorder="1" applyProtection="1">
      <protection locked="0"/>
    </xf>
    <xf numFmtId="179" fontId="13" fillId="22" borderId="1" xfId="0" applyNumberFormat="1" applyFont="1" applyFill="1" applyBorder="1" applyProtection="1">
      <protection locked="0"/>
    </xf>
    <xf numFmtId="179" fontId="13" fillId="0" borderId="1" xfId="0" applyNumberFormat="1" applyFont="1" applyFill="1" applyBorder="1" applyProtection="1"/>
    <xf numFmtId="179" fontId="13" fillId="22" borderId="29" xfId="0" applyNumberFormat="1" applyFont="1" applyFill="1" applyBorder="1" applyProtection="1">
      <protection locked="0"/>
    </xf>
    <xf numFmtId="179" fontId="13" fillId="22" borderId="79" xfId="0" applyNumberFormat="1" applyFont="1" applyFill="1" applyBorder="1" applyProtection="1">
      <protection locked="0"/>
    </xf>
    <xf numFmtId="179" fontId="12" fillId="3" borderId="7" xfId="0" applyNumberFormat="1" applyFont="1" applyFill="1" applyBorder="1" applyProtection="1"/>
    <xf numFmtId="179" fontId="12" fillId="3" borderId="5" xfId="0" applyNumberFormat="1" applyFont="1" applyFill="1" applyBorder="1" applyProtection="1"/>
    <xf numFmtId="179" fontId="6" fillId="2" borderId="29" xfId="0" applyNumberFormat="1" applyFont="1" applyFill="1" applyBorder="1" applyAlignment="1" applyProtection="1"/>
    <xf numFmtId="179" fontId="6" fillId="2" borderId="61" xfId="0" applyNumberFormat="1" applyFont="1" applyFill="1" applyBorder="1" applyAlignment="1" applyProtection="1"/>
    <xf numFmtId="44" fontId="2" fillId="0" borderId="52" xfId="1" applyNumberFormat="1" applyFont="1" applyFill="1" applyBorder="1" applyAlignment="1" applyProtection="1"/>
    <xf numFmtId="44" fontId="17" fillId="0" borderId="1" xfId="0" applyNumberFormat="1" applyFont="1" applyFill="1" applyBorder="1" applyProtection="1"/>
    <xf numFmtId="44" fontId="2" fillId="0" borderId="48" xfId="1" applyFont="1" applyFill="1" applyBorder="1" applyProtection="1"/>
    <xf numFmtId="44" fontId="6" fillId="0" borderId="19" xfId="2" applyNumberFormat="1" applyFont="1" applyFill="1" applyBorder="1" applyAlignment="1" applyProtection="1">
      <alignment horizontal="center"/>
    </xf>
    <xf numFmtId="6" fontId="3" fillId="0" borderId="19" xfId="1" applyNumberFormat="1" applyFont="1" applyFill="1" applyBorder="1" applyProtection="1"/>
    <xf numFmtId="44" fontId="22" fillId="0" borderId="39" xfId="1" applyFont="1" applyFill="1" applyBorder="1" applyProtection="1"/>
    <xf numFmtId="44" fontId="22" fillId="0" borderId="10" xfId="1" applyFont="1" applyFill="1" applyBorder="1" applyProtection="1"/>
    <xf numFmtId="0" fontId="4" fillId="0" borderId="3" xfId="0" applyFont="1" applyFill="1" applyBorder="1" applyAlignment="1" applyProtection="1"/>
    <xf numFmtId="0" fontId="4" fillId="0" borderId="10" xfId="0" applyFont="1" applyFill="1" applyBorder="1" applyAlignment="1" applyProtection="1"/>
    <xf numFmtId="0" fontId="6" fillId="0" borderId="7" xfId="2" applyFont="1" applyFill="1" applyBorder="1" applyAlignment="1" applyProtection="1">
      <alignment horizontal="center" wrapText="1"/>
    </xf>
    <xf numFmtId="0" fontId="6" fillId="0" borderId="11" xfId="2" applyFont="1" applyFill="1" applyBorder="1" applyAlignment="1" applyProtection="1">
      <alignment horizontal="center" wrapText="1"/>
    </xf>
    <xf numFmtId="9" fontId="2" fillId="0" borderId="13" xfId="17" applyFont="1" applyFill="1" applyBorder="1" applyAlignment="1" applyProtection="1"/>
    <xf numFmtId="9" fontId="2" fillId="0" borderId="14" xfId="17" applyFont="1" applyFill="1" applyBorder="1" applyAlignment="1" applyProtection="1"/>
    <xf numFmtId="9" fontId="2" fillId="0" borderId="9" xfId="17" applyFont="1" applyFill="1" applyBorder="1" applyAlignment="1" applyProtection="1"/>
    <xf numFmtId="9" fontId="2" fillId="0" borderId="15" xfId="17" applyFont="1" applyFill="1" applyBorder="1" applyAlignment="1" applyProtection="1"/>
    <xf numFmtId="9" fontId="2" fillId="0" borderId="17" xfId="17" applyFont="1" applyFill="1" applyBorder="1" applyAlignment="1" applyProtection="1"/>
    <xf numFmtId="9" fontId="2" fillId="0" borderId="18" xfId="17" applyFont="1" applyFill="1" applyBorder="1" applyAlignment="1" applyProtection="1"/>
    <xf numFmtId="167" fontId="10" fillId="0" borderId="11" xfId="2" applyNumberFormat="1" applyFont="1" applyFill="1" applyBorder="1" applyAlignment="1" applyProtection="1">
      <alignment horizontal="left"/>
      <protection locked="0"/>
    </xf>
    <xf numFmtId="0" fontId="10" fillId="0" borderId="26" xfId="2" applyFont="1" applyFill="1" applyBorder="1" applyAlignment="1" applyProtection="1">
      <alignment horizontal="left"/>
      <protection locked="0"/>
    </xf>
    <xf numFmtId="0" fontId="10" fillId="0" borderId="41" xfId="2" applyFont="1" applyFill="1" applyBorder="1" applyAlignment="1" applyProtection="1">
      <alignment horizontal="left"/>
      <protection locked="0"/>
    </xf>
    <xf numFmtId="44" fontId="13" fillId="0" borderId="51" xfId="1" applyFont="1" applyFill="1" applyBorder="1" applyProtection="1"/>
    <xf numFmtId="44" fontId="2" fillId="15" borderId="52" xfId="1" applyFont="1" applyFill="1" applyBorder="1" applyAlignment="1" applyProtection="1"/>
    <xf numFmtId="0" fontId="10" fillId="0" borderId="26" xfId="2" applyFont="1" applyFill="1" applyBorder="1" applyAlignment="1" applyProtection="1">
      <alignment horizontal="left"/>
    </xf>
    <xf numFmtId="0" fontId="10" fillId="0" borderId="54" xfId="2" applyFont="1" applyFill="1" applyBorder="1" applyAlignment="1" applyProtection="1">
      <alignment horizontal="left"/>
    </xf>
    <xf numFmtId="0" fontId="9" fillId="0" borderId="34" xfId="0" applyFont="1" applyFill="1" applyBorder="1" applyAlignment="1" applyProtection="1">
      <alignment horizontal="left"/>
    </xf>
    <xf numFmtId="0" fontId="10" fillId="15" borderId="41" xfId="2" applyFont="1" applyFill="1" applyBorder="1" applyAlignment="1" applyProtection="1">
      <alignment horizontal="left"/>
    </xf>
    <xf numFmtId="0" fontId="8" fillId="22" borderId="0" xfId="0" applyFont="1" applyFill="1" applyBorder="1" applyAlignment="1" applyProtection="1">
      <alignment horizontal="center"/>
      <protection locked="0"/>
    </xf>
    <xf numFmtId="0" fontId="8" fillId="22" borderId="66" xfId="0" applyFont="1" applyFill="1" applyBorder="1" applyAlignment="1" applyProtection="1">
      <alignment horizontal="center"/>
      <protection locked="0"/>
    </xf>
    <xf numFmtId="0" fontId="37" fillId="4" borderId="0" xfId="0" applyFont="1" applyFill="1" applyBorder="1" applyAlignment="1" applyProtection="1">
      <alignment vertical="center"/>
    </xf>
    <xf numFmtId="0" fontId="37" fillId="0" borderId="0" xfId="0" applyFont="1" applyFill="1" applyBorder="1" applyAlignment="1" applyProtection="1">
      <alignment horizontal="center" vertical="center"/>
    </xf>
    <xf numFmtId="0" fontId="41" fillId="4" borderId="0" xfId="0" applyFont="1" applyFill="1" applyBorder="1" applyAlignment="1" applyProtection="1">
      <alignment horizontal="center"/>
    </xf>
    <xf numFmtId="0" fontId="31" fillId="0" borderId="0" xfId="0" applyFont="1" applyBorder="1" applyProtection="1"/>
    <xf numFmtId="0" fontId="37" fillId="4" borderId="21" xfId="0" applyFont="1" applyFill="1" applyBorder="1" applyAlignment="1" applyProtection="1">
      <alignment vertical="center"/>
    </xf>
    <xf numFmtId="0" fontId="37" fillId="4" borderId="66" xfId="0" applyFont="1" applyFill="1" applyBorder="1" applyAlignment="1" applyProtection="1">
      <alignment vertical="center"/>
    </xf>
    <xf numFmtId="0" fontId="37" fillId="0" borderId="21" xfId="0" applyFont="1" applyFill="1" applyBorder="1" applyAlignment="1" applyProtection="1">
      <alignment horizontal="center" vertical="center"/>
    </xf>
    <xf numFmtId="0" fontId="37" fillId="0" borderId="66" xfId="0" applyFont="1" applyFill="1" applyBorder="1" applyAlignment="1" applyProtection="1">
      <alignment horizontal="center" vertical="center"/>
    </xf>
    <xf numFmtId="0" fontId="37" fillId="0" borderId="59" xfId="0" applyFont="1" applyFill="1" applyBorder="1" applyAlignment="1" applyProtection="1">
      <alignment horizontal="center" vertical="center"/>
    </xf>
    <xf numFmtId="0" fontId="37" fillId="0" borderId="19" xfId="0" applyFont="1" applyFill="1" applyBorder="1" applyAlignment="1" applyProtection="1">
      <alignment horizontal="center" vertical="center"/>
    </xf>
    <xf numFmtId="0" fontId="37" fillId="0" borderId="67" xfId="0" applyFont="1" applyFill="1" applyBorder="1" applyAlignment="1" applyProtection="1">
      <alignment horizontal="center" vertical="center"/>
    </xf>
    <xf numFmtId="0" fontId="12" fillId="0" borderId="20" xfId="0" applyFont="1" applyFill="1" applyBorder="1" applyAlignment="1" applyProtection="1"/>
    <xf numFmtId="0" fontId="6" fillId="3" borderId="10" xfId="3" applyFont="1" applyFill="1" applyBorder="1" applyAlignment="1" applyProtection="1">
      <alignment horizontal="left" indent="1"/>
    </xf>
    <xf numFmtId="0" fontId="106" fillId="4" borderId="0" xfId="0" applyFont="1" applyFill="1" applyProtection="1"/>
    <xf numFmtId="0" fontId="106" fillId="4" borderId="0" xfId="0" applyFont="1" applyFill="1" applyBorder="1" applyProtection="1"/>
    <xf numFmtId="0" fontId="106" fillId="4" borderId="0" xfId="0" applyFont="1" applyFill="1" applyAlignment="1" applyProtection="1">
      <alignment wrapText="1"/>
    </xf>
    <xf numFmtId="44" fontId="10" fillId="0" borderId="52" xfId="1" applyFont="1" applyFill="1" applyBorder="1" applyAlignment="1" applyProtection="1">
      <protection locked="0"/>
    </xf>
    <xf numFmtId="0" fontId="10" fillId="15" borderId="37" xfId="2" applyFont="1" applyFill="1" applyBorder="1" applyAlignment="1" applyProtection="1">
      <alignment horizontal="left"/>
    </xf>
    <xf numFmtId="14" fontId="87" fillId="23" borderId="28" xfId="19" applyNumberFormat="1" applyFont="1" applyFill="1" applyBorder="1" applyAlignment="1" applyProtection="1">
      <alignment horizontal="center" vertical="center" wrapText="1"/>
      <protection locked="0"/>
    </xf>
    <xf numFmtId="49" fontId="87" fillId="23" borderId="28" xfId="19" applyNumberFormat="1" applyFont="1" applyFill="1" applyBorder="1" applyAlignment="1" applyProtection="1">
      <alignment horizontal="center" vertical="center" wrapText="1"/>
      <protection locked="0"/>
    </xf>
    <xf numFmtId="0" fontId="87" fillId="4" borderId="28" xfId="19" applyNumberFormat="1" applyFont="1" applyFill="1" applyBorder="1" applyAlignment="1" applyProtection="1">
      <alignment horizontal="center" vertical="center" wrapText="1"/>
      <protection locked="0"/>
    </xf>
    <xf numFmtId="1" fontId="87" fillId="23" borderId="28" xfId="19" applyNumberFormat="1" applyFont="1" applyFill="1" applyBorder="1" applyAlignment="1" applyProtection="1">
      <alignment horizontal="center" vertical="center" wrapText="1"/>
      <protection locked="0"/>
    </xf>
    <xf numFmtId="1" fontId="87" fillId="23" borderId="50" xfId="19" applyNumberFormat="1" applyFont="1" applyFill="1" applyBorder="1" applyAlignment="1" applyProtection="1">
      <alignment horizontal="center" vertical="center" wrapText="1"/>
      <protection locked="0"/>
    </xf>
    <xf numFmtId="165" fontId="87" fillId="19" borderId="35" xfId="19" applyNumberFormat="1" applyFont="1" applyFill="1" applyBorder="1" applyAlignment="1" applyProtection="1">
      <alignment horizontal="center" vertical="center" wrapText="1"/>
    </xf>
    <xf numFmtId="165" fontId="87" fillId="19" borderId="1" xfId="19" applyNumberFormat="1" applyFont="1" applyFill="1" applyBorder="1" applyAlignment="1" applyProtection="1">
      <alignment horizontal="center" vertical="center" wrapText="1"/>
    </xf>
    <xf numFmtId="165" fontId="87" fillId="19" borderId="26" xfId="19" applyNumberFormat="1" applyFont="1" applyFill="1" applyBorder="1" applyAlignment="1" applyProtection="1">
      <alignment horizontal="center" vertical="center" wrapText="1"/>
    </xf>
    <xf numFmtId="0" fontId="78" fillId="0" borderId="68" xfId="0" applyFont="1" applyBorder="1" applyProtection="1"/>
    <xf numFmtId="0" fontId="78" fillId="0" borderId="99" xfId="0" applyFont="1" applyBorder="1" applyAlignment="1" applyProtection="1">
      <alignment horizontal="center"/>
    </xf>
    <xf numFmtId="0" fontId="78" fillId="0" borderId="25" xfId="0" applyFont="1" applyBorder="1" applyAlignment="1" applyProtection="1">
      <alignment horizontal="center"/>
    </xf>
    <xf numFmtId="0" fontId="78" fillId="0" borderId="69" xfId="0" applyFont="1" applyBorder="1" applyAlignment="1" applyProtection="1">
      <alignment horizontal="center"/>
    </xf>
    <xf numFmtId="0" fontId="83" fillId="0" borderId="0" xfId="0" applyFont="1" applyProtection="1"/>
    <xf numFmtId="0" fontId="78" fillId="0" borderId="97" xfId="0" applyFont="1" applyBorder="1" applyAlignment="1" applyProtection="1">
      <alignment horizontal="center"/>
    </xf>
    <xf numFmtId="0" fontId="78" fillId="0" borderId="90" xfId="0" applyFont="1" applyBorder="1" applyAlignment="1" applyProtection="1"/>
    <xf numFmtId="0" fontId="83" fillId="4" borderId="53" xfId="0" applyFont="1" applyFill="1" applyBorder="1" applyAlignment="1" applyProtection="1">
      <alignment horizontal="center"/>
    </xf>
    <xf numFmtId="0" fontId="83" fillId="4" borderId="35" xfId="0" applyFont="1" applyFill="1" applyBorder="1" applyAlignment="1" applyProtection="1">
      <alignment horizontal="center"/>
    </xf>
    <xf numFmtId="0" fontId="83" fillId="4" borderId="36" xfId="0" applyFont="1" applyFill="1" applyBorder="1" applyAlignment="1" applyProtection="1">
      <alignment horizontal="center"/>
    </xf>
    <xf numFmtId="49" fontId="83" fillId="4" borderId="53" xfId="0" quotePrefix="1" applyNumberFormat="1" applyFont="1" applyFill="1" applyBorder="1" applyAlignment="1" applyProtection="1">
      <alignment horizontal="center"/>
    </xf>
    <xf numFmtId="49" fontId="83" fillId="4" borderId="35" xfId="0" quotePrefix="1" applyNumberFormat="1" applyFont="1" applyFill="1" applyBorder="1" applyAlignment="1" applyProtection="1">
      <alignment horizontal="center"/>
    </xf>
    <xf numFmtId="49" fontId="83" fillId="4" borderId="36" xfId="0" quotePrefix="1" applyNumberFormat="1" applyFont="1" applyFill="1" applyBorder="1" applyAlignment="1" applyProtection="1">
      <alignment horizontal="center"/>
    </xf>
    <xf numFmtId="0" fontId="83" fillId="4" borderId="40" xfId="0" applyFont="1" applyFill="1" applyBorder="1" applyAlignment="1" applyProtection="1">
      <alignment horizontal="center"/>
    </xf>
    <xf numFmtId="1" fontId="87" fillId="23" borderId="41" xfId="19" applyNumberFormat="1" applyFont="1" applyFill="1" applyBorder="1" applyAlignment="1" applyProtection="1">
      <alignment horizontal="center" vertical="center" wrapText="1"/>
      <protection locked="0"/>
    </xf>
    <xf numFmtId="173" fontId="87" fillId="4" borderId="40" xfId="19" applyNumberFormat="1" applyFont="1" applyFill="1" applyBorder="1" applyAlignment="1" applyProtection="1">
      <alignment horizontal="center" vertical="center" wrapText="1"/>
      <protection locked="0"/>
    </xf>
    <xf numFmtId="173" fontId="87" fillId="4" borderId="28" xfId="19" applyNumberFormat="1" applyFont="1" applyFill="1" applyBorder="1" applyAlignment="1" applyProtection="1">
      <alignment horizontal="center" vertical="center" wrapText="1"/>
      <protection locked="0"/>
    </xf>
    <xf numFmtId="173" fontId="87" fillId="4" borderId="41" xfId="19" applyNumberFormat="1" applyFont="1" applyFill="1" applyBorder="1" applyAlignment="1" applyProtection="1">
      <alignment horizontal="center" vertical="center" wrapText="1"/>
      <protection locked="0"/>
    </xf>
    <xf numFmtId="0" fontId="87" fillId="23" borderId="40" xfId="19" applyNumberFormat="1" applyFont="1" applyFill="1" applyBorder="1" applyAlignment="1" applyProtection="1">
      <alignment horizontal="center" vertical="center" wrapText="1"/>
      <protection locked="0"/>
    </xf>
    <xf numFmtId="172" fontId="14" fillId="0" borderId="87" xfId="0" applyNumberFormat="1" applyFont="1" applyFill="1" applyBorder="1" applyAlignment="1" applyProtection="1">
      <alignment horizontal="center" vertical="center" wrapText="1"/>
    </xf>
    <xf numFmtId="14" fontId="14" fillId="28" borderId="88" xfId="0" applyNumberFormat="1" applyFont="1" applyFill="1" applyBorder="1" applyAlignment="1" applyProtection="1">
      <alignment horizontal="center" vertical="center"/>
    </xf>
    <xf numFmtId="167" fontId="10" fillId="22" borderId="32" xfId="2" applyNumberFormat="1" applyFont="1" applyFill="1" applyBorder="1" applyAlignment="1" applyProtection="1">
      <alignment horizontal="left"/>
    </xf>
    <xf numFmtId="0" fontId="8" fillId="4" borderId="35" xfId="0" applyFont="1" applyFill="1" applyBorder="1" applyAlignment="1" applyProtection="1">
      <alignment vertical="top"/>
    </xf>
    <xf numFmtId="0" fontId="8" fillId="4" borderId="1" xfId="0" applyFont="1" applyFill="1" applyBorder="1" applyAlignment="1" applyProtection="1">
      <alignment vertical="top"/>
    </xf>
    <xf numFmtId="0" fontId="8" fillId="4" borderId="26" xfId="0" applyFont="1" applyFill="1" applyBorder="1" applyAlignment="1" applyProtection="1">
      <alignment vertical="top"/>
    </xf>
    <xf numFmtId="178" fontId="8" fillId="4" borderId="26" xfId="20" applyNumberFormat="1" applyFont="1" applyFill="1" applyBorder="1" applyAlignment="1" applyProtection="1">
      <alignment vertical="top"/>
    </xf>
    <xf numFmtId="0" fontId="8" fillId="4" borderId="40" xfId="0" applyFont="1" applyFill="1" applyBorder="1" applyAlignment="1" applyProtection="1">
      <alignment vertical="top"/>
    </xf>
    <xf numFmtId="178" fontId="8" fillId="4" borderId="28" xfId="20" applyNumberFormat="1" applyFont="1" applyFill="1" applyBorder="1" applyAlignment="1" applyProtection="1">
      <alignment vertical="top"/>
    </xf>
    <xf numFmtId="178" fontId="8" fillId="4" borderId="41" xfId="20" applyNumberFormat="1" applyFont="1" applyFill="1" applyBorder="1" applyAlignment="1" applyProtection="1">
      <alignment vertical="top"/>
    </xf>
    <xf numFmtId="0" fontId="10" fillId="4" borderId="0" xfId="2" applyFont="1" applyFill="1" applyBorder="1" applyAlignment="1" applyProtection="1">
      <alignment horizontal="left"/>
    </xf>
    <xf numFmtId="0" fontId="8" fillId="4" borderId="0" xfId="0" applyFont="1" applyFill="1" applyBorder="1" applyAlignment="1" applyProtection="1">
      <alignment vertical="top"/>
    </xf>
    <xf numFmtId="178" fontId="8" fillId="4" borderId="0" xfId="20" applyNumberFormat="1" applyFont="1" applyFill="1" applyBorder="1" applyAlignment="1" applyProtection="1">
      <alignment vertical="top"/>
    </xf>
    <xf numFmtId="0" fontId="4" fillId="20" borderId="20" xfId="0" applyFont="1" applyFill="1" applyBorder="1" applyAlignment="1" applyProtection="1">
      <alignment horizontal="center"/>
    </xf>
    <xf numFmtId="0" fontId="18" fillId="21" borderId="0" xfId="0" applyFont="1" applyFill="1" applyBorder="1" applyAlignment="1" applyProtection="1">
      <alignment horizontal="left" vertical="center" wrapText="1"/>
    </xf>
    <xf numFmtId="0" fontId="6" fillId="2" borderId="31" xfId="2" applyFont="1" applyFill="1" applyBorder="1" applyAlignment="1" applyProtection="1">
      <alignment horizontal="center"/>
    </xf>
    <xf numFmtId="0" fontId="91" fillId="0" borderId="22" xfId="0" applyFont="1" applyBorder="1" applyAlignment="1" applyProtection="1">
      <alignment horizontal="left" vertical="center"/>
    </xf>
    <xf numFmtId="0" fontId="91" fillId="0" borderId="30" xfId="0" applyFont="1" applyBorder="1" applyAlignment="1" applyProtection="1">
      <alignment horizontal="left" vertical="center"/>
    </xf>
    <xf numFmtId="0" fontId="31" fillId="4" borderId="0" xfId="0" applyFont="1" applyFill="1" applyProtection="1"/>
    <xf numFmtId="0" fontId="107" fillId="4" borderId="0" xfId="0" applyFont="1" applyFill="1" applyProtection="1"/>
    <xf numFmtId="0" fontId="8" fillId="22" borderId="35" xfId="0" applyFont="1" applyFill="1" applyBorder="1" applyAlignment="1" applyProtection="1">
      <alignment vertical="top"/>
    </xf>
    <xf numFmtId="178" fontId="8" fillId="22" borderId="1" xfId="20" applyNumberFormat="1" applyFont="1" applyFill="1" applyBorder="1" applyAlignment="1" applyProtection="1">
      <alignment vertical="top"/>
    </xf>
    <xf numFmtId="179" fontId="13" fillId="21" borderId="29" xfId="0" applyNumberFormat="1" applyFont="1" applyFill="1" applyBorder="1" applyProtection="1"/>
    <xf numFmtId="0" fontId="42" fillId="4" borderId="82" xfId="0" applyFont="1" applyFill="1" applyBorder="1" applyProtection="1"/>
    <xf numFmtId="175" fontId="109" fillId="4" borderId="0" xfId="19" applyNumberFormat="1" applyFont="1" applyFill="1" applyBorder="1" applyAlignment="1" applyProtection="1">
      <alignment horizontal="center" vertical="center" wrapText="1"/>
    </xf>
    <xf numFmtId="173" fontId="108" fillId="4" borderId="0" xfId="19" applyNumberFormat="1" applyFont="1" applyFill="1" applyBorder="1" applyAlignment="1" applyProtection="1">
      <alignment horizontal="center" vertical="center" wrapText="1"/>
    </xf>
    <xf numFmtId="49" fontId="88" fillId="23" borderId="37" xfId="19" applyNumberFormat="1" applyFont="1" applyFill="1" applyBorder="1" applyAlignment="1" applyProtection="1">
      <alignment horizontal="center" vertical="center" wrapText="1"/>
      <protection locked="0"/>
    </xf>
    <xf numFmtId="49" fontId="88" fillId="23" borderId="41" xfId="19" applyNumberFormat="1" applyFont="1" applyFill="1" applyBorder="1" applyAlignment="1" applyProtection="1">
      <alignment horizontal="center" vertical="center" wrapText="1"/>
      <protection locked="0"/>
    </xf>
    <xf numFmtId="0" fontId="0" fillId="4" borderId="130" xfId="0" applyFill="1" applyBorder="1" applyProtection="1"/>
    <xf numFmtId="0" fontId="0" fillId="4" borderId="131" xfId="0" applyFill="1" applyBorder="1" applyProtection="1"/>
    <xf numFmtId="0" fontId="0" fillId="0" borderId="130" xfId="0" applyFont="1" applyBorder="1" applyAlignment="1" applyProtection="1">
      <alignment horizontal="center" vertical="center" wrapText="1"/>
    </xf>
    <xf numFmtId="14" fontId="14" fillId="28" borderId="133" xfId="0" applyNumberFormat="1" applyFont="1" applyFill="1" applyBorder="1" applyAlignment="1" applyProtection="1">
      <alignment horizontal="center" vertical="center"/>
    </xf>
    <xf numFmtId="0" fontId="0" fillId="4" borderId="134" xfId="0" applyFont="1" applyFill="1" applyBorder="1" applyAlignment="1" applyProtection="1">
      <alignment horizontal="center" vertical="center" wrapText="1"/>
    </xf>
    <xf numFmtId="0" fontId="0" fillId="4" borderId="135" xfId="0" applyFont="1" applyFill="1" applyBorder="1" applyAlignment="1" applyProtection="1">
      <alignment horizontal="center" vertical="center" wrapText="1"/>
    </xf>
    <xf numFmtId="172" fontId="14" fillId="0" borderId="136" xfId="0" applyNumberFormat="1" applyFont="1" applyFill="1" applyBorder="1" applyAlignment="1" applyProtection="1">
      <alignment horizontal="center" vertical="center" wrapText="1"/>
    </xf>
    <xf numFmtId="178" fontId="15" fillId="0" borderId="1" xfId="20" applyNumberFormat="1" applyFont="1" applyBorder="1" applyAlignment="1" applyProtection="1">
      <alignment horizontal="center" vertical="center"/>
      <protection locked="0"/>
    </xf>
    <xf numFmtId="178" fontId="15" fillId="28" borderId="132" xfId="20" applyNumberFormat="1" applyFont="1" applyFill="1" applyBorder="1" applyAlignment="1" applyProtection="1">
      <alignment horizontal="center" vertical="center"/>
    </xf>
    <xf numFmtId="178" fontId="15" fillId="28" borderId="1" xfId="20" applyNumberFormat="1" applyFont="1" applyFill="1" applyBorder="1" applyAlignment="1" applyProtection="1">
      <alignment horizontal="center" vertical="center"/>
    </xf>
    <xf numFmtId="178" fontId="0" fillId="4" borderId="131" xfId="20" applyNumberFormat="1" applyFont="1" applyFill="1" applyBorder="1" applyProtection="1"/>
    <xf numFmtId="178" fontId="15" fillId="0" borderId="137" xfId="20" applyNumberFormat="1" applyFont="1" applyBorder="1" applyAlignment="1" applyProtection="1">
      <alignment horizontal="center" vertical="center"/>
      <protection locked="0"/>
    </xf>
    <xf numFmtId="178" fontId="15" fillId="28" borderId="138" xfId="20" applyNumberFormat="1" applyFont="1" applyFill="1" applyBorder="1" applyAlignment="1" applyProtection="1">
      <alignment horizontal="center" vertical="center"/>
    </xf>
    <xf numFmtId="1" fontId="111" fillId="29" borderId="79" xfId="19" applyNumberFormat="1" applyFont="1" applyFill="1" applyBorder="1" applyAlignment="1" applyProtection="1">
      <alignment horizontal="center" vertical="center" wrapText="1"/>
    </xf>
    <xf numFmtId="1" fontId="111" fillId="29" borderId="50" xfId="19" applyNumberFormat="1" applyFont="1" applyFill="1" applyBorder="1" applyAlignment="1" applyProtection="1">
      <alignment horizontal="center" vertical="center" wrapText="1"/>
    </xf>
    <xf numFmtId="1" fontId="88" fillId="29" borderId="79" xfId="19" applyNumberFormat="1" applyFont="1" applyFill="1" applyBorder="1" applyAlignment="1" applyProtection="1">
      <alignment horizontal="center" vertical="center" wrapText="1"/>
    </xf>
    <xf numFmtId="1" fontId="87" fillId="29" borderId="50" xfId="19" applyNumberFormat="1" applyFont="1" applyFill="1" applyBorder="1" applyAlignment="1" applyProtection="1">
      <alignment horizontal="center" vertical="center" wrapText="1"/>
    </xf>
    <xf numFmtId="17" fontId="14" fillId="27" borderId="61" xfId="0" quotePrefix="1" applyNumberFormat="1" applyFont="1" applyFill="1" applyBorder="1" applyAlignment="1" applyProtection="1">
      <alignment horizontal="center" vertical="center" wrapText="1"/>
      <protection locked="0"/>
    </xf>
    <xf numFmtId="0" fontId="48" fillId="9" borderId="0" xfId="18" applyFill="1" applyAlignment="1">
      <alignment horizontal="left"/>
    </xf>
    <xf numFmtId="0" fontId="52" fillId="0" borderId="0" xfId="0" applyFont="1" applyAlignment="1">
      <alignment horizontal="left" vertical="top" wrapText="1"/>
    </xf>
    <xf numFmtId="0" fontId="44" fillId="9" borderId="0" xfId="0" applyFont="1" applyFill="1" applyAlignment="1">
      <alignment horizontal="left" vertical="center" wrapText="1"/>
    </xf>
    <xf numFmtId="0" fontId="48" fillId="0" borderId="0" xfId="18" applyFill="1" applyBorder="1" applyAlignment="1">
      <alignment horizontal="left"/>
    </xf>
    <xf numFmtId="0" fontId="71" fillId="25" borderId="2" xfId="0" applyFont="1" applyFill="1" applyBorder="1" applyAlignment="1" applyProtection="1">
      <alignment horizontal="center" vertical="center"/>
    </xf>
    <xf numFmtId="0" fontId="71" fillId="25" borderId="10" xfId="0" applyFont="1" applyFill="1" applyBorder="1" applyAlignment="1" applyProtection="1">
      <alignment horizontal="center" vertical="center"/>
    </xf>
    <xf numFmtId="0" fontId="71" fillId="8" borderId="2" xfId="0" applyFont="1" applyFill="1" applyBorder="1" applyAlignment="1" applyProtection="1">
      <alignment horizontal="right"/>
    </xf>
    <xf numFmtId="0" fontId="71" fillId="8" borderId="10" xfId="0" applyFont="1" applyFill="1" applyBorder="1" applyAlignment="1" applyProtection="1">
      <alignment horizontal="right"/>
    </xf>
    <xf numFmtId="0" fontId="68" fillId="20" borderId="0" xfId="0" applyFont="1" applyFill="1" applyBorder="1" applyAlignment="1" applyProtection="1">
      <alignment horizontal="center"/>
    </xf>
    <xf numFmtId="0" fontId="65" fillId="20" borderId="0" xfId="0" applyFont="1" applyFill="1" applyBorder="1" applyAlignment="1" applyProtection="1">
      <alignment horizontal="center"/>
    </xf>
    <xf numFmtId="0" fontId="9" fillId="0" borderId="23" xfId="0" applyFont="1" applyBorder="1" applyAlignment="1" applyProtection="1">
      <alignment horizontal="center"/>
    </xf>
    <xf numFmtId="0" fontId="9" fillId="0" borderId="24" xfId="0" applyFont="1" applyBorder="1" applyAlignment="1" applyProtection="1">
      <alignment horizontal="center"/>
    </xf>
    <xf numFmtId="0" fontId="4" fillId="20" borderId="2" xfId="0" applyFont="1" applyFill="1" applyBorder="1" applyAlignment="1" applyProtection="1">
      <alignment horizontal="center"/>
    </xf>
    <xf numFmtId="0" fontId="4" fillId="20" borderId="3" xfId="0" applyFont="1" applyFill="1" applyBorder="1" applyAlignment="1" applyProtection="1">
      <alignment horizontal="center"/>
    </xf>
    <xf numFmtId="0" fontId="4" fillId="20" borderId="10" xfId="0" applyFont="1" applyFill="1" applyBorder="1" applyAlignment="1" applyProtection="1">
      <alignment horizontal="center"/>
    </xf>
    <xf numFmtId="0" fontId="4" fillId="20" borderId="23" xfId="0" applyFont="1" applyFill="1" applyBorder="1" applyAlignment="1" applyProtection="1">
      <alignment horizontal="center"/>
    </xf>
    <xf numFmtId="0" fontId="4" fillId="20" borderId="20" xfId="0" applyFont="1" applyFill="1" applyBorder="1" applyAlignment="1" applyProtection="1">
      <alignment horizontal="center"/>
    </xf>
    <xf numFmtId="0" fontId="4" fillId="20" borderId="24" xfId="0" applyFont="1" applyFill="1" applyBorder="1" applyAlignment="1" applyProtection="1">
      <alignment horizontal="center"/>
    </xf>
    <xf numFmtId="0" fontId="18" fillId="21" borderId="0" xfId="0" applyFont="1" applyFill="1" applyBorder="1" applyAlignment="1" applyProtection="1">
      <alignment horizontal="left" vertical="center" wrapText="1"/>
    </xf>
    <xf numFmtId="0" fontId="105" fillId="22" borderId="0" xfId="0" applyFont="1" applyFill="1" applyBorder="1" applyAlignment="1" applyProtection="1">
      <alignment horizontal="center" vertical="center" wrapText="1"/>
      <protection locked="0"/>
    </xf>
    <xf numFmtId="0" fontId="105" fillId="22" borderId="66" xfId="0" applyFont="1" applyFill="1" applyBorder="1" applyAlignment="1" applyProtection="1">
      <alignment horizontal="center" vertical="center" wrapText="1"/>
      <protection locked="0"/>
    </xf>
    <xf numFmtId="14" fontId="34" fillId="22" borderId="0" xfId="0" applyNumberFormat="1" applyFont="1" applyFill="1" applyBorder="1" applyAlignment="1" applyProtection="1">
      <alignment horizontal="center"/>
      <protection locked="0"/>
    </xf>
    <xf numFmtId="0" fontId="34" fillId="22" borderId="66" xfId="0" applyFont="1" applyFill="1" applyBorder="1" applyAlignment="1" applyProtection="1">
      <alignment horizontal="center"/>
      <protection locked="0"/>
    </xf>
    <xf numFmtId="14" fontId="8" fillId="6" borderId="29" xfId="0" applyNumberFormat="1" applyFont="1" applyFill="1" applyBorder="1" applyAlignment="1" applyProtection="1">
      <alignment horizontal="center"/>
      <protection locked="0"/>
    </xf>
    <xf numFmtId="0" fontId="8" fillId="6" borderId="30" xfId="0" applyFont="1" applyFill="1" applyBorder="1" applyAlignment="1" applyProtection="1">
      <alignment horizontal="center"/>
      <protection locked="0"/>
    </xf>
    <xf numFmtId="0" fontId="36" fillId="6" borderId="23" xfId="0" applyFont="1" applyFill="1" applyBorder="1" applyAlignment="1" applyProtection="1">
      <alignment horizontal="center" vertical="center"/>
    </xf>
    <xf numFmtId="0" fontId="36" fillId="6" borderId="20" xfId="0" applyFont="1" applyFill="1" applyBorder="1" applyAlignment="1" applyProtection="1">
      <alignment horizontal="center" vertical="center"/>
    </xf>
    <xf numFmtId="0" fontId="36" fillId="6" borderId="24" xfId="0" applyFont="1" applyFill="1" applyBorder="1" applyAlignment="1" applyProtection="1">
      <alignment horizontal="center" vertical="center"/>
    </xf>
    <xf numFmtId="0" fontId="36" fillId="6" borderId="21" xfId="0" applyFont="1" applyFill="1" applyBorder="1" applyAlignment="1" applyProtection="1">
      <alignment horizontal="center" vertical="center"/>
    </xf>
    <xf numFmtId="0" fontId="36" fillId="6" borderId="0" xfId="0" applyFont="1" applyFill="1" applyBorder="1" applyAlignment="1" applyProtection="1">
      <alignment horizontal="center" vertical="center"/>
    </xf>
    <xf numFmtId="0" fontId="36" fillId="6" borderId="66" xfId="0" applyFont="1" applyFill="1" applyBorder="1" applyAlignment="1" applyProtection="1">
      <alignment horizontal="center" vertical="center"/>
    </xf>
    <xf numFmtId="0" fontId="38" fillId="8" borderId="21"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66" xfId="0" applyFont="1" applyFill="1" applyBorder="1" applyAlignment="1" applyProtection="1">
      <alignment horizontal="center" vertical="center"/>
    </xf>
    <xf numFmtId="0" fontId="39" fillId="4" borderId="0" xfId="0" applyFont="1" applyFill="1" applyBorder="1" applyAlignment="1" applyProtection="1">
      <alignment horizontal="center" wrapText="1"/>
    </xf>
    <xf numFmtId="0" fontId="8" fillId="14" borderId="2" xfId="2" applyFont="1" applyFill="1" applyBorder="1" applyAlignment="1" applyProtection="1">
      <alignment horizontal="center"/>
    </xf>
    <xf numFmtId="0" fontId="8" fillId="14" borderId="10" xfId="2" applyFont="1" applyFill="1" applyBorder="1" applyAlignment="1" applyProtection="1">
      <alignment horizontal="center"/>
    </xf>
    <xf numFmtId="0" fontId="6" fillId="14" borderId="33" xfId="2" applyFont="1" applyFill="1" applyBorder="1" applyAlignment="1" applyProtection="1">
      <alignment horizontal="center"/>
    </xf>
    <xf numFmtId="0" fontId="6" fillId="14" borderId="42" xfId="2" applyFont="1" applyFill="1" applyBorder="1" applyAlignment="1" applyProtection="1">
      <alignment horizontal="center"/>
    </xf>
    <xf numFmtId="0" fontId="6" fillId="14" borderId="49" xfId="2" applyFont="1" applyFill="1" applyBorder="1" applyAlignment="1" applyProtection="1">
      <alignment horizontal="center"/>
    </xf>
    <xf numFmtId="0" fontId="6" fillId="14" borderId="35" xfId="2" applyFont="1" applyFill="1" applyBorder="1" applyAlignment="1" applyProtection="1">
      <alignment horizontal="center"/>
    </xf>
    <xf numFmtId="0" fontId="6" fillId="14" borderId="1" xfId="2" applyFont="1" applyFill="1" applyBorder="1" applyAlignment="1" applyProtection="1">
      <alignment horizontal="center"/>
    </xf>
    <xf numFmtId="0" fontId="6" fillId="14" borderId="29" xfId="2" applyFont="1" applyFill="1" applyBorder="1" applyAlignment="1" applyProtection="1">
      <alignment horizontal="center"/>
    </xf>
    <xf numFmtId="0" fontId="6" fillId="4" borderId="35" xfId="2" applyFont="1" applyFill="1" applyBorder="1" applyAlignment="1" applyProtection="1">
      <alignment horizontal="center"/>
    </xf>
    <xf numFmtId="0" fontId="6" fillId="4" borderId="1" xfId="2" applyFont="1" applyFill="1" applyBorder="1" applyAlignment="1" applyProtection="1">
      <alignment horizontal="center"/>
    </xf>
    <xf numFmtId="0" fontId="6" fillId="4" borderId="29" xfId="2" applyFont="1" applyFill="1" applyBorder="1" applyAlignment="1" applyProtection="1">
      <alignment horizontal="center"/>
    </xf>
    <xf numFmtId="0" fontId="6" fillId="19" borderId="35" xfId="2" applyFont="1" applyFill="1" applyBorder="1" applyAlignment="1" applyProtection="1">
      <alignment horizontal="center"/>
    </xf>
    <xf numFmtId="0" fontId="6" fillId="19" borderId="1" xfId="2" applyFont="1" applyFill="1" applyBorder="1" applyAlignment="1" applyProtection="1">
      <alignment horizontal="center"/>
    </xf>
    <xf numFmtId="0" fontId="6" fillId="19" borderId="29" xfId="2" applyFont="1" applyFill="1" applyBorder="1" applyAlignment="1" applyProtection="1">
      <alignment horizontal="center"/>
    </xf>
    <xf numFmtId="0" fontId="23" fillId="4" borderId="35" xfId="2" applyFont="1" applyFill="1" applyBorder="1" applyAlignment="1" applyProtection="1">
      <alignment horizontal="center"/>
    </xf>
    <xf numFmtId="0" fontId="23" fillId="4" borderId="1" xfId="2" applyFont="1" applyFill="1" applyBorder="1" applyAlignment="1" applyProtection="1">
      <alignment horizontal="center"/>
    </xf>
    <xf numFmtId="0" fontId="23" fillId="4" borderId="29" xfId="2" applyFont="1" applyFill="1" applyBorder="1" applyAlignment="1" applyProtection="1">
      <alignment horizontal="center"/>
    </xf>
    <xf numFmtId="0" fontId="6" fillId="18" borderId="35" xfId="2" applyFont="1" applyFill="1" applyBorder="1" applyAlignment="1" applyProtection="1">
      <alignment horizontal="center" wrapText="1"/>
    </xf>
    <xf numFmtId="0" fontId="6" fillId="18" borderId="1" xfId="2" applyFont="1" applyFill="1" applyBorder="1" applyAlignment="1" applyProtection="1">
      <alignment horizontal="center" wrapText="1"/>
    </xf>
    <xf numFmtId="0" fontId="6" fillId="18" borderId="29" xfId="2" applyFont="1" applyFill="1" applyBorder="1" applyAlignment="1" applyProtection="1">
      <alignment horizontal="center" wrapText="1"/>
    </xf>
    <xf numFmtId="0" fontId="7" fillId="4" borderId="40" xfId="0" applyFont="1" applyFill="1" applyBorder="1" applyAlignment="1" applyProtection="1">
      <alignment horizontal="center"/>
    </xf>
    <xf numFmtId="0" fontId="7" fillId="4" borderId="28" xfId="0" applyFont="1" applyFill="1" applyBorder="1" applyAlignment="1" applyProtection="1">
      <alignment horizontal="center"/>
    </xf>
    <xf numFmtId="0" fontId="7" fillId="4" borderId="50" xfId="0" applyFont="1" applyFill="1" applyBorder="1" applyAlignment="1" applyProtection="1">
      <alignment horizontal="center"/>
    </xf>
    <xf numFmtId="0" fontId="6" fillId="2" borderId="49" xfId="2" applyFont="1" applyFill="1" applyBorder="1" applyAlignment="1" applyProtection="1">
      <alignment horizontal="center"/>
    </xf>
    <xf numFmtId="0" fontId="6" fillId="2" borderId="31" xfId="2" applyFont="1" applyFill="1" applyBorder="1" applyAlignment="1" applyProtection="1">
      <alignment horizontal="center"/>
    </xf>
    <xf numFmtId="0" fontId="6" fillId="2" borderId="32" xfId="2" applyFont="1" applyFill="1" applyBorder="1" applyAlignment="1" applyProtection="1">
      <alignment horizontal="center"/>
    </xf>
    <xf numFmtId="44" fontId="6" fillId="2" borderId="29" xfId="0" applyNumberFormat="1" applyFont="1" applyFill="1" applyBorder="1" applyAlignment="1" applyProtection="1">
      <alignment horizontal="center"/>
    </xf>
    <xf numFmtId="44" fontId="6" fillId="2" borderId="22" xfId="0" applyNumberFormat="1" applyFont="1" applyFill="1" applyBorder="1" applyAlignment="1" applyProtection="1">
      <alignment horizontal="center"/>
    </xf>
    <xf numFmtId="44" fontId="6" fillId="2" borderId="30" xfId="0" applyNumberFormat="1" applyFont="1" applyFill="1" applyBorder="1" applyAlignment="1" applyProtection="1">
      <alignment horizontal="center"/>
    </xf>
    <xf numFmtId="0" fontId="40" fillId="4" borderId="0" xfId="0" applyFont="1" applyFill="1" applyBorder="1" applyAlignment="1" applyProtection="1">
      <alignment horizontal="center"/>
    </xf>
    <xf numFmtId="0" fontId="93" fillId="0" borderId="79" xfId="0" applyFont="1" applyFill="1" applyBorder="1" applyAlignment="1" applyProtection="1">
      <alignment horizontal="left"/>
    </xf>
    <xf numFmtId="0" fontId="93" fillId="0" borderId="80" xfId="0" applyFont="1" applyFill="1" applyBorder="1" applyAlignment="1" applyProtection="1">
      <alignment horizontal="left"/>
    </xf>
    <xf numFmtId="0" fontId="93" fillId="0" borderId="98" xfId="0" applyFont="1" applyFill="1" applyBorder="1" applyAlignment="1" applyProtection="1">
      <alignment horizontal="left"/>
    </xf>
    <xf numFmtId="0" fontId="92" fillId="6" borderId="4" xfId="0" applyFont="1" applyFill="1" applyBorder="1" applyAlignment="1" applyProtection="1">
      <alignment horizontal="center" vertical="center"/>
    </xf>
    <xf numFmtId="0" fontId="92" fillId="6" borderId="7" xfId="0" applyFont="1" applyFill="1" applyBorder="1" applyAlignment="1" applyProtection="1">
      <alignment horizontal="center" vertical="center"/>
    </xf>
    <xf numFmtId="0" fontId="92" fillId="6" borderId="11" xfId="0" applyFont="1" applyFill="1" applyBorder="1" applyAlignment="1" applyProtection="1">
      <alignment horizontal="center" vertical="center"/>
    </xf>
    <xf numFmtId="0" fontId="93" fillId="0" borderId="100" xfId="0" applyFont="1" applyFill="1" applyBorder="1" applyAlignment="1" applyProtection="1">
      <alignment horizontal="left"/>
    </xf>
    <xf numFmtId="0" fontId="93" fillId="0" borderId="78" xfId="0" applyFont="1" applyFill="1" applyBorder="1" applyAlignment="1" applyProtection="1">
      <alignment horizontal="left"/>
    </xf>
    <xf numFmtId="0" fontId="93" fillId="0" borderId="60" xfId="0" applyFont="1" applyFill="1" applyBorder="1" applyAlignment="1" applyProtection="1">
      <alignment horizontal="left"/>
    </xf>
    <xf numFmtId="0" fontId="93" fillId="0" borderId="29" xfId="0" applyFont="1" applyFill="1" applyBorder="1" applyAlignment="1" applyProtection="1">
      <alignment horizontal="left"/>
    </xf>
    <xf numFmtId="0" fontId="93" fillId="0" borderId="22" xfId="0" applyFont="1" applyFill="1" applyBorder="1" applyAlignment="1" applyProtection="1">
      <alignment horizontal="left"/>
    </xf>
    <xf numFmtId="0" fontId="93" fillId="0" borderId="30" xfId="0" applyFont="1" applyFill="1" applyBorder="1" applyAlignment="1" applyProtection="1">
      <alignment horizontal="left"/>
    </xf>
    <xf numFmtId="0" fontId="93" fillId="0" borderId="50" xfId="0" applyFont="1" applyFill="1" applyBorder="1" applyAlignment="1" applyProtection="1">
      <alignment horizontal="left"/>
    </xf>
    <xf numFmtId="0" fontId="93" fillId="0" borderId="27" xfId="0" applyFont="1" applyFill="1" applyBorder="1" applyAlignment="1" applyProtection="1">
      <alignment horizontal="left"/>
    </xf>
    <xf numFmtId="0" fontId="93" fillId="0" borderId="70" xfId="0" applyFont="1" applyFill="1" applyBorder="1" applyAlignment="1" applyProtection="1">
      <alignment horizontal="left"/>
    </xf>
    <xf numFmtId="0" fontId="83" fillId="0" borderId="40" xfId="0" applyFont="1" applyFill="1" applyBorder="1" applyAlignment="1" applyProtection="1">
      <alignment horizontal="left" wrapText="1"/>
    </xf>
    <xf numFmtId="0" fontId="83" fillId="0" borderId="28" xfId="0" applyFont="1" applyFill="1" applyBorder="1" applyAlignment="1" applyProtection="1">
      <alignment horizontal="left" wrapText="1"/>
    </xf>
    <xf numFmtId="0" fontId="83" fillId="0" borderId="41" xfId="0" applyFont="1" applyFill="1" applyBorder="1" applyAlignment="1" applyProtection="1">
      <alignment horizontal="left" wrapText="1"/>
    </xf>
    <xf numFmtId="0" fontId="78" fillId="0" borderId="75" xfId="0" applyFont="1" applyFill="1" applyBorder="1" applyAlignment="1" applyProtection="1">
      <alignment horizontal="center" wrapText="1"/>
    </xf>
    <xf numFmtId="0" fontId="78" fillId="0" borderId="76" xfId="0" applyFont="1" applyFill="1" applyBorder="1" applyAlignment="1" applyProtection="1">
      <alignment horizontal="center" wrapText="1"/>
    </xf>
    <xf numFmtId="0" fontId="83" fillId="0" borderId="35" xfId="0" applyFont="1" applyFill="1" applyBorder="1" applyAlignment="1" applyProtection="1">
      <alignment horizontal="left" wrapText="1"/>
    </xf>
    <xf numFmtId="0" fontId="83" fillId="0" borderId="1" xfId="0" applyFont="1" applyFill="1" applyBorder="1" applyAlignment="1" applyProtection="1">
      <alignment horizontal="left" wrapText="1"/>
    </xf>
    <xf numFmtId="0" fontId="83" fillId="0" borderId="26" xfId="0" applyFont="1" applyFill="1" applyBorder="1" applyAlignment="1" applyProtection="1">
      <alignment horizontal="left" wrapText="1"/>
    </xf>
    <xf numFmtId="0" fontId="78" fillId="0" borderId="33" xfId="0" applyFont="1" applyFill="1" applyBorder="1" applyAlignment="1" applyProtection="1">
      <alignment horizontal="left" wrapText="1"/>
    </xf>
    <xf numFmtId="0" fontId="78" fillId="0" borderId="42" xfId="0" applyFont="1" applyFill="1" applyBorder="1" applyAlignment="1" applyProtection="1">
      <alignment horizontal="left" wrapText="1"/>
    </xf>
    <xf numFmtId="0" fontId="78" fillId="0" borderId="34" xfId="0" applyFont="1" applyFill="1" applyBorder="1" applyAlignment="1" applyProtection="1">
      <alignment horizontal="left" wrapText="1"/>
    </xf>
    <xf numFmtId="0" fontId="91" fillId="0" borderId="25" xfId="0" applyFont="1" applyBorder="1" applyAlignment="1" applyProtection="1">
      <alignment horizontal="left" vertical="center"/>
    </xf>
    <xf numFmtId="0" fontId="91" fillId="0" borderId="22" xfId="0" applyFont="1" applyBorder="1" applyAlignment="1" applyProtection="1">
      <alignment horizontal="left" vertical="center"/>
    </xf>
    <xf numFmtId="0" fontId="91" fillId="0" borderId="30" xfId="0" applyFont="1" applyBorder="1" applyAlignment="1" applyProtection="1">
      <alignment horizontal="left" vertical="center"/>
    </xf>
    <xf numFmtId="0" fontId="91" fillId="0" borderId="97" xfId="0" applyFont="1" applyFill="1" applyBorder="1" applyAlignment="1" applyProtection="1">
      <alignment horizontal="left" vertical="center" wrapText="1"/>
    </xf>
    <xf numFmtId="0" fontId="91" fillId="0" borderId="80" xfId="0" applyFont="1" applyFill="1" applyBorder="1" applyAlignment="1" applyProtection="1">
      <alignment horizontal="left" vertical="center" wrapText="1"/>
    </xf>
    <xf numFmtId="0" fontId="91" fillId="0" borderId="98" xfId="0" applyFont="1" applyFill="1" applyBorder="1" applyAlignment="1" applyProtection="1">
      <alignment horizontal="left" vertical="center" wrapText="1"/>
    </xf>
    <xf numFmtId="0" fontId="91" fillId="0" borderId="69" xfId="0" applyFont="1" applyBorder="1" applyAlignment="1" applyProtection="1">
      <alignment horizontal="left" vertical="center"/>
    </xf>
    <xf numFmtId="0" fontId="91" fillId="0" borderId="27" xfId="0" applyFont="1" applyBorder="1" applyAlignment="1" applyProtection="1">
      <alignment horizontal="left" vertical="center"/>
    </xf>
    <xf numFmtId="0" fontId="91" fillId="0" borderId="70" xfId="0" applyFont="1" applyBorder="1" applyAlignment="1" applyProtection="1">
      <alignment horizontal="left" vertical="center"/>
    </xf>
    <xf numFmtId="0" fontId="91" fillId="0" borderId="69" xfId="0" applyFont="1" applyFill="1" applyBorder="1" applyAlignment="1" applyProtection="1">
      <alignment horizontal="center" vertical="center" wrapText="1"/>
    </xf>
    <xf numFmtId="0" fontId="91" fillId="0" borderId="27" xfId="0" applyFont="1" applyFill="1" applyBorder="1" applyAlignment="1" applyProtection="1">
      <alignment horizontal="center" vertical="center" wrapText="1"/>
    </xf>
    <xf numFmtId="0" fontId="91" fillId="0" borderId="70" xfId="0" applyFont="1" applyFill="1" applyBorder="1" applyAlignment="1" applyProtection="1">
      <alignment horizontal="center" vertical="center" wrapText="1"/>
    </xf>
    <xf numFmtId="0" fontId="91" fillId="0" borderId="25" xfId="0" applyFont="1" applyFill="1" applyBorder="1" applyAlignment="1" applyProtection="1">
      <alignment horizontal="left" vertical="center" wrapText="1"/>
    </xf>
    <xf numFmtId="0" fontId="91" fillId="0" borderId="22" xfId="0" applyFont="1" applyFill="1" applyBorder="1" applyAlignment="1" applyProtection="1">
      <alignment horizontal="left" vertical="center" wrapText="1"/>
    </xf>
    <xf numFmtId="0" fontId="91" fillId="0" borderId="30" xfId="0" applyFont="1" applyFill="1" applyBorder="1" applyAlignment="1" applyProtection="1">
      <alignment horizontal="left" vertical="center" wrapText="1"/>
    </xf>
    <xf numFmtId="0" fontId="90" fillId="0" borderId="68" xfId="0" applyFont="1" applyBorder="1" applyAlignment="1" applyProtection="1">
      <alignment horizontal="left" vertical="center" wrapText="1"/>
    </xf>
    <xf numFmtId="0" fontId="90" fillId="0" borderId="31" xfId="0" applyFont="1" applyBorder="1" applyAlignment="1" applyProtection="1">
      <alignment horizontal="left" vertical="center" wrapText="1"/>
    </xf>
    <xf numFmtId="0" fontId="90" fillId="0" borderId="68" xfId="0" applyFont="1" applyBorder="1" applyAlignment="1" applyProtection="1">
      <alignment horizontal="left" vertical="center"/>
    </xf>
    <xf numFmtId="0" fontId="90" fillId="0" borderId="31" xfId="0" applyFont="1" applyBorder="1" applyAlignment="1" applyProtection="1">
      <alignment horizontal="left" vertical="center"/>
    </xf>
    <xf numFmtId="0" fontId="90" fillId="0" borderId="32" xfId="0" applyFont="1" applyBorder="1" applyAlignment="1" applyProtection="1">
      <alignment horizontal="left" vertical="center"/>
    </xf>
    <xf numFmtId="0" fontId="90" fillId="0" borderId="68" xfId="0" applyFont="1" applyFill="1" applyBorder="1" applyAlignment="1" applyProtection="1">
      <alignment horizontal="center" vertical="center" wrapText="1"/>
    </xf>
    <xf numFmtId="0" fontId="90" fillId="0" borderId="31" xfId="0" applyFont="1" applyFill="1" applyBorder="1" applyAlignment="1" applyProtection="1">
      <alignment horizontal="center" vertical="center" wrapText="1"/>
    </xf>
    <xf numFmtId="0" fontId="90" fillId="0" borderId="32" xfId="0" applyFont="1" applyFill="1" applyBorder="1" applyAlignment="1" applyProtection="1">
      <alignment horizontal="center" vertical="center" wrapText="1"/>
    </xf>
    <xf numFmtId="1" fontId="108" fillId="4" borderId="0" xfId="19" applyNumberFormat="1" applyFont="1" applyFill="1" applyBorder="1" applyAlignment="1" applyProtection="1">
      <alignment horizontal="center" vertical="center" wrapText="1"/>
    </xf>
    <xf numFmtId="1" fontId="110" fillId="19" borderId="75" xfId="19" applyNumberFormat="1" applyFont="1" applyFill="1" applyBorder="1" applyAlignment="1" applyProtection="1">
      <alignment horizontal="center" vertical="center" wrapText="1"/>
    </xf>
    <xf numFmtId="1" fontId="110" fillId="19" borderId="93" xfId="19" applyNumberFormat="1" applyFont="1" applyFill="1" applyBorder="1" applyAlignment="1" applyProtection="1">
      <alignment horizontal="center" vertical="center" wrapText="1"/>
    </xf>
    <xf numFmtId="1" fontId="87" fillId="19" borderId="75" xfId="19" applyNumberFormat="1" applyFont="1" applyFill="1" applyBorder="1" applyAlignment="1" applyProtection="1">
      <alignment horizontal="center" vertical="center" wrapText="1"/>
    </xf>
    <xf numFmtId="1" fontId="87" fillId="19" borderId="93" xfId="19" applyNumberFormat="1" applyFont="1" applyFill="1" applyBorder="1" applyAlignment="1" applyProtection="1">
      <alignment horizontal="center" vertical="center" wrapText="1"/>
    </xf>
    <xf numFmtId="1" fontId="87" fillId="19" borderId="61" xfId="19" applyNumberFormat="1" applyFont="1" applyFill="1" applyBorder="1" applyAlignment="1" applyProtection="1">
      <alignment horizontal="center" vertical="center" wrapText="1"/>
    </xf>
    <xf numFmtId="1" fontId="87" fillId="19" borderId="76" xfId="19" applyNumberFormat="1" applyFont="1" applyFill="1" applyBorder="1" applyAlignment="1" applyProtection="1">
      <alignment horizontal="center" vertical="center" wrapText="1"/>
    </xf>
    <xf numFmtId="1" fontId="87" fillId="19" borderId="74" xfId="19" applyNumberFormat="1" applyFont="1" applyFill="1" applyBorder="1" applyAlignment="1" applyProtection="1">
      <alignment horizontal="center" vertical="center" wrapText="1"/>
    </xf>
    <xf numFmtId="0" fontId="85" fillId="4" borderId="80" xfId="0" applyFont="1" applyFill="1" applyBorder="1" applyAlignment="1" applyProtection="1">
      <alignment horizontal="center" vertical="center"/>
    </xf>
    <xf numFmtId="0" fontId="85" fillId="4" borderId="19" xfId="0" applyFont="1" applyFill="1" applyBorder="1" applyAlignment="1" applyProtection="1">
      <alignment horizontal="center" vertical="center"/>
    </xf>
    <xf numFmtId="165" fontId="87" fillId="19" borderId="68" xfId="19" applyNumberFormat="1" applyFont="1" applyFill="1" applyBorder="1" applyAlignment="1" applyProtection="1">
      <alignment horizontal="center" vertical="center" wrapText="1"/>
    </xf>
    <xf numFmtId="165" fontId="87" fillId="19" borderId="31" xfId="19" applyNumberFormat="1" applyFont="1" applyFill="1" applyBorder="1" applyAlignment="1" applyProtection="1">
      <alignment horizontal="center" vertical="center" wrapText="1"/>
    </xf>
    <xf numFmtId="165" fontId="87" fillId="19" borderId="32" xfId="19" applyNumberFormat="1" applyFont="1" applyFill="1" applyBorder="1" applyAlignment="1" applyProtection="1">
      <alignment horizontal="center" vertical="center" wrapText="1"/>
    </xf>
    <xf numFmtId="174" fontId="87" fillId="19" borderId="91" xfId="19" applyNumberFormat="1" applyFont="1" applyFill="1" applyBorder="1" applyAlignment="1" applyProtection="1">
      <alignment horizontal="center" vertical="center" wrapText="1"/>
    </xf>
    <xf numFmtId="174" fontId="87" fillId="19" borderId="87" xfId="19" applyNumberFormat="1" applyFont="1" applyFill="1" applyBorder="1" applyAlignment="1" applyProtection="1">
      <alignment horizontal="center" vertical="center" wrapText="1"/>
    </xf>
    <xf numFmtId="0" fontId="79" fillId="20" borderId="139" xfId="0" applyFont="1" applyFill="1" applyBorder="1" applyAlignment="1" applyProtection="1">
      <alignment horizontal="center"/>
    </xf>
    <xf numFmtId="0" fontId="79" fillId="20" borderId="140" xfId="0" applyFont="1" applyFill="1" applyBorder="1" applyAlignment="1" applyProtection="1">
      <alignment horizontal="center"/>
    </xf>
    <xf numFmtId="0" fontId="79" fillId="20" borderId="141" xfId="0" applyFont="1" applyFill="1" applyBorder="1" applyAlignment="1" applyProtection="1">
      <alignment horizontal="center"/>
    </xf>
    <xf numFmtId="0" fontId="0" fillId="0" borderId="72" xfId="0" applyFill="1" applyBorder="1" applyAlignment="1" applyProtection="1">
      <alignment horizontal="left" vertical="center" wrapText="1"/>
    </xf>
    <xf numFmtId="0" fontId="0" fillId="0" borderId="84" xfId="0" applyFill="1" applyBorder="1" applyAlignment="1" applyProtection="1">
      <alignment horizontal="left" vertical="center" wrapText="1"/>
    </xf>
    <xf numFmtId="0" fontId="0" fillId="0" borderId="51" xfId="0" applyFill="1" applyBorder="1" applyAlignment="1" applyProtection="1">
      <alignment horizontal="left" vertical="center" wrapText="1"/>
    </xf>
    <xf numFmtId="0" fontId="83" fillId="7" borderId="1" xfId="0" applyFont="1" applyFill="1" applyBorder="1" applyAlignment="1" applyProtection="1">
      <alignment horizontal="center"/>
    </xf>
    <xf numFmtId="0" fontId="87" fillId="19" borderId="90" xfId="19" applyFont="1" applyFill="1" applyBorder="1" applyAlignment="1" applyProtection="1">
      <alignment horizontal="center" vertical="center" wrapText="1"/>
    </xf>
    <xf numFmtId="0" fontId="87" fillId="19" borderId="92" xfId="19" applyFont="1" applyFill="1" applyBorder="1" applyAlignment="1" applyProtection="1">
      <alignment horizontal="center" vertical="center" wrapText="1"/>
    </xf>
    <xf numFmtId="14" fontId="87" fillId="19" borderId="75" xfId="19" applyNumberFormat="1" applyFont="1" applyFill="1" applyBorder="1" applyAlignment="1" applyProtection="1">
      <alignment horizontal="center" vertical="center" wrapText="1"/>
    </xf>
    <xf numFmtId="14" fontId="87" fillId="19" borderId="93" xfId="19" applyNumberFormat="1" applyFont="1" applyFill="1" applyBorder="1" applyAlignment="1" applyProtection="1">
      <alignment horizontal="center" vertical="center" wrapText="1"/>
    </xf>
    <xf numFmtId="0" fontId="87" fillId="19" borderId="75" xfId="19" applyFont="1" applyFill="1" applyBorder="1" applyAlignment="1" applyProtection="1">
      <alignment horizontal="center" vertical="center" wrapText="1"/>
    </xf>
    <xf numFmtId="0" fontId="87" fillId="19" borderId="93" xfId="19" applyFont="1" applyFill="1" applyBorder="1" applyAlignment="1" applyProtection="1">
      <alignment horizontal="center" vertical="center" wrapText="1"/>
    </xf>
    <xf numFmtId="14" fontId="83" fillId="7" borderId="1" xfId="0" applyNumberFormat="1" applyFont="1" applyFill="1" applyBorder="1" applyAlignment="1" applyProtection="1">
      <alignment horizontal="center"/>
    </xf>
    <xf numFmtId="0" fontId="83" fillId="7" borderId="29" xfId="0" applyFont="1" applyFill="1" applyBorder="1" applyAlignment="1" applyProtection="1">
      <alignment horizontal="center" vertical="center"/>
      <protection locked="0"/>
    </xf>
    <xf numFmtId="0" fontId="83" fillId="7" borderId="22" xfId="0" applyFont="1" applyFill="1" applyBorder="1" applyAlignment="1" applyProtection="1">
      <alignment horizontal="center" vertical="center"/>
      <protection locked="0"/>
    </xf>
    <xf numFmtId="0" fontId="83" fillId="7" borderId="88" xfId="0" applyFont="1" applyFill="1" applyBorder="1" applyAlignment="1" applyProtection="1">
      <alignment horizontal="center" vertical="center"/>
      <protection locked="0"/>
    </xf>
    <xf numFmtId="0" fontId="84" fillId="4" borderId="80" xfId="0" applyFont="1" applyFill="1" applyBorder="1" applyAlignment="1" applyProtection="1">
      <alignment horizontal="center" vertical="center"/>
    </xf>
    <xf numFmtId="0" fontId="84" fillId="4" borderId="78" xfId="0" applyFont="1" applyFill="1" applyBorder="1" applyAlignment="1" applyProtection="1">
      <alignment horizontal="center" vertical="center"/>
    </xf>
    <xf numFmtId="0" fontId="94" fillId="0" borderId="90" xfId="0" applyFont="1" applyFill="1" applyBorder="1" applyAlignment="1">
      <alignment horizontal="center" vertical="center" wrapText="1"/>
    </xf>
    <xf numFmtId="0" fontId="94" fillId="0" borderId="53" xfId="0" applyFont="1" applyFill="1" applyBorder="1" applyAlignment="1">
      <alignment horizontal="center" vertical="center" wrapText="1"/>
    </xf>
    <xf numFmtId="0" fontId="94" fillId="0" borderId="76" xfId="0" applyFont="1" applyFill="1" applyBorder="1" applyAlignment="1">
      <alignment horizontal="center" vertical="center" wrapText="1"/>
    </xf>
    <xf numFmtId="0" fontId="94" fillId="0" borderId="54" xfId="0" applyFont="1" applyFill="1" applyBorder="1" applyAlignment="1">
      <alignment horizontal="center" vertical="center" wrapText="1"/>
    </xf>
    <xf numFmtId="0" fontId="101" fillId="0" borderId="117" xfId="0" applyFont="1" applyFill="1" applyBorder="1" applyAlignment="1">
      <alignment horizontal="right" vertical="center" wrapText="1"/>
    </xf>
    <xf numFmtId="0" fontId="101" fillId="0" borderId="118" xfId="0" applyFont="1" applyFill="1" applyBorder="1" applyAlignment="1">
      <alignment horizontal="right" vertical="center" wrapText="1"/>
    </xf>
    <xf numFmtId="0" fontId="102" fillId="0" borderId="120" xfId="0" applyFont="1" applyFill="1" applyBorder="1" applyAlignment="1">
      <alignment horizontal="center" vertical="center" wrapText="1"/>
    </xf>
    <xf numFmtId="0" fontId="102" fillId="0" borderId="121" xfId="0" applyFont="1" applyFill="1" applyBorder="1" applyAlignment="1">
      <alignment horizontal="center" vertical="center" wrapText="1"/>
    </xf>
    <xf numFmtId="0" fontId="46" fillId="4" borderId="104" xfId="0" applyFont="1" applyFill="1" applyBorder="1" applyAlignment="1">
      <alignment horizontal="center"/>
    </xf>
    <xf numFmtId="0" fontId="18" fillId="0" borderId="68" xfId="0" applyFont="1" applyBorder="1" applyAlignment="1">
      <alignment horizontal="center" vertical="center" wrapText="1"/>
    </xf>
    <xf numFmtId="0" fontId="18" fillId="0" borderId="31" xfId="0" applyFont="1" applyBorder="1" applyAlignment="1">
      <alignment horizontal="center" vertical="center"/>
    </xf>
    <xf numFmtId="0" fontId="18" fillId="0" borderId="32" xfId="0" applyFont="1" applyBorder="1" applyAlignment="1">
      <alignment horizontal="center" vertical="center"/>
    </xf>
    <xf numFmtId="0" fontId="18" fillId="0" borderId="31" xfId="0" applyFont="1" applyBorder="1" applyAlignment="1">
      <alignment horizontal="center" vertical="center" wrapText="1"/>
    </xf>
  </cellXfs>
  <cellStyles count="21">
    <cellStyle name="%" xfId="19" xr:uid="{E2E99746-9A63-496C-84A3-0802CC7AAE9F}"/>
    <cellStyle name="Comma" xfId="20" builtinId="3"/>
    <cellStyle name="Comma 2" xfId="4" xr:uid="{00000000-0005-0000-0000-000000000000}"/>
    <cellStyle name="Comma 3" xfId="10" xr:uid="{00000000-0005-0000-0000-000001000000}"/>
    <cellStyle name="Comma 3 2" xfId="6" xr:uid="{00000000-0005-0000-0000-000002000000}"/>
    <cellStyle name="Currency" xfId="1" builtinId="4"/>
    <cellStyle name="Currency 2" xfId="5" xr:uid="{00000000-0005-0000-0000-000004000000}"/>
    <cellStyle name="Currency 3" xfId="11" xr:uid="{00000000-0005-0000-0000-000005000000}"/>
    <cellStyle name="Currency 4" xfId="9" xr:uid="{00000000-0005-0000-0000-000006000000}"/>
    <cellStyle name="Hyperlink" xfId="18" builtinId="8"/>
    <cellStyle name="Hyperlink 2" xfId="12" xr:uid="{00000000-0005-0000-0000-000008000000}"/>
    <cellStyle name="Normal" xfId="0" builtinId="0"/>
    <cellStyle name="Normal 10 10" xfId="8" xr:uid="{00000000-0005-0000-0000-00000A000000}"/>
    <cellStyle name="Normal 2" xfId="2" xr:uid="{00000000-0005-0000-0000-00000B000000}"/>
    <cellStyle name="Normal 3" xfId="16" xr:uid="{00000000-0005-0000-0000-00000C000000}"/>
    <cellStyle name="Normal 4" xfId="7" xr:uid="{00000000-0005-0000-0000-00000D000000}"/>
    <cellStyle name="Normal 4 5" xfId="13" xr:uid="{00000000-0005-0000-0000-00000E000000}"/>
    <cellStyle name="Normal 9 10" xfId="3" xr:uid="{00000000-0005-0000-0000-00000F000000}"/>
    <cellStyle name="Percent" xfId="17" builtinId="5"/>
    <cellStyle name="Percent 2" xfId="14" xr:uid="{00000000-0005-0000-0000-000011000000}"/>
    <cellStyle name="Percent 3" xfId="15" xr:uid="{00000000-0005-0000-0000-000012000000}"/>
  </cellStyles>
  <dxfs count="49">
    <dxf>
      <font>
        <b val="0"/>
        <i val="0"/>
        <strike val="0"/>
        <condense val="0"/>
        <extend val="0"/>
        <outline val="0"/>
        <shadow val="0"/>
        <u val="none"/>
        <vertAlign val="baseline"/>
        <sz val="11"/>
        <color theme="1"/>
        <name val="Arial Narrow"/>
        <family val="2"/>
        <scheme val="none"/>
      </font>
      <protection locked="1" hidden="0"/>
    </dxf>
    <dxf>
      <border outline="0">
        <left style="medium">
          <color auto="1"/>
        </left>
        <bottom style="medium">
          <color auto="1"/>
        </bottom>
      </border>
    </dxf>
    <dxf>
      <font>
        <b val="0"/>
        <i val="0"/>
        <strike val="0"/>
        <condense val="0"/>
        <extend val="0"/>
        <outline val="0"/>
        <shadow val="0"/>
        <u val="none"/>
        <vertAlign val="baseline"/>
        <sz val="11"/>
        <color theme="1"/>
        <name val="Arial Narrow"/>
        <family val="2"/>
        <scheme val="none"/>
      </font>
      <protection locked="1" hidden="0"/>
    </dxf>
    <dxf>
      <font>
        <b val="0"/>
        <i val="0"/>
        <strike val="0"/>
        <condense val="0"/>
        <extend val="0"/>
        <outline val="0"/>
        <shadow val="0"/>
        <u val="none"/>
        <vertAlign val="baseline"/>
        <sz val="11"/>
        <color theme="1"/>
        <name val="Arial Narrow"/>
        <family val="2"/>
        <scheme val="none"/>
      </font>
      <protection locked="1" hidden="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0000"/>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4B4B"/>
        </patternFill>
      </fill>
    </dxf>
    <dxf>
      <fill>
        <patternFill>
          <bgColor rgb="FFFF4B4B"/>
        </patternFill>
      </fill>
    </dxf>
    <dxf>
      <fill>
        <patternFill>
          <bgColor rgb="FFFF4B4B"/>
        </patternFill>
      </fill>
    </dxf>
    <dxf>
      <fill>
        <patternFill>
          <bgColor rgb="FFFF0000"/>
        </patternFill>
      </fill>
    </dxf>
    <dxf>
      <fill>
        <patternFill>
          <bgColor rgb="FFFF4B4B"/>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4" tint="0.79998168889431442"/>
        </patternFill>
      </fill>
    </dxf>
    <dxf>
      <fill>
        <patternFill>
          <bgColor theme="7" tint="0.79998168889431442"/>
        </patternFill>
      </fill>
    </dxf>
    <dxf>
      <fill>
        <patternFill>
          <bgColor theme="0" tint="-0.14996795556505021"/>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Subcontractor Table" pivot="0" count="4" xr9:uid="{00000000-0011-0000-FFFF-FFFF00000000}">
      <tableStyleElement type="wholeTable" dxfId="48"/>
      <tableStyleElement type="headerRow" dxfId="47"/>
      <tableStyleElement type="totalRow" dxfId="46"/>
      <tableStyleElement type="secondRowStripe" dxfId="45"/>
    </tableStyle>
  </tableStyles>
  <colors>
    <mruColors>
      <color rgb="FF008000"/>
      <color rgb="FF073FDD"/>
      <color rgb="FF0000FF"/>
      <color rgb="FF9999FF"/>
      <color rgb="FF99FF66"/>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editAs="oneCell">
    <xdr:from>
      <xdr:col>5</xdr:col>
      <xdr:colOff>619125</xdr:colOff>
      <xdr:row>9</xdr:row>
      <xdr:rowOff>133351</xdr:rowOff>
    </xdr:from>
    <xdr:to>
      <xdr:col>6</xdr:col>
      <xdr:colOff>681699</xdr:colOff>
      <xdr:row>20</xdr:row>
      <xdr:rowOff>47626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619750" y="2324101"/>
          <a:ext cx="1443699" cy="2476500"/>
        </a:xfrm>
        <a:prstGeom prst="rect">
          <a:avLst/>
        </a:prstGeom>
      </xdr:spPr>
    </xdr:pic>
    <xdr:clientData/>
  </xdr:twoCellAnchor>
  <xdr:twoCellAnchor editAs="oneCell">
    <xdr:from>
      <xdr:col>5</xdr:col>
      <xdr:colOff>628650</xdr:colOff>
      <xdr:row>30</xdr:row>
      <xdr:rowOff>133351</xdr:rowOff>
    </xdr:from>
    <xdr:to>
      <xdr:col>6</xdr:col>
      <xdr:colOff>691224</xdr:colOff>
      <xdr:row>41</xdr:row>
      <xdr:rowOff>95251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629275" y="7172326"/>
          <a:ext cx="1443699" cy="2476500"/>
        </a:xfrm>
        <a:prstGeom prst="rect">
          <a:avLst/>
        </a:prstGeom>
      </xdr:spPr>
    </xdr:pic>
    <xdr:clientData/>
  </xdr:twoCellAnchor>
  <xdr:twoCellAnchor editAs="oneCell">
    <xdr:from>
      <xdr:col>2</xdr:col>
      <xdr:colOff>219075</xdr:colOff>
      <xdr:row>36</xdr:row>
      <xdr:rowOff>47625</xdr:rowOff>
    </xdr:from>
    <xdr:to>
      <xdr:col>4</xdr:col>
      <xdr:colOff>38100</xdr:colOff>
      <xdr:row>41</xdr:row>
      <xdr:rowOff>149042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076325" y="8458200"/>
          <a:ext cx="2581275" cy="1244417"/>
        </a:xfrm>
        <a:prstGeom prst="rect">
          <a:avLst/>
        </a:prstGeom>
      </xdr:spPr>
    </xdr:pic>
    <xdr:clientData/>
  </xdr:twoCellAnchor>
  <xdr:twoCellAnchor>
    <xdr:from>
      <xdr:col>5</xdr:col>
      <xdr:colOff>809625</xdr:colOff>
      <xdr:row>35</xdr:row>
      <xdr:rowOff>133351</xdr:rowOff>
    </xdr:from>
    <xdr:to>
      <xdr:col>6</xdr:col>
      <xdr:colOff>400050</xdr:colOff>
      <xdr:row>37</xdr:row>
      <xdr:rowOff>66675</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810250" y="8315326"/>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219075</xdr:colOff>
      <xdr:row>11</xdr:row>
      <xdr:rowOff>200025</xdr:rowOff>
    </xdr:from>
    <xdr:to>
      <xdr:col>5</xdr:col>
      <xdr:colOff>561975</xdr:colOff>
      <xdr:row>13</xdr:row>
      <xdr:rowOff>38100</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a:off x="5219700" y="288607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809625</xdr:colOff>
      <xdr:row>11</xdr:row>
      <xdr:rowOff>142875</xdr:rowOff>
    </xdr:from>
    <xdr:to>
      <xdr:col>6</xdr:col>
      <xdr:colOff>400050</xdr:colOff>
      <xdr:row>13</xdr:row>
      <xdr:rowOff>114300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810250" y="2828925"/>
          <a:ext cx="971550" cy="4286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438151</xdr:colOff>
      <xdr:row>13</xdr:row>
      <xdr:rowOff>104775</xdr:rowOff>
    </xdr:from>
    <xdr:to>
      <xdr:col>3</xdr:col>
      <xdr:colOff>1285876</xdr:colOff>
      <xdr:row>17</xdr:row>
      <xdr:rowOff>179650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1295401" y="3248025"/>
          <a:ext cx="2228850" cy="989275"/>
        </a:xfrm>
        <a:prstGeom prst="rect">
          <a:avLst/>
        </a:prstGeom>
      </xdr:spPr>
    </xdr:pic>
    <xdr:clientData/>
  </xdr:twoCellAnchor>
  <xdr:twoCellAnchor>
    <xdr:from>
      <xdr:col>3</xdr:col>
      <xdr:colOff>781050</xdr:colOff>
      <xdr:row>14</xdr:row>
      <xdr:rowOff>104775</xdr:rowOff>
    </xdr:from>
    <xdr:to>
      <xdr:col>3</xdr:col>
      <xdr:colOff>1209675</xdr:colOff>
      <xdr:row>15</xdr:row>
      <xdr:rowOff>95250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3019425" y="3476625"/>
          <a:ext cx="428625"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904876</xdr:colOff>
      <xdr:row>20</xdr:row>
      <xdr:rowOff>0</xdr:rowOff>
    </xdr:from>
    <xdr:to>
      <xdr:col>3</xdr:col>
      <xdr:colOff>666751</xdr:colOff>
      <xdr:row>24</xdr:row>
      <xdr:rowOff>50213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1762126" y="4752975"/>
          <a:ext cx="1143000" cy="964613"/>
        </a:xfrm>
        <a:prstGeom prst="rect">
          <a:avLst/>
        </a:prstGeom>
      </xdr:spPr>
    </xdr:pic>
    <xdr:clientData/>
  </xdr:twoCellAnchor>
  <xdr:twoCellAnchor>
    <xdr:from>
      <xdr:col>2</xdr:col>
      <xdr:colOff>1371600</xdr:colOff>
      <xdr:row>22</xdr:row>
      <xdr:rowOff>200025</xdr:rowOff>
    </xdr:from>
    <xdr:to>
      <xdr:col>3</xdr:col>
      <xdr:colOff>561975</xdr:colOff>
      <xdr:row>23</xdr:row>
      <xdr:rowOff>190500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228850" y="5410200"/>
          <a:ext cx="571500"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209550</xdr:colOff>
      <xdr:row>35</xdr:row>
      <xdr:rowOff>171450</xdr:rowOff>
    </xdr:from>
    <xdr:to>
      <xdr:col>5</xdr:col>
      <xdr:colOff>552450</xdr:colOff>
      <xdr:row>37</xdr:row>
      <xdr:rowOff>9525</xdr:rowOff>
    </xdr:to>
    <xdr:sp macro="" textlink="">
      <xdr:nvSpPr>
        <xdr:cNvPr id="12" name="Right Arrow 11">
          <a:extLst>
            <a:ext uri="{FF2B5EF4-FFF2-40B4-BE49-F238E27FC236}">
              <a16:creationId xmlns:a16="http://schemas.microsoft.com/office/drawing/2014/main" id="{00000000-0008-0000-0000-00000C000000}"/>
            </a:ext>
          </a:extLst>
        </xdr:cNvPr>
        <xdr:cNvSpPr/>
      </xdr:nvSpPr>
      <xdr:spPr>
        <a:xfrm>
          <a:off x="5210175" y="835342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866775</xdr:colOff>
      <xdr:row>37</xdr:row>
      <xdr:rowOff>95251</xdr:rowOff>
    </xdr:from>
    <xdr:to>
      <xdr:col>3</xdr:col>
      <xdr:colOff>1343025</xdr:colOff>
      <xdr:row>38</xdr:row>
      <xdr:rowOff>95250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3105150" y="8734426"/>
          <a:ext cx="476250" cy="228599"/>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295275</xdr:colOff>
      <xdr:row>43</xdr:row>
      <xdr:rowOff>133351</xdr:rowOff>
    </xdr:from>
    <xdr:to>
      <xdr:col>3</xdr:col>
      <xdr:colOff>1213206</xdr:colOff>
      <xdr:row>48</xdr:row>
      <xdr:rowOff>161925</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152525" y="10144126"/>
          <a:ext cx="2299056" cy="1171574"/>
        </a:xfrm>
        <a:prstGeom prst="rect">
          <a:avLst/>
        </a:prstGeom>
      </xdr:spPr>
    </xdr:pic>
    <xdr:clientData/>
  </xdr:twoCellAnchor>
  <xdr:twoCellAnchor>
    <xdr:from>
      <xdr:col>3</xdr:col>
      <xdr:colOff>600075</xdr:colOff>
      <xdr:row>47</xdr:row>
      <xdr:rowOff>142877</xdr:rowOff>
    </xdr:from>
    <xdr:to>
      <xdr:col>3</xdr:col>
      <xdr:colOff>1133475</xdr:colOff>
      <xdr:row>48</xdr:row>
      <xdr:rowOff>114301</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2838450" y="11068052"/>
          <a:ext cx="533400" cy="2000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400049</xdr:colOff>
      <xdr:row>95</xdr:row>
      <xdr:rowOff>114299</xdr:rowOff>
    </xdr:from>
    <xdr:to>
      <xdr:col>3</xdr:col>
      <xdr:colOff>704849</xdr:colOff>
      <xdr:row>107</xdr:row>
      <xdr:rowOff>108126</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stretch>
          <a:fillRect/>
        </a:stretch>
      </xdr:blipFill>
      <xdr:spPr>
        <a:xfrm>
          <a:off x="1257299" y="22012274"/>
          <a:ext cx="1685925" cy="2737027"/>
        </a:xfrm>
        <a:prstGeom prst="rect">
          <a:avLst/>
        </a:prstGeom>
      </xdr:spPr>
    </xdr:pic>
    <xdr:clientData/>
  </xdr:twoCellAnchor>
  <xdr:twoCellAnchor editAs="oneCell">
    <xdr:from>
      <xdr:col>2</xdr:col>
      <xdr:colOff>85725</xdr:colOff>
      <xdr:row>131</xdr:row>
      <xdr:rowOff>19050</xdr:rowOff>
    </xdr:from>
    <xdr:to>
      <xdr:col>2</xdr:col>
      <xdr:colOff>933344</xdr:colOff>
      <xdr:row>134</xdr:row>
      <xdr:rowOff>218964</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stretch>
          <a:fillRect/>
        </a:stretch>
      </xdr:blipFill>
      <xdr:spPr>
        <a:xfrm>
          <a:off x="942975" y="30146625"/>
          <a:ext cx="847619" cy="885714"/>
        </a:xfrm>
        <a:prstGeom prst="rect">
          <a:avLst/>
        </a:prstGeom>
      </xdr:spPr>
    </xdr:pic>
    <xdr:clientData/>
  </xdr:twoCellAnchor>
  <xdr:twoCellAnchor editAs="oneCell">
    <xdr:from>
      <xdr:col>1</xdr:col>
      <xdr:colOff>409576</xdr:colOff>
      <xdr:row>136</xdr:row>
      <xdr:rowOff>161925</xdr:rowOff>
    </xdr:from>
    <xdr:to>
      <xdr:col>4</xdr:col>
      <xdr:colOff>638175</xdr:colOff>
      <xdr:row>148</xdr:row>
      <xdr:rowOff>197025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8"/>
        <a:stretch>
          <a:fillRect/>
        </a:stretch>
      </xdr:blipFill>
      <xdr:spPr>
        <a:xfrm>
          <a:off x="666751" y="31432500"/>
          <a:ext cx="3590924" cy="2778300"/>
        </a:xfrm>
        <a:prstGeom prst="rect">
          <a:avLst/>
        </a:prstGeom>
      </xdr:spPr>
    </xdr:pic>
    <xdr:clientData/>
  </xdr:twoCellAnchor>
  <xdr:twoCellAnchor>
    <xdr:from>
      <xdr:col>3</xdr:col>
      <xdr:colOff>85725</xdr:colOff>
      <xdr:row>137</xdr:row>
      <xdr:rowOff>200025</xdr:rowOff>
    </xdr:from>
    <xdr:to>
      <xdr:col>3</xdr:col>
      <xdr:colOff>333375</xdr:colOff>
      <xdr:row>138</xdr:row>
      <xdr:rowOff>104775</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24100" y="31699200"/>
          <a:ext cx="247650" cy="1333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628650</xdr:colOff>
      <xdr:row>46</xdr:row>
      <xdr:rowOff>133351</xdr:rowOff>
    </xdr:from>
    <xdr:to>
      <xdr:col>6</xdr:col>
      <xdr:colOff>691224</xdr:colOff>
      <xdr:row>57</xdr:row>
      <xdr:rowOff>95251</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a:stretch>
          <a:fillRect/>
        </a:stretch>
      </xdr:blipFill>
      <xdr:spPr>
        <a:xfrm>
          <a:off x="5629275" y="10829926"/>
          <a:ext cx="1443699" cy="2476500"/>
        </a:xfrm>
        <a:prstGeom prst="rect">
          <a:avLst/>
        </a:prstGeom>
      </xdr:spPr>
    </xdr:pic>
    <xdr:clientData/>
  </xdr:twoCellAnchor>
  <xdr:twoCellAnchor>
    <xdr:from>
      <xdr:col>5</xdr:col>
      <xdr:colOff>838200</xdr:colOff>
      <xdr:row>55</xdr:row>
      <xdr:rowOff>66676</xdr:rowOff>
    </xdr:from>
    <xdr:to>
      <xdr:col>6</xdr:col>
      <xdr:colOff>428625</xdr:colOff>
      <xdr:row>57</xdr:row>
      <xdr:rowOff>0</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5838825" y="12820651"/>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238125</xdr:colOff>
      <xdr:row>55</xdr:row>
      <xdr:rowOff>104775</xdr:rowOff>
    </xdr:from>
    <xdr:to>
      <xdr:col>5</xdr:col>
      <xdr:colOff>581025</xdr:colOff>
      <xdr:row>56</xdr:row>
      <xdr:rowOff>171450</xdr:rowOff>
    </xdr:to>
    <xdr:sp macro="" textlink="">
      <xdr:nvSpPr>
        <xdr:cNvPr id="22" name="Right Arrow 21">
          <a:extLst>
            <a:ext uri="{FF2B5EF4-FFF2-40B4-BE49-F238E27FC236}">
              <a16:creationId xmlns:a16="http://schemas.microsoft.com/office/drawing/2014/main" id="{00000000-0008-0000-0000-000016000000}"/>
            </a:ext>
          </a:extLst>
        </xdr:cNvPr>
        <xdr:cNvSpPr/>
      </xdr:nvSpPr>
      <xdr:spPr>
        <a:xfrm>
          <a:off x="5238750" y="12858750"/>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47625</xdr:colOff>
      <xdr:row>153</xdr:row>
      <xdr:rowOff>152400</xdr:rowOff>
    </xdr:from>
    <xdr:to>
      <xdr:col>4</xdr:col>
      <xdr:colOff>104775</xdr:colOff>
      <xdr:row>158</xdr:row>
      <xdr:rowOff>192414</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9"/>
        <a:stretch>
          <a:fillRect/>
        </a:stretch>
      </xdr:blipFill>
      <xdr:spPr>
        <a:xfrm>
          <a:off x="904875" y="35309175"/>
          <a:ext cx="2819400" cy="1183014"/>
        </a:xfrm>
        <a:prstGeom prst="rect">
          <a:avLst/>
        </a:prstGeom>
      </xdr:spPr>
    </xdr:pic>
    <xdr:clientData/>
  </xdr:twoCellAnchor>
  <xdr:twoCellAnchor>
    <xdr:from>
      <xdr:col>3</xdr:col>
      <xdr:colOff>171449</xdr:colOff>
      <xdr:row>157</xdr:row>
      <xdr:rowOff>104775</xdr:rowOff>
    </xdr:from>
    <xdr:to>
      <xdr:col>3</xdr:col>
      <xdr:colOff>790574</xdr:colOff>
      <xdr:row>158</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2409824" y="36175950"/>
          <a:ext cx="619125" cy="22860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180975</xdr:colOff>
      <xdr:row>110</xdr:row>
      <xdr:rowOff>200025</xdr:rowOff>
    </xdr:from>
    <xdr:to>
      <xdr:col>5</xdr:col>
      <xdr:colOff>1076365</xdr:colOff>
      <xdr:row>123</xdr:row>
      <xdr:rowOff>133350</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0"/>
        <a:stretch>
          <a:fillRect/>
        </a:stretch>
      </xdr:blipFill>
      <xdr:spPr>
        <a:xfrm>
          <a:off x="1038225" y="25527000"/>
          <a:ext cx="5038765" cy="2905125"/>
        </a:xfrm>
        <a:prstGeom prst="rect">
          <a:avLst/>
        </a:prstGeom>
      </xdr:spPr>
    </xdr:pic>
    <xdr:clientData/>
  </xdr:twoCellAnchor>
  <xdr:twoCellAnchor>
    <xdr:from>
      <xdr:col>4</xdr:col>
      <xdr:colOff>0</xdr:colOff>
      <xdr:row>113</xdr:row>
      <xdr:rowOff>38099</xdr:rowOff>
    </xdr:from>
    <xdr:to>
      <xdr:col>4</xdr:col>
      <xdr:colOff>914400</xdr:colOff>
      <xdr:row>114</xdr:row>
      <xdr:rowOff>47624</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619500" y="26050874"/>
          <a:ext cx="914400" cy="2381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638174</xdr:colOff>
      <xdr:row>117</xdr:row>
      <xdr:rowOff>66674</xdr:rowOff>
    </xdr:from>
    <xdr:to>
      <xdr:col>5</xdr:col>
      <xdr:colOff>809624</xdr:colOff>
      <xdr:row>117</xdr:row>
      <xdr:rowOff>200025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4257674" y="26993849"/>
          <a:ext cx="1552575" cy="133351"/>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9</xdr:row>
          <xdr:rowOff>222250</xdr:rowOff>
        </xdr:from>
        <xdr:to>
          <xdr:col>10</xdr:col>
          <xdr:colOff>1866900</xdr:colOff>
          <xdr:row>12</xdr:row>
          <xdr:rowOff>69850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19048</xdr:colOff>
      <xdr:row>2</xdr:row>
      <xdr:rowOff>67530</xdr:rowOff>
    </xdr:from>
    <xdr:to>
      <xdr:col>12</xdr:col>
      <xdr:colOff>673734</xdr:colOff>
      <xdr:row>4</xdr:row>
      <xdr:rowOff>28359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704848" y="1029555"/>
          <a:ext cx="3152776" cy="944444"/>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603250</xdr:colOff>
          <xdr:row>5</xdr:row>
          <xdr:rowOff>12700</xdr:rowOff>
        </xdr:from>
        <xdr:to>
          <xdr:col>12</xdr:col>
          <xdr:colOff>1136650</xdr:colOff>
          <xdr:row>7</xdr:row>
          <xdr:rowOff>146050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Calibri"/>
                  <a:cs typeface="Calibri"/>
                </a:rPr>
                <a:t>Delete</a:t>
              </a:r>
            </a:p>
            <a:p>
              <a:pPr algn="ctr" rtl="0">
                <a:defRPr sz="1000"/>
              </a:pPr>
              <a:r>
                <a:rPr lang="en-US" sz="1600" b="0" i="0" u="none" strike="noStrike" baseline="0">
                  <a:solidFill>
                    <a:srgbClr val="000000"/>
                  </a:solidFill>
                  <a:latin typeface="Calibri"/>
                  <a:cs typeface="Calibri"/>
                </a:rPr>
                <a: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5</xdr:row>
          <xdr:rowOff>38100</xdr:rowOff>
        </xdr:from>
        <xdr:to>
          <xdr:col>5</xdr:col>
          <xdr:colOff>393700</xdr:colOff>
          <xdr:row>7</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Calibri"/>
                  <a:cs typeface="Calibri"/>
                </a:rPr>
                <a:t>Insert</a:t>
              </a:r>
            </a:p>
            <a:p>
              <a:pPr algn="ctr" rtl="0">
                <a:defRPr sz="1000"/>
              </a:pPr>
              <a:r>
                <a:rPr lang="en-US" sz="1600" b="0" i="0" u="none" strike="noStrike" baseline="0">
                  <a:solidFill>
                    <a:srgbClr val="000000"/>
                  </a:solidFill>
                  <a:latin typeface="Calibri"/>
                  <a:cs typeface="Calibri"/>
                </a:rPr>
                <a:t>Line</a:t>
              </a:r>
            </a:p>
          </xdr:txBody>
        </xdr:sp>
        <xdr:clientData fPrintsWithSheet="0"/>
      </xdr:twoCellAnchor>
    </mc:Choice>
    <mc:Fallback/>
  </mc:AlternateContent>
  <xdr:twoCellAnchor>
    <xdr:from>
      <xdr:col>12</xdr:col>
      <xdr:colOff>2240230</xdr:colOff>
      <xdr:row>2</xdr:row>
      <xdr:rowOff>158338</xdr:rowOff>
    </xdr:from>
    <xdr:to>
      <xdr:col>12</xdr:col>
      <xdr:colOff>5716237</xdr:colOff>
      <xdr:row>16</xdr:row>
      <xdr:rowOff>138545</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444094" y="591293"/>
          <a:ext cx="3476007" cy="3339934"/>
        </a:xfrm>
        <a:prstGeom prst="rect">
          <a:avLst/>
        </a:prstGeom>
        <a:ln/>
        <a:effectLst>
          <a:outerShdw blurRad="50800" dist="38100" dir="2700000" algn="t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r>
            <a:rPr lang="en-US" sz="1600" b="0" u="none">
              <a:latin typeface="Calibri" panose="020F0502020204030204" pitchFamily="34" charset="0"/>
              <a:cs typeface="Calibri" panose="020F0502020204030204" pitchFamily="34" charset="0"/>
            </a:rPr>
            <a:t>     </a:t>
          </a:r>
          <a:r>
            <a:rPr lang="en-US" sz="1600" b="1" u="sng">
              <a:latin typeface="Calibri" panose="020F0502020204030204" pitchFamily="34" charset="0"/>
              <a:cs typeface="Calibri" panose="020F0502020204030204" pitchFamily="34" charset="0"/>
            </a:rPr>
            <a:t>Guidance</a:t>
          </a:r>
          <a:r>
            <a:rPr lang="en-US" sz="1600" b="1" u="sng" baseline="0">
              <a:latin typeface="Calibri" panose="020F0502020204030204" pitchFamily="34" charset="0"/>
              <a:cs typeface="Calibri" panose="020F0502020204030204" pitchFamily="34" charset="0"/>
            </a:rPr>
            <a:t> Notes</a:t>
          </a:r>
          <a:r>
            <a:rPr lang="en-US" sz="1600" b="1" u="sng">
              <a:latin typeface="Calibri" panose="020F0502020204030204" pitchFamily="34" charset="0"/>
              <a:cs typeface="Calibri" panose="020F0502020204030204" pitchFamily="34" charset="0"/>
            </a:rPr>
            <a:t>:</a:t>
          </a:r>
        </a:p>
        <a:p>
          <a:endParaRPr lang="en-US" sz="1600">
            <a:latin typeface="Calibri" panose="020F0502020204030204" pitchFamily="34" charset="0"/>
            <a:cs typeface="Calibri" panose="020F0502020204030204" pitchFamily="34" charset="0"/>
          </a:endParaRPr>
        </a:p>
        <a:p>
          <a:r>
            <a:rPr lang="en-US" sz="1600">
              <a:latin typeface="Calibri" panose="020F0502020204030204" pitchFamily="34" charset="0"/>
              <a:cs typeface="Calibri" panose="020F0502020204030204" pitchFamily="34" charset="0"/>
            </a:rPr>
            <a:t> -</a:t>
          </a:r>
          <a:r>
            <a:rPr lang="en-US" sz="1600" baseline="0">
              <a:latin typeface="Calibri" panose="020F0502020204030204" pitchFamily="34" charset="0"/>
              <a:cs typeface="Calibri" panose="020F0502020204030204" pitchFamily="34" charset="0"/>
            </a:rPr>
            <a:t> Do not include any</a:t>
          </a:r>
          <a:r>
            <a:rPr lang="en-US" sz="1600" b="0" i="0">
              <a:solidFill>
                <a:schemeClr val="dk1"/>
              </a:solidFill>
              <a:effectLst/>
              <a:latin typeface="Calibri" panose="020F0502020204030204" pitchFamily="34" charset="0"/>
              <a:ea typeface="+mn-ea"/>
              <a:cs typeface="Calibri" panose="020F0502020204030204" pitchFamily="34" charset="0"/>
            </a:rPr>
            <a:t> blank lines in</a:t>
          </a:r>
          <a:r>
            <a:rPr lang="en-US" sz="1600" b="0" i="0" baseline="0">
              <a:solidFill>
                <a:schemeClr val="dk1"/>
              </a:solidFill>
              <a:effectLst/>
              <a:latin typeface="Calibri" panose="020F0502020204030204" pitchFamily="34" charset="0"/>
              <a:ea typeface="+mn-ea"/>
              <a:cs typeface="Calibri" panose="020F0502020204030204" pitchFamily="34" charset="0"/>
            </a:rPr>
            <a:t> the "Summary of Changes" table</a:t>
          </a:r>
          <a:endParaRPr lang="en-US" sz="1600" b="0" i="0">
            <a:solidFill>
              <a:schemeClr val="dk1"/>
            </a:solidFill>
            <a:effectLst/>
            <a:latin typeface="Calibri" panose="020F0502020204030204" pitchFamily="34" charset="0"/>
            <a:ea typeface="+mn-ea"/>
            <a:cs typeface="Calibri" panose="020F0502020204030204" pitchFamily="34" charset="0"/>
          </a:endParaRPr>
        </a:p>
        <a:p>
          <a:r>
            <a:rPr lang="en-US" sz="1600" b="0" i="0">
              <a:solidFill>
                <a:schemeClr val="dk1"/>
              </a:solidFill>
              <a:effectLst/>
              <a:latin typeface="Calibri" panose="020F0502020204030204" pitchFamily="34" charset="0"/>
              <a:ea typeface="+mn-ea"/>
              <a:cs typeface="Calibri" panose="020F0502020204030204" pitchFamily="34" charset="0"/>
            </a:rPr>
            <a:t> - Use the date format: MM/DD/YYYY</a:t>
          </a:r>
        </a:p>
        <a:p>
          <a:r>
            <a:rPr lang="en-US" sz="1600">
              <a:latin typeface="Calibri" panose="020F0502020204030204" pitchFamily="34" charset="0"/>
              <a:cs typeface="Calibri" panose="020F0502020204030204" pitchFamily="34" charset="0"/>
            </a:rPr>
            <a:t> - Please insert data in all the columns of each line to prevent the tab and the boxes</a:t>
          </a:r>
          <a:r>
            <a:rPr lang="en-US" sz="1600" baseline="0">
              <a:latin typeface="Calibri" panose="020F0502020204030204" pitchFamily="34" charset="0"/>
              <a:cs typeface="Calibri" panose="020F0502020204030204" pitchFamily="34" charset="0"/>
            </a:rPr>
            <a:t> turning RED.</a:t>
          </a:r>
        </a:p>
        <a:p>
          <a:r>
            <a:rPr lang="en-US" sz="1600" baseline="0">
              <a:latin typeface="Calibri" panose="020F0502020204030204" pitchFamily="34" charset="0"/>
              <a:cs typeface="Calibri" panose="020F0502020204030204" pitchFamily="34" charset="0"/>
            </a:rPr>
            <a:t>- To use the Project CashFlow, enter the Construction Start Date in Cell O7 of the GMP COST DATA Tab</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146050</xdr:colOff>
          <xdr:row>4</xdr:row>
          <xdr:rowOff>31750</xdr:rowOff>
        </xdr:from>
        <xdr:to>
          <xdr:col>8</xdr:col>
          <xdr:colOff>876300</xdr:colOff>
          <xdr:row>4</xdr:row>
          <xdr:rowOff>488950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a:p>
              <a:pPr algn="ctr" rtl="0">
                <a:defRPr sz="1000"/>
              </a:pPr>
              <a:r>
                <a:rPr lang="en-US" sz="1100" b="0" i="0" u="none" strike="noStrike" baseline="0">
                  <a:solidFill>
                    <a:srgbClr val="000000"/>
                  </a:solidFill>
                  <a:latin typeface="Calibri"/>
                  <a:cs typeface="Calibri"/>
                </a:rPr>
                <a: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146050</xdr:colOff>
          <xdr:row>4</xdr:row>
          <xdr:rowOff>31750</xdr:rowOff>
        </xdr:from>
        <xdr:to>
          <xdr:col>7</xdr:col>
          <xdr:colOff>914400</xdr:colOff>
          <xdr:row>4</xdr:row>
          <xdr:rowOff>457200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Insert</a:t>
              </a:r>
            </a:p>
            <a:p>
              <a:pPr algn="ctr" rtl="0">
                <a:defRPr sz="1000"/>
              </a:pPr>
              <a:r>
                <a:rPr lang="en-US" sz="1100" b="0" i="0" u="none" strike="noStrike" baseline="0">
                  <a:solidFill>
                    <a:srgbClr val="000000"/>
                  </a:solidFill>
                  <a:latin typeface="Calibri"/>
                  <a:cs typeface="Calibri"/>
                </a:rPr>
                <a:t>Line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zalewr/Desktop/CM%20FORM%20DRAFT%2004-1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portal.ant.amazon.com/Gen_Ledger/G&amp;A/GLDI%20Files/08-Aug-12/Fixed%20Assets/FA115B_HVAC_Depreciation%20Accrual_AUG_SC.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fefontan/Desktop/REPORT/COST%20REPORT/DCE3/DCE3%20-%20Master%20Document%20-%20Cost%20Report%20-%20ECCF%20MENA%20Short%20Form%20v7.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londing/Desktop/Macro%20Excel/ECCF%20AMZL/Master%20Document%20-%20Cost%20Report%20-%20ECCF%20MENA%20Short%20Form%20v7.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M CSI Cost Tracking Sheet"/>
      <sheetName val="Cash Flow Analysis"/>
      <sheetName val="Data Validation "/>
      <sheetName val="Sheet3"/>
      <sheetName val="CM FORM DRAFT 04-10-19"/>
      <sheetName val="Sheet4"/>
    </sheetNames>
    <sheetDataSet>
      <sheetData sheetId="0"/>
      <sheetData sheetId="1" refreshError="1"/>
      <sheetData sheetId="2"/>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pCache"/>
      <sheetName val="BneWorkBookProperties"/>
      <sheetName val="BneLog"/>
      <sheetName val="Entry"/>
      <sheetName val="Email"/>
      <sheetName val="Monthly Spend-Cooling JUL"/>
      <sheetName val="Reference"/>
      <sheetName val="data validation"/>
      <sheetName val="Sites"/>
      <sheetName val="BRS"/>
      <sheetName val="Pending_Data"/>
      <sheetName val="Reqs_Data"/>
      <sheetName val="CCO LOG YHM9"/>
      <sheetName val="Finl Summary"/>
      <sheetName val="Plan"/>
    </sheetNames>
    <sheetDataSet>
      <sheetData sheetId="0">
        <row r="1">
          <cell r="A1" t="str">
            <v>No</v>
          </cell>
        </row>
        <row r="2">
          <cell r="A2" t="str">
            <v>Yes</v>
          </cell>
        </row>
      </sheetData>
      <sheetData sheetId="1"/>
      <sheetData sheetId="2"/>
      <sheetData sheetId="3"/>
      <sheetData sheetId="4"/>
      <sheetData sheetId="5">
        <row r="3">
          <cell r="A3" t="str">
            <v>TUL1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Lev1 Summary"/>
      <sheetName val="Lev2 Summary"/>
      <sheetName val="Project Status"/>
      <sheetName val="Cashflow"/>
      <sheetName val="Package Summary"/>
      <sheetName val="PO Tracker"/>
      <sheetName val="Cost Split"/>
      <sheetName val="Change Control Summary"/>
      <sheetName val="Cost Input"/>
      <sheetName val="Provisional Sums"/>
      <sheetName val="Abnormal Items"/>
      <sheetName val="GMP COST DATA"/>
      <sheetName val="Model Drawing Register"/>
      <sheetName val="Checklist"/>
      <sheetName val="Model Assumptions"/>
      <sheetName val="Other Information"/>
      <sheetName val="Variation Lists"/>
      <sheetName val="List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Lev1 Summary"/>
      <sheetName val="Lev2 Summary"/>
      <sheetName val="Project Status"/>
      <sheetName val="Cashflow"/>
      <sheetName val="Package Summary"/>
      <sheetName val="PO Tracker"/>
      <sheetName val="Cost Split"/>
      <sheetName val="Change Control Summary"/>
      <sheetName val="Cost Input"/>
      <sheetName val="Provisional Sums"/>
      <sheetName val="Abnormal Items"/>
      <sheetName val="GMP COST DATA"/>
      <sheetName val="Model Drawing Register"/>
      <sheetName val="Checklist"/>
      <sheetName val="Model Assumptions"/>
      <sheetName val="Other Information"/>
      <sheetName val="Variation Lists"/>
      <sheetName val="Lists"/>
      <sheetName val="Master Document - Cost Report -"/>
    </sheetNames>
    <definedNames>
      <definedName name="Delete3"/>
      <definedName name="InsertNew4"/>
    </definedNames>
    <sheetDataSet>
      <sheetData sheetId="0" refreshError="1">
        <row r="3">
          <cell r="C3" t="str">
            <v>February</v>
          </cell>
          <cell r="E3">
            <v>2022</v>
          </cell>
        </row>
        <row r="11">
          <cell r="C11">
            <v>0</v>
          </cell>
          <cell r="L11" t="str">
            <v>Build to Suit</v>
          </cell>
        </row>
        <row r="12">
          <cell r="L12">
            <v>0</v>
          </cell>
        </row>
        <row r="15">
          <cell r="C15" t="str">
            <v>Brazil</v>
          </cell>
        </row>
        <row r="27">
          <cell r="L27">
            <v>0</v>
          </cell>
        </row>
        <row r="28">
          <cell r="L28">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8">
          <cell r="AF8">
            <v>1</v>
          </cell>
        </row>
        <row r="10">
          <cell r="O10" t="str">
            <v>February</v>
          </cell>
          <cell r="P10">
            <v>2022</v>
          </cell>
        </row>
        <row r="46">
          <cell r="N46">
            <v>0</v>
          </cell>
          <cell r="P46">
            <v>0</v>
          </cell>
        </row>
      </sheetData>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4C000000}" name="Regional_CM" displayName="Regional_CM" ref="N1:N56" totalsRowShown="0">
  <autoFilter ref="N1:N56" xr:uid="{00000000-0009-0000-0100-000002000000}"/>
  <tableColumns count="1">
    <tableColumn id="1" xr3:uid="{00000000-0010-0000-4C00-000001000000}" name="Regional CM"/>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A3DE9B-E71D-4618-BCA8-9D9429AB062A}" name="USA" displayName="USA" ref="A1:A51" totalsRowShown="0">
  <autoFilter ref="A1:A51" xr:uid="{276D26D3-41CC-40A4-A35B-CE4D07B260A0}"/>
  <tableColumns count="1">
    <tableColumn id="1" xr3:uid="{11F84DB8-8B6B-46D8-BFD1-28665245B2BF}" name="US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1BA09D-0E2D-4013-86F9-59111166CD39}" name="Canada" displayName="Canada" ref="B1:B11" totalsRowShown="0">
  <autoFilter ref="B1:B11" xr:uid="{6BA7C4D1-C053-4032-9F20-D49895ED32D2}"/>
  <tableColumns count="1">
    <tableColumn id="1" xr3:uid="{8EB5B572-A62E-47FA-A253-5B16C65A3FE1}" name="Canad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22769B0-B284-4076-A18E-558EF3599D35}" name="Mexico" displayName="Mexico" ref="C1:C10" totalsRowShown="0">
  <autoFilter ref="C1:C10" xr:uid="{8FF132A7-244A-4321-9259-7BE80CF55384}"/>
  <tableColumns count="1">
    <tableColumn id="1" xr3:uid="{D50EA728-3088-4D60-A708-4347AA423496}" name="Mexico"/>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83F17F-D86E-4CEC-81CA-B5F4D6BDBE77}" name="Brazil" displayName="Brazil" ref="D1:D8" totalsRowShown="0">
  <autoFilter ref="D1:D8" xr:uid="{15777D9D-6779-4FD7-90E0-A1CDA9C14465}"/>
  <tableColumns count="1">
    <tableColumn id="1" xr3:uid="{556B51E3-F7D1-4A93-84ED-16B0962F3A71}" name="Brazi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A63D890-C019-4DDF-BFCD-4F700AEAFA02}" name="Australia" displayName="Australia" ref="E1:E8" totalsRowShown="0">
  <autoFilter ref="E1:E8" xr:uid="{3C196B9E-F472-4A1D-B361-CE8ABED2DD11}"/>
  <tableColumns count="1">
    <tableColumn id="1" xr3:uid="{854F10DC-F497-4395-95B1-7070AADADF17}" name="Australia"/>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1BF7F2-4ACF-41BC-85B2-230B4FD8543D}" name="Singapore" displayName="Singapore" ref="F1:F6" totalsRowShown="0">
  <autoFilter ref="F1:F6" xr:uid="{517FF4BD-CACD-42F1-AF84-BC2840E81C3E}"/>
  <tableColumns count="1">
    <tableColumn id="1" xr3:uid="{12C70337-C747-4754-AB97-4EC17A3CD931}" name="Singapor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33601D5-B6BF-48DB-8C33-2A236F39D7FD}" name="Italy" displayName="Italy" ref="H1:H21" totalsRowShown="0">
  <autoFilter ref="H1:H21" xr:uid="{6B3DEBBA-AF4C-45B8-9E98-FC6C3643E9D8}"/>
  <tableColumns count="1">
    <tableColumn id="1" xr3:uid="{56A4D914-C3E8-4FF7-AC27-080E74B711CF}" name="Ital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5B6-6707-4223-B662-B4413ECC9BA8}" name="Germany" displayName="Germany" ref="I1:I17" totalsRowShown="0">
  <autoFilter ref="I1:I17" xr:uid="{523CB8AF-51FC-4A8F-8BE9-BB77AA107D7C}"/>
  <tableColumns count="1">
    <tableColumn id="1" xr3:uid="{20900CB3-65C3-40C8-AEE8-24F42381C8A1}" name="Germany"/>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BBA3B71-2969-486D-9CB9-447182E6EF71}" name="France" displayName="France" ref="J1:J14" totalsRowShown="0">
  <autoFilter ref="J1:J14" xr:uid="{9C322882-E41B-4D0D-B850-E83CE3DF930F}"/>
  <tableColumns count="1">
    <tableColumn id="1" xr3:uid="{7B7A0D9B-4105-4927-9C57-283E849E0D7C}" name="Franc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9574554-A426-4D40-9D95-3E3284EC9F27}" name="Spain" displayName="Spain" ref="K1:K20" totalsRowShown="0">
  <autoFilter ref="K1:K20" xr:uid="{B25EE25C-EDF3-4100-A1BA-41ABF07E1100}"/>
  <tableColumns count="1">
    <tableColumn id="1" xr3:uid="{6CB35AC6-B4CA-469F-878E-37CC1201B8BA}" name="Spai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F182FCD-E81A-444A-A892-16CAB78C3C29}" name="Austria" displayName="Austria" ref="L1:L10" totalsRowShown="0">
  <autoFilter ref="L1:L10" xr:uid="{F90F94E0-FDAD-4700-84EE-4E30C0FA2200}"/>
  <tableColumns count="1">
    <tableColumn id="1" xr3:uid="{DEA8B6DC-7143-4B23-A487-CEB922401847}" name="Austri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AF5808A-577F-479D-BEC4-99FFCD833AB5}" name="UK" displayName="UK" ref="G1:G13" totalsRowShown="0" headerRowDxfId="9" dataDxfId="7" headerRowBorderDxfId="8" tableBorderDxfId="6" totalsRowBorderDxfId="5">
  <autoFilter ref="G1:G13" xr:uid="{50E0D627-CEB4-488F-9F71-64170FDB9BF0}"/>
  <tableColumns count="1">
    <tableColumn id="1" xr3:uid="{AA587ECA-C359-4344-9F2A-5CEB2D2EF97D}" name="UK" dataDxfId="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7A2F3D9A-2C2B-490D-87B1-E52CCB3368AF}" name="CarDetails" displayName="CarDetails" ref="P1:P2" insertRow="1" totalsRowShown="0">
  <autoFilter ref="P1:P2" xr:uid="{6DB676AD-F7CC-4DC5-9541-BBE93C809A2A}"/>
  <tableColumns count="1">
    <tableColumn id="1" xr3:uid="{567B1866-0435-4201-9095-A4D50690B906}" name="CarDetail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DDC61F-5EE9-4FA2-8968-5993A5641A9A}" name="currency" displayName="currency" ref="R1:R11" totalsRowShown="0" headerRowDxfId="3" dataDxfId="2" tableBorderDxfId="1">
  <autoFilter ref="R1:R11" xr:uid="{18C0BEE2-6881-42B9-9C35-7919776791D7}"/>
  <tableColumns count="1">
    <tableColumn id="1" xr3:uid="{A0DAB1BD-C5B6-479F-9F5A-531D617E81B3}" name="Currenc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mazon.awsapps.com/workdocs/index.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4.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2:I167"/>
  <sheetViews>
    <sheetView showGridLines="0" topLeftCell="E2" workbookViewId="0">
      <selection activeCell="F25" sqref="F25"/>
    </sheetView>
  </sheetViews>
  <sheetFormatPr defaultRowHeight="14.5"/>
  <cols>
    <col min="1" max="1" width="3.81640625" customWidth="1"/>
    <col min="2" max="2" width="9" customWidth="1"/>
    <col min="3" max="9" width="20.81640625" customWidth="1"/>
  </cols>
  <sheetData>
    <row r="2" spans="1:9" ht="28" customHeight="1" thickBot="1">
      <c r="B2" s="40" t="s">
        <v>224</v>
      </c>
      <c r="C2" s="41"/>
      <c r="D2" s="41"/>
      <c r="E2" s="41"/>
      <c r="F2" s="41"/>
      <c r="G2" s="42"/>
      <c r="H2" s="42"/>
      <c r="I2" s="42"/>
    </row>
    <row r="3" spans="1:9" ht="18" customHeight="1" thickTop="1">
      <c r="B3" s="43" t="s">
        <v>225</v>
      </c>
      <c r="C3" s="44"/>
      <c r="D3" s="44"/>
      <c r="E3" s="44"/>
      <c r="F3" s="44"/>
      <c r="G3" s="45"/>
      <c r="H3" s="45"/>
      <c r="I3" s="45"/>
    </row>
    <row r="4" spans="1:9" ht="18" customHeight="1">
      <c r="G4" s="46"/>
      <c r="H4" s="46"/>
      <c r="I4" s="46"/>
    </row>
    <row r="5" spans="1:9" ht="18" customHeight="1">
      <c r="B5" s="47" t="s">
        <v>226</v>
      </c>
      <c r="C5" s="48"/>
      <c r="D5" s="48"/>
      <c r="E5" s="48"/>
      <c r="F5" s="48"/>
      <c r="G5" s="49"/>
      <c r="H5" s="49"/>
      <c r="I5" s="49"/>
    </row>
    <row r="6" spans="1:9" ht="18" customHeight="1">
      <c r="B6" s="48" t="s">
        <v>227</v>
      </c>
      <c r="C6" s="48"/>
      <c r="D6" s="48"/>
      <c r="E6" s="48"/>
      <c r="F6" s="48"/>
      <c r="G6" s="49"/>
      <c r="H6" s="49"/>
      <c r="I6" s="49"/>
    </row>
    <row r="7" spans="1:9" ht="18" customHeight="1">
      <c r="B7" s="755"/>
      <c r="C7" s="755"/>
      <c r="D7" s="755"/>
      <c r="E7" s="755"/>
      <c r="F7" s="48"/>
      <c r="G7" s="49"/>
      <c r="H7" s="49"/>
      <c r="I7" s="49"/>
    </row>
    <row r="8" spans="1:9" ht="18" customHeight="1">
      <c r="B8" s="50"/>
      <c r="G8" s="46"/>
      <c r="H8" s="46"/>
      <c r="I8" s="46"/>
    </row>
    <row r="9" spans="1:9" ht="21.75" customHeight="1" thickBot="1">
      <c r="A9" s="51"/>
      <c r="B9" s="52" t="s">
        <v>222</v>
      </c>
      <c r="C9" s="53"/>
      <c r="D9" s="53"/>
      <c r="E9" s="53"/>
      <c r="F9" s="53"/>
      <c r="G9" s="54"/>
      <c r="H9" s="54"/>
      <c r="I9" s="54"/>
    </row>
    <row r="10" spans="1:9" ht="21" customHeight="1">
      <c r="A10" s="51"/>
      <c r="B10" s="55" t="s">
        <v>228</v>
      </c>
      <c r="C10" s="56"/>
      <c r="D10" s="56"/>
      <c r="E10" s="56"/>
      <c r="F10" s="56"/>
      <c r="G10" s="57"/>
      <c r="H10" s="57"/>
      <c r="I10" s="57"/>
    </row>
    <row r="11" spans="1:9" ht="18" customHeight="1">
      <c r="B11" s="55" t="s">
        <v>229</v>
      </c>
      <c r="F11" s="58"/>
      <c r="G11" s="46"/>
      <c r="H11" s="46"/>
      <c r="I11" s="46"/>
    </row>
    <row r="12" spans="1:9" ht="18" customHeight="1">
      <c r="B12" s="55" t="s">
        <v>230</v>
      </c>
      <c r="G12" s="46"/>
      <c r="H12" s="46"/>
      <c r="I12" s="46"/>
    </row>
    <row r="13" spans="1:9" ht="18" customHeight="1">
      <c r="B13" s="59" t="s">
        <v>231</v>
      </c>
      <c r="G13" s="46"/>
      <c r="H13" s="46"/>
      <c r="I13" s="46"/>
    </row>
    <row r="14" spans="1:9" ht="18" customHeight="1">
      <c r="B14" s="50"/>
      <c r="D14" s="60"/>
      <c r="G14" s="46"/>
      <c r="H14" s="46"/>
      <c r="I14" s="46"/>
    </row>
    <row r="15" spans="1:9" ht="18" customHeight="1">
      <c r="G15" s="46"/>
      <c r="H15" s="46"/>
      <c r="I15" s="46"/>
    </row>
    <row r="16" spans="1:9" ht="18" customHeight="1">
      <c r="G16" s="46"/>
      <c r="H16" s="46"/>
      <c r="I16" s="46"/>
    </row>
    <row r="17" spans="1:9" ht="18" customHeight="1">
      <c r="B17" s="61"/>
      <c r="G17" s="46"/>
      <c r="H17" s="46"/>
      <c r="I17" s="46"/>
    </row>
    <row r="18" spans="1:9" ht="21.75" customHeight="1">
      <c r="B18" s="55"/>
      <c r="G18" s="46"/>
      <c r="H18" s="46"/>
      <c r="I18" s="46"/>
    </row>
    <row r="19" spans="1:9" ht="18" customHeight="1">
      <c r="B19" s="55" t="s">
        <v>232</v>
      </c>
      <c r="G19" s="46"/>
      <c r="H19" s="46"/>
      <c r="I19" s="46"/>
    </row>
    <row r="20" spans="1:9" ht="15" customHeight="1">
      <c r="B20" s="61"/>
      <c r="G20" s="46"/>
      <c r="H20" s="46"/>
      <c r="I20" s="46"/>
    </row>
    <row r="21" spans="1:9" ht="18" customHeight="1">
      <c r="B21" s="61"/>
      <c r="G21" s="46"/>
      <c r="H21" s="46"/>
      <c r="I21" s="46"/>
    </row>
    <row r="22" spans="1:9" ht="18" customHeight="1">
      <c r="B22" s="61"/>
      <c r="G22" s="46"/>
      <c r="H22" s="46"/>
      <c r="I22" s="46"/>
    </row>
    <row r="23" spans="1:9" ht="18" customHeight="1">
      <c r="B23" s="61"/>
      <c r="G23" s="46"/>
      <c r="H23" s="46"/>
      <c r="I23" s="46"/>
    </row>
    <row r="24" spans="1:9" ht="18" customHeight="1">
      <c r="B24" s="61"/>
      <c r="G24" s="46"/>
      <c r="H24" s="46"/>
      <c r="I24" s="46"/>
    </row>
    <row r="25" spans="1:9" ht="18" customHeight="1">
      <c r="B25" s="61"/>
      <c r="G25" s="46"/>
      <c r="H25" s="46"/>
      <c r="I25" s="46"/>
    </row>
    <row r="26" spans="1:9" ht="18" customHeight="1">
      <c r="B26" s="61"/>
      <c r="G26" s="46"/>
      <c r="H26" s="46"/>
      <c r="I26" s="46"/>
    </row>
    <row r="27" spans="1:9" ht="18" customHeight="1">
      <c r="B27" s="62" t="s">
        <v>233</v>
      </c>
      <c r="C27" s="48"/>
      <c r="D27" s="48"/>
      <c r="E27" s="48"/>
      <c r="G27" s="46"/>
      <c r="H27" s="46"/>
      <c r="I27" s="46"/>
    </row>
    <row r="28" spans="1:9" ht="18" customHeight="1">
      <c r="B28" s="50"/>
      <c r="G28" s="46"/>
      <c r="H28" s="46"/>
      <c r="I28" s="46"/>
    </row>
    <row r="29" spans="1:9" ht="18" customHeight="1">
      <c r="B29" s="50"/>
      <c r="G29" s="46"/>
      <c r="H29" s="46"/>
      <c r="I29" s="46"/>
    </row>
    <row r="30" spans="1:9" ht="18" customHeight="1" thickBot="1">
      <c r="A30" s="51"/>
      <c r="B30" s="52" t="s">
        <v>223</v>
      </c>
      <c r="C30" s="53"/>
      <c r="D30" s="53"/>
      <c r="E30" s="53"/>
      <c r="F30" s="53"/>
      <c r="G30" s="54"/>
      <c r="H30" s="54"/>
      <c r="I30" s="54"/>
    </row>
    <row r="31" spans="1:9" ht="18" customHeight="1">
      <c r="A31" s="51"/>
      <c r="B31" s="55" t="s">
        <v>234</v>
      </c>
      <c r="C31" s="56"/>
      <c r="D31" s="56"/>
      <c r="E31" s="56"/>
      <c r="F31" s="56"/>
      <c r="G31" s="57"/>
      <c r="H31" s="57"/>
      <c r="I31" s="57"/>
    </row>
    <row r="32" spans="1:9" ht="18" customHeight="1">
      <c r="A32" s="51"/>
      <c r="B32" s="55" t="s">
        <v>235</v>
      </c>
      <c r="C32" s="56"/>
      <c r="D32" s="56"/>
      <c r="E32" s="56"/>
      <c r="F32" s="56"/>
      <c r="G32" s="57"/>
      <c r="H32" s="57"/>
      <c r="I32" s="57"/>
    </row>
    <row r="33" spans="1:9" ht="18" customHeight="1">
      <c r="A33" s="51"/>
      <c r="B33" s="59" t="s">
        <v>236</v>
      </c>
      <c r="C33" s="56"/>
      <c r="D33" s="56"/>
      <c r="E33" s="56"/>
      <c r="F33" s="56"/>
      <c r="G33" s="57"/>
      <c r="H33" s="57"/>
      <c r="I33" s="57"/>
    </row>
    <row r="34" spans="1:9" ht="18" customHeight="1">
      <c r="A34" s="51"/>
      <c r="B34" s="55" t="s">
        <v>237</v>
      </c>
      <c r="C34" s="56"/>
      <c r="D34" s="56"/>
      <c r="E34" s="56"/>
      <c r="F34" s="56"/>
      <c r="G34" s="57"/>
      <c r="H34" s="57"/>
      <c r="I34" s="57"/>
    </row>
    <row r="35" spans="1:9" ht="18" customHeight="1">
      <c r="A35" s="51"/>
      <c r="B35" s="756" t="s">
        <v>238</v>
      </c>
      <c r="C35" s="756"/>
      <c r="D35" s="756"/>
      <c r="E35" s="756"/>
      <c r="F35" s="56"/>
      <c r="G35" s="57"/>
      <c r="H35" s="57"/>
      <c r="I35" s="57"/>
    </row>
    <row r="36" spans="1:9" ht="18" customHeight="1">
      <c r="B36" s="756"/>
      <c r="C36" s="756"/>
      <c r="D36" s="756"/>
      <c r="E36" s="756"/>
      <c r="G36" s="46"/>
      <c r="H36" s="46"/>
      <c r="I36" s="46"/>
    </row>
    <row r="37" spans="1:9" ht="18" customHeight="1">
      <c r="G37" s="46"/>
      <c r="H37" s="46"/>
      <c r="I37" s="46"/>
    </row>
    <row r="38" spans="1:9" ht="18" customHeight="1">
      <c r="G38" s="46"/>
      <c r="H38" s="46"/>
      <c r="I38" s="46"/>
    </row>
    <row r="39" spans="1:9" ht="18" customHeight="1">
      <c r="G39" s="46"/>
      <c r="H39" s="46"/>
      <c r="I39" s="46"/>
    </row>
    <row r="40" spans="1:9" ht="18" customHeight="1">
      <c r="B40" s="55"/>
      <c r="G40" s="46"/>
      <c r="H40" s="46"/>
      <c r="I40" s="46"/>
    </row>
    <row r="41" spans="1:9" ht="18" customHeight="1">
      <c r="G41" s="46"/>
      <c r="H41" s="46"/>
      <c r="I41" s="46"/>
    </row>
    <row r="42" spans="1:9" ht="18" customHeight="1">
      <c r="G42" s="46"/>
      <c r="H42" s="46"/>
      <c r="I42" s="46"/>
    </row>
    <row r="43" spans="1:9" ht="18" customHeight="1">
      <c r="B43" s="55" t="s">
        <v>239</v>
      </c>
      <c r="G43" s="46"/>
      <c r="H43" s="46"/>
      <c r="I43" s="46"/>
    </row>
    <row r="44" spans="1:9" ht="18" customHeight="1">
      <c r="G44" s="46"/>
      <c r="H44" s="46"/>
      <c r="I44" s="46"/>
    </row>
    <row r="45" spans="1:9" ht="18" customHeight="1">
      <c r="G45" s="46"/>
      <c r="H45" s="46"/>
      <c r="I45" s="46"/>
    </row>
    <row r="46" spans="1:9" ht="18" customHeight="1">
      <c r="G46" s="46"/>
      <c r="H46" s="46"/>
      <c r="I46" s="46"/>
    </row>
    <row r="47" spans="1:9" ht="18" customHeight="1">
      <c r="G47" s="46"/>
      <c r="H47" s="46"/>
      <c r="I47" s="46"/>
    </row>
    <row r="48" spans="1:9" ht="18" customHeight="1">
      <c r="G48" s="46"/>
      <c r="H48" s="46"/>
      <c r="I48" s="46"/>
    </row>
    <row r="49" spans="1:9" ht="18" customHeight="1">
      <c r="G49" s="46"/>
      <c r="H49" s="46"/>
      <c r="I49" s="46"/>
    </row>
    <row r="50" spans="1:9" ht="18" customHeight="1">
      <c r="G50" s="46"/>
      <c r="H50" s="46"/>
      <c r="I50" s="46"/>
    </row>
    <row r="51" spans="1:9" ht="18" customHeight="1">
      <c r="B51" s="757" t="s">
        <v>240</v>
      </c>
      <c r="C51" s="757"/>
      <c r="D51" s="757"/>
      <c r="E51" s="757"/>
      <c r="G51" s="46"/>
      <c r="H51" s="46"/>
      <c r="I51" s="46"/>
    </row>
    <row r="52" spans="1:9" ht="18" customHeight="1">
      <c r="B52" s="757"/>
      <c r="C52" s="757"/>
      <c r="D52" s="757"/>
      <c r="E52" s="757"/>
      <c r="G52" s="46"/>
      <c r="H52" s="46"/>
      <c r="I52" s="46"/>
    </row>
    <row r="53" spans="1:9" ht="18" customHeight="1">
      <c r="B53" s="757"/>
      <c r="C53" s="757"/>
      <c r="D53" s="757"/>
      <c r="E53" s="757"/>
      <c r="G53" s="46"/>
      <c r="H53" s="46"/>
      <c r="I53" s="46"/>
    </row>
    <row r="54" spans="1:9" ht="18" customHeight="1">
      <c r="G54" s="46"/>
      <c r="H54" s="46"/>
      <c r="I54" s="46"/>
    </row>
    <row r="55" spans="1:9" ht="18" customHeight="1">
      <c r="B55" s="55" t="s">
        <v>241</v>
      </c>
      <c r="G55" s="46"/>
      <c r="H55" s="46"/>
      <c r="I55" s="46"/>
    </row>
    <row r="56" spans="1:9" ht="18" customHeight="1">
      <c r="G56" s="46"/>
      <c r="H56" s="46"/>
      <c r="I56" s="46"/>
    </row>
    <row r="57" spans="1:9" ht="18" customHeight="1">
      <c r="G57" s="46"/>
      <c r="H57" s="46"/>
      <c r="I57" s="46"/>
    </row>
    <row r="58" spans="1:9" ht="18" customHeight="1" thickBot="1">
      <c r="A58" s="51"/>
      <c r="B58" s="63" t="s">
        <v>242</v>
      </c>
      <c r="C58" s="64"/>
      <c r="D58" s="64"/>
      <c r="E58" s="64"/>
      <c r="F58" s="64"/>
      <c r="G58" s="65"/>
      <c r="H58" s="65"/>
      <c r="I58" s="65"/>
    </row>
    <row r="59" spans="1:9" ht="18" customHeight="1">
      <c r="A59" s="51"/>
      <c r="C59" s="66"/>
      <c r="D59" s="66"/>
      <c r="E59" s="66"/>
      <c r="F59" s="66"/>
      <c r="G59" s="67"/>
      <c r="H59" s="67"/>
      <c r="I59" s="67"/>
    </row>
    <row r="60" spans="1:9" ht="18" customHeight="1">
      <c r="B60" s="68" t="s">
        <v>243</v>
      </c>
      <c r="G60" s="46"/>
      <c r="H60" s="46"/>
      <c r="I60" s="46"/>
    </row>
    <row r="61" spans="1:9" ht="18" customHeight="1">
      <c r="B61" t="s">
        <v>244</v>
      </c>
      <c r="G61" s="46"/>
      <c r="H61" s="46"/>
      <c r="I61" s="46"/>
    </row>
    <row r="62" spans="1:9" ht="18" customHeight="1">
      <c r="B62" t="s">
        <v>245</v>
      </c>
      <c r="G62" s="46"/>
      <c r="H62" s="46"/>
      <c r="I62" s="46"/>
    </row>
    <row r="63" spans="1:9" ht="18" customHeight="1">
      <c r="C63" t="s">
        <v>246</v>
      </c>
      <c r="G63" s="46"/>
      <c r="H63" s="46"/>
      <c r="I63" s="46"/>
    </row>
    <row r="64" spans="1:9" ht="18" customHeight="1">
      <c r="C64" t="s">
        <v>247</v>
      </c>
      <c r="G64" s="46"/>
      <c r="H64" s="46"/>
      <c r="I64" s="46"/>
    </row>
    <row r="65" spans="1:9" ht="18" customHeight="1">
      <c r="C65" t="s">
        <v>248</v>
      </c>
      <c r="G65" s="46"/>
      <c r="H65" s="46"/>
      <c r="I65" s="46"/>
    </row>
    <row r="66" spans="1:9" ht="18" customHeight="1">
      <c r="C66" t="s">
        <v>249</v>
      </c>
      <c r="G66" s="46"/>
      <c r="H66" s="46"/>
      <c r="I66" s="46"/>
    </row>
    <row r="67" spans="1:9" ht="18" customHeight="1">
      <c r="C67" t="s">
        <v>250</v>
      </c>
      <c r="G67" s="46"/>
      <c r="H67" s="46"/>
      <c r="I67" s="46"/>
    </row>
    <row r="68" spans="1:9" ht="18" customHeight="1"/>
    <row r="69" spans="1:9" ht="18" customHeight="1">
      <c r="B69" t="s">
        <v>251</v>
      </c>
    </row>
    <row r="70" spans="1:9" ht="18" customHeight="1">
      <c r="B70" t="s">
        <v>252</v>
      </c>
    </row>
    <row r="71" spans="1:9" ht="18" customHeight="1"/>
    <row r="72" spans="1:9" ht="18" customHeight="1">
      <c r="B72" t="s">
        <v>253</v>
      </c>
    </row>
    <row r="73" spans="1:9" ht="18" customHeight="1">
      <c r="B73" t="s">
        <v>254</v>
      </c>
    </row>
    <row r="74" spans="1:9" ht="18" customHeight="1"/>
    <row r="75" spans="1:9" ht="18" customHeight="1"/>
    <row r="76" spans="1:9" ht="18" customHeight="1">
      <c r="B76" s="68" t="s">
        <v>255</v>
      </c>
      <c r="G76" s="46"/>
      <c r="H76" s="46"/>
    </row>
    <row r="77" spans="1:9" ht="18" customHeight="1">
      <c r="B77" s="69"/>
      <c r="C77" s="70"/>
      <c r="D77" s="70"/>
      <c r="E77" s="70"/>
      <c r="F77" s="70"/>
      <c r="G77" s="71"/>
      <c r="H77" s="71"/>
      <c r="I77" s="71"/>
    </row>
    <row r="78" spans="1:9" ht="18" customHeight="1">
      <c r="A78" s="51"/>
      <c r="B78" s="72" t="s">
        <v>256</v>
      </c>
      <c r="C78" s="73"/>
      <c r="D78" s="73"/>
      <c r="E78" s="73"/>
      <c r="F78" s="73"/>
      <c r="G78" s="74"/>
      <c r="H78" s="74"/>
      <c r="I78" s="74"/>
    </row>
    <row r="79" spans="1:9" ht="18" customHeight="1">
      <c r="A79" s="51"/>
      <c r="B79" s="75" t="s">
        <v>257</v>
      </c>
      <c r="C79" s="66"/>
      <c r="D79" s="66"/>
      <c r="E79" s="66"/>
      <c r="F79" s="66"/>
      <c r="G79" s="76" t="s">
        <v>258</v>
      </c>
      <c r="H79" s="67"/>
      <c r="I79" s="67"/>
    </row>
    <row r="80" spans="1:9" ht="18" customHeight="1">
      <c r="A80" s="51"/>
      <c r="B80" s="77"/>
      <c r="C80" s="66"/>
      <c r="D80" s="66"/>
      <c r="E80" s="66"/>
      <c r="F80" s="66"/>
      <c r="G80" s="67"/>
      <c r="H80" s="67"/>
      <c r="I80" s="67"/>
    </row>
    <row r="81" spans="1:9" ht="18" customHeight="1">
      <c r="A81" s="51"/>
      <c r="B81" s="78"/>
      <c r="C81" s="79" t="s">
        <v>259</v>
      </c>
      <c r="D81" s="66"/>
      <c r="E81" s="66"/>
      <c r="F81" s="66"/>
      <c r="G81" s="67"/>
      <c r="H81" s="67"/>
      <c r="I81" s="67"/>
    </row>
    <row r="82" spans="1:9" ht="18" customHeight="1">
      <c r="A82" s="51"/>
      <c r="B82" s="80"/>
      <c r="C82" s="81" t="s">
        <v>260</v>
      </c>
      <c r="D82" s="66"/>
      <c r="E82" s="66"/>
      <c r="F82" s="66"/>
      <c r="G82" s="67"/>
      <c r="H82" s="67"/>
      <c r="I82" s="67"/>
    </row>
    <row r="83" spans="1:9" ht="18" customHeight="1">
      <c r="A83" s="51"/>
      <c r="B83" s="1"/>
      <c r="C83" s="66"/>
      <c r="D83" s="66"/>
      <c r="E83" s="66"/>
      <c r="F83" s="66"/>
      <c r="G83" s="67"/>
      <c r="H83" s="67"/>
      <c r="I83" s="67"/>
    </row>
    <row r="84" spans="1:9" ht="18" customHeight="1">
      <c r="A84" s="51"/>
      <c r="B84" s="1"/>
      <c r="C84" s="79" t="s">
        <v>261</v>
      </c>
      <c r="D84" s="66"/>
      <c r="E84" s="66"/>
      <c r="F84" s="66"/>
      <c r="G84" s="67"/>
      <c r="H84" s="67"/>
      <c r="I84" s="67"/>
    </row>
    <row r="85" spans="1:9" ht="18" customHeight="1">
      <c r="A85" s="51"/>
      <c r="B85" s="1"/>
      <c r="C85" s="758" t="s">
        <v>262</v>
      </c>
      <c r="D85" s="758"/>
      <c r="E85" s="66"/>
      <c r="F85" s="66"/>
      <c r="G85" s="67"/>
      <c r="H85" s="67"/>
      <c r="I85" s="67"/>
    </row>
    <row r="86" spans="1:9" ht="18" customHeight="1">
      <c r="A86" s="51"/>
      <c r="B86" s="1"/>
      <c r="C86" s="82"/>
      <c r="D86" s="82"/>
      <c r="E86" s="66"/>
      <c r="F86" s="66"/>
      <c r="G86" s="67"/>
      <c r="H86" s="67"/>
      <c r="I86" s="67"/>
    </row>
    <row r="87" spans="1:9" ht="18" customHeight="1">
      <c r="A87" s="51"/>
      <c r="B87" s="50" t="s">
        <v>263</v>
      </c>
      <c r="C87" s="82"/>
      <c r="D87" s="82"/>
      <c r="E87" s="66"/>
      <c r="F87" s="66"/>
      <c r="G87" s="67"/>
      <c r="H87" s="67"/>
      <c r="I87" s="67"/>
    </row>
    <row r="88" spans="1:9" ht="18" customHeight="1">
      <c r="A88" s="51"/>
      <c r="B88" s="69"/>
      <c r="C88" s="70"/>
      <c r="D88" s="70"/>
      <c r="E88" s="70"/>
      <c r="F88" s="70"/>
      <c r="G88" s="71"/>
      <c r="H88" s="71"/>
      <c r="I88" s="71"/>
    </row>
    <row r="89" spans="1:9" ht="18" customHeight="1">
      <c r="A89" s="51"/>
      <c r="B89" s="72" t="s">
        <v>264</v>
      </c>
      <c r="C89" s="73"/>
      <c r="D89" s="73"/>
      <c r="E89" s="73"/>
      <c r="F89" s="73"/>
      <c r="G89" s="74"/>
      <c r="H89" s="74"/>
      <c r="I89" s="74"/>
    </row>
    <row r="90" spans="1:9" ht="18" customHeight="1">
      <c r="A90" s="51"/>
      <c r="B90" s="1" t="s">
        <v>265</v>
      </c>
      <c r="C90" s="66"/>
      <c r="D90" s="66"/>
      <c r="E90" s="66"/>
      <c r="F90" s="66"/>
      <c r="G90" s="67"/>
      <c r="H90" s="67"/>
      <c r="I90" s="67"/>
    </row>
    <row r="91" spans="1:9" ht="18" customHeight="1">
      <c r="B91" s="1" t="s">
        <v>266</v>
      </c>
      <c r="G91" s="46"/>
      <c r="H91" s="46"/>
      <c r="I91" s="46"/>
    </row>
    <row r="92" spans="1:9" ht="18" customHeight="1">
      <c r="B92" s="1" t="s">
        <v>267</v>
      </c>
      <c r="G92" s="46"/>
      <c r="H92" s="46"/>
      <c r="I92" s="46"/>
    </row>
    <row r="93" spans="1:9" ht="18" customHeight="1">
      <c r="C93" t="s">
        <v>268</v>
      </c>
      <c r="G93" s="46"/>
      <c r="H93" s="46"/>
      <c r="I93" s="46"/>
    </row>
    <row r="94" spans="1:9" ht="18" customHeight="1">
      <c r="C94" t="s">
        <v>269</v>
      </c>
      <c r="G94" s="46"/>
      <c r="H94" s="46"/>
      <c r="I94" s="46"/>
    </row>
    <row r="95" spans="1:9" ht="18" customHeight="1">
      <c r="C95" s="75" t="s">
        <v>270</v>
      </c>
      <c r="G95" s="46"/>
      <c r="H95" s="46"/>
      <c r="I95" s="46"/>
    </row>
    <row r="96" spans="1:9" ht="18" customHeight="1">
      <c r="G96" s="46"/>
      <c r="H96" s="46"/>
      <c r="I96" s="46"/>
    </row>
    <row r="97" spans="3:9" ht="18" customHeight="1">
      <c r="G97" s="46"/>
      <c r="H97" s="46"/>
      <c r="I97" s="46"/>
    </row>
    <row r="98" spans="3:9" ht="18" customHeight="1">
      <c r="G98" s="46"/>
      <c r="H98" s="46"/>
      <c r="I98" s="46"/>
    </row>
    <row r="99" spans="3:9" ht="18" customHeight="1">
      <c r="G99" s="46"/>
      <c r="H99" s="46"/>
      <c r="I99" s="46"/>
    </row>
    <row r="100" spans="3:9" ht="18" customHeight="1">
      <c r="G100" s="46"/>
      <c r="H100" s="46"/>
      <c r="I100" s="46"/>
    </row>
    <row r="101" spans="3:9" ht="18" customHeight="1">
      <c r="G101" s="46"/>
      <c r="H101" s="46"/>
      <c r="I101" s="46"/>
    </row>
    <row r="102" spans="3:9" ht="18" customHeight="1">
      <c r="G102" s="46"/>
      <c r="H102" s="46"/>
      <c r="I102" s="46"/>
    </row>
    <row r="103" spans="3:9" ht="18" customHeight="1">
      <c r="G103" s="46"/>
      <c r="H103" s="46"/>
      <c r="I103" s="46"/>
    </row>
    <row r="104" spans="3:9" ht="18" customHeight="1">
      <c r="G104" s="46"/>
      <c r="H104" s="46"/>
      <c r="I104" s="46"/>
    </row>
    <row r="105" spans="3:9" ht="18" customHeight="1">
      <c r="G105" s="46"/>
      <c r="H105" s="46"/>
      <c r="I105" s="46"/>
    </row>
    <row r="106" spans="3:9" ht="18" customHeight="1">
      <c r="G106" s="46"/>
      <c r="H106" s="46"/>
      <c r="I106" s="46"/>
    </row>
    <row r="107" spans="3:9" ht="18" customHeight="1">
      <c r="G107" s="46"/>
      <c r="H107" s="46"/>
      <c r="I107" s="46"/>
    </row>
    <row r="108" spans="3:9" ht="18" customHeight="1">
      <c r="G108" s="46"/>
      <c r="H108" s="46"/>
      <c r="I108" s="46"/>
    </row>
    <row r="109" spans="3:9" ht="18" customHeight="1">
      <c r="C109" t="s">
        <v>271</v>
      </c>
      <c r="G109" s="46"/>
      <c r="H109" s="46"/>
      <c r="I109" s="46"/>
    </row>
    <row r="110" spans="3:9" ht="18" customHeight="1">
      <c r="C110" t="s">
        <v>272</v>
      </c>
      <c r="G110" s="46"/>
      <c r="H110" s="46"/>
      <c r="I110" s="46"/>
    </row>
    <row r="111" spans="3:9" ht="18" customHeight="1">
      <c r="G111" s="46"/>
      <c r="H111" s="46"/>
      <c r="I111" s="46"/>
    </row>
    <row r="112" spans="3:9" ht="18" customHeight="1">
      <c r="G112" s="46"/>
      <c r="H112" s="46"/>
      <c r="I112" s="46"/>
    </row>
    <row r="113" spans="2:9" ht="18" customHeight="1">
      <c r="G113" s="46"/>
      <c r="H113" s="46"/>
      <c r="I113" s="46"/>
    </row>
    <row r="114" spans="2:9" ht="18" customHeight="1">
      <c r="G114" s="46"/>
      <c r="H114" s="46"/>
      <c r="I114" s="46"/>
    </row>
    <row r="115" spans="2:9" ht="18" customHeight="1">
      <c r="G115" s="46"/>
      <c r="H115" s="46"/>
      <c r="I115" s="46"/>
    </row>
    <row r="116" spans="2:9" ht="18" customHeight="1">
      <c r="G116" s="46"/>
      <c r="H116" s="46"/>
      <c r="I116" s="46"/>
    </row>
    <row r="117" spans="2:9" ht="18" customHeight="1">
      <c r="G117" s="46"/>
      <c r="H117" s="46"/>
      <c r="I117" s="46"/>
    </row>
    <row r="118" spans="2:9" ht="18" customHeight="1">
      <c r="G118" s="46"/>
      <c r="H118" s="46"/>
      <c r="I118" s="46"/>
    </row>
    <row r="119" spans="2:9" ht="18" customHeight="1">
      <c r="G119" s="46"/>
      <c r="H119" s="46"/>
      <c r="I119" s="46"/>
    </row>
    <row r="120" spans="2:9" ht="18" customHeight="1">
      <c r="G120" s="46"/>
      <c r="H120" s="46"/>
      <c r="I120" s="46"/>
    </row>
    <row r="121" spans="2:9" ht="18" customHeight="1">
      <c r="G121" s="46"/>
      <c r="H121" s="46"/>
      <c r="I121" s="46"/>
    </row>
    <row r="122" spans="2:9" ht="18" customHeight="1">
      <c r="G122" s="46"/>
      <c r="H122" s="46"/>
      <c r="I122" s="46"/>
    </row>
    <row r="123" spans="2:9" ht="18" customHeight="1">
      <c r="G123" s="46"/>
      <c r="H123" s="46"/>
      <c r="I123" s="46"/>
    </row>
    <row r="124" spans="2:9" ht="18" customHeight="1">
      <c r="G124" s="46"/>
      <c r="H124" s="46"/>
      <c r="I124" s="46"/>
    </row>
    <row r="125" spans="2:9" ht="18" customHeight="1">
      <c r="G125" s="46"/>
      <c r="H125" s="46"/>
      <c r="I125" s="46"/>
    </row>
    <row r="126" spans="2:9" ht="18" customHeight="1">
      <c r="G126" s="46"/>
      <c r="H126" s="46"/>
      <c r="I126" s="46"/>
    </row>
    <row r="127" spans="2:9" ht="18" customHeight="1">
      <c r="B127" s="50" t="s">
        <v>263</v>
      </c>
      <c r="G127" s="46"/>
      <c r="H127" s="46"/>
      <c r="I127" s="46"/>
    </row>
    <row r="128" spans="2:9" ht="18" customHeight="1">
      <c r="B128" s="69"/>
      <c r="C128" s="70"/>
      <c r="D128" s="70"/>
      <c r="E128" s="70"/>
      <c r="F128" s="70"/>
      <c r="G128" s="71"/>
      <c r="H128" s="71"/>
      <c r="I128" s="71"/>
    </row>
    <row r="129" spans="1:9" ht="18" customHeight="1">
      <c r="A129" s="51"/>
      <c r="B129" s="72" t="s">
        <v>273</v>
      </c>
      <c r="C129" s="73"/>
      <c r="D129" s="73"/>
      <c r="E129" s="73"/>
      <c r="F129" s="73"/>
      <c r="G129" s="74"/>
      <c r="H129" s="74"/>
      <c r="I129" s="74"/>
    </row>
    <row r="130" spans="1:9" ht="18" customHeight="1">
      <c r="B130" s="83" t="s">
        <v>274</v>
      </c>
      <c r="C130" s="66"/>
      <c r="D130" s="66"/>
      <c r="E130" s="66"/>
      <c r="F130" s="66"/>
      <c r="G130" s="67"/>
      <c r="H130" s="67"/>
      <c r="I130" s="67"/>
    </row>
    <row r="131" spans="1:9" ht="18" customHeight="1">
      <c r="B131" s="83" t="s">
        <v>275</v>
      </c>
      <c r="C131" s="66"/>
      <c r="D131" s="66"/>
      <c r="E131" s="66"/>
      <c r="F131" s="66"/>
      <c r="G131" s="67"/>
      <c r="H131" s="67"/>
      <c r="I131" s="67"/>
    </row>
    <row r="132" spans="1:9" ht="18" customHeight="1">
      <c r="B132" s="83"/>
      <c r="C132" s="66"/>
      <c r="D132" s="66"/>
      <c r="E132" s="66"/>
      <c r="F132" s="66"/>
      <c r="G132" s="67"/>
      <c r="H132" s="67"/>
      <c r="I132" s="67"/>
    </row>
    <row r="133" spans="1:9" ht="18" customHeight="1">
      <c r="B133" s="83"/>
      <c r="C133" s="66"/>
      <c r="D133" s="66"/>
      <c r="E133" s="66"/>
      <c r="F133" s="66"/>
      <c r="G133" s="67"/>
      <c r="H133" s="67"/>
      <c r="I133" s="67"/>
    </row>
    <row r="134" spans="1:9" ht="18" customHeight="1">
      <c r="B134" s="83"/>
      <c r="C134" s="66"/>
      <c r="D134" s="66"/>
      <c r="E134" s="66"/>
      <c r="F134" s="66"/>
      <c r="G134" s="67"/>
      <c r="H134" s="67"/>
      <c r="I134" s="67"/>
    </row>
    <row r="135" spans="1:9" ht="18" customHeight="1">
      <c r="B135" s="83"/>
      <c r="C135" s="66"/>
      <c r="D135" s="66"/>
      <c r="E135" s="66"/>
      <c r="F135" s="66"/>
      <c r="G135" s="67"/>
      <c r="H135" s="67"/>
      <c r="I135" s="67"/>
    </row>
    <row r="136" spans="1:9" ht="18" customHeight="1">
      <c r="B136" s="83" t="s">
        <v>276</v>
      </c>
      <c r="C136" s="66"/>
      <c r="D136" s="66"/>
      <c r="E136" s="66"/>
      <c r="F136" s="66"/>
      <c r="G136" s="67"/>
      <c r="H136" s="67"/>
      <c r="I136" s="67"/>
    </row>
    <row r="137" spans="1:9" ht="18" customHeight="1">
      <c r="B137" s="83"/>
      <c r="C137" s="66"/>
      <c r="D137" s="66"/>
      <c r="E137" s="66"/>
      <c r="F137" s="66"/>
      <c r="G137" s="67"/>
      <c r="H137" s="67"/>
      <c r="I137" s="67"/>
    </row>
    <row r="138" spans="1:9" ht="18" customHeight="1">
      <c r="B138" s="83"/>
      <c r="C138" s="66"/>
      <c r="D138" s="66"/>
      <c r="E138" s="66"/>
      <c r="F138" s="66"/>
      <c r="G138" s="67"/>
      <c r="H138" s="67"/>
      <c r="I138" s="67"/>
    </row>
    <row r="139" spans="1:9" ht="18" customHeight="1">
      <c r="B139" s="83"/>
      <c r="C139" s="66"/>
      <c r="D139" s="66"/>
      <c r="E139" s="66"/>
      <c r="F139" s="66"/>
      <c r="G139" s="67"/>
      <c r="H139" s="67"/>
      <c r="I139" s="67"/>
    </row>
    <row r="140" spans="1:9" ht="18" customHeight="1">
      <c r="B140" s="83"/>
      <c r="C140" s="66"/>
      <c r="D140" s="66"/>
      <c r="E140" s="66"/>
      <c r="F140" s="66"/>
      <c r="G140" s="67"/>
      <c r="H140" s="67"/>
      <c r="I140" s="67"/>
    </row>
    <row r="141" spans="1:9" ht="18" customHeight="1">
      <c r="B141" s="83"/>
      <c r="C141" s="66"/>
      <c r="D141" s="66"/>
      <c r="E141" s="66"/>
      <c r="F141" s="66"/>
      <c r="G141" s="67"/>
      <c r="H141" s="67"/>
      <c r="I141" s="67"/>
    </row>
    <row r="142" spans="1:9" ht="18" customHeight="1">
      <c r="B142" s="83"/>
      <c r="C142" s="66"/>
      <c r="D142" s="66"/>
      <c r="E142" s="66"/>
      <c r="F142" s="66"/>
      <c r="G142" s="67"/>
      <c r="H142" s="67"/>
      <c r="I142" s="67"/>
    </row>
    <row r="143" spans="1:9" ht="18" customHeight="1">
      <c r="B143" s="83"/>
      <c r="C143" s="66"/>
      <c r="D143" s="66"/>
      <c r="E143" s="66"/>
      <c r="F143" s="66"/>
      <c r="G143" s="67"/>
      <c r="H143" s="67"/>
      <c r="I143" s="67"/>
    </row>
    <row r="144" spans="1:9" ht="18" customHeight="1">
      <c r="B144" s="83"/>
      <c r="C144" s="66"/>
      <c r="D144" s="66"/>
      <c r="E144" s="66"/>
      <c r="F144" s="66"/>
      <c r="G144" s="67"/>
      <c r="H144" s="67"/>
      <c r="I144" s="67"/>
    </row>
    <row r="145" spans="1:9" ht="18" customHeight="1">
      <c r="B145" s="83"/>
      <c r="C145" s="66"/>
      <c r="D145" s="66"/>
      <c r="E145" s="66"/>
      <c r="F145" s="66"/>
      <c r="G145" s="67"/>
      <c r="H145" s="67"/>
      <c r="I145" s="67"/>
    </row>
    <row r="146" spans="1:9" ht="18" customHeight="1">
      <c r="B146" s="83"/>
      <c r="C146" s="66"/>
      <c r="D146" s="66"/>
      <c r="E146" s="66"/>
      <c r="F146" s="66"/>
      <c r="G146" s="67"/>
      <c r="H146" s="67"/>
      <c r="I146" s="67"/>
    </row>
    <row r="147" spans="1:9" ht="18" customHeight="1">
      <c r="B147" s="83"/>
      <c r="C147" s="66"/>
      <c r="D147" s="66"/>
      <c r="E147" s="66"/>
      <c r="F147" s="66"/>
      <c r="G147" s="67"/>
      <c r="H147" s="67"/>
      <c r="I147" s="67"/>
    </row>
    <row r="148" spans="1:9" ht="18" customHeight="1">
      <c r="B148" s="83"/>
      <c r="C148" s="66"/>
      <c r="D148" s="66"/>
      <c r="E148" s="66"/>
      <c r="F148" s="66"/>
      <c r="G148" s="67"/>
      <c r="H148" s="67"/>
      <c r="I148" s="67"/>
    </row>
    <row r="149" spans="1:9" ht="18" customHeight="1">
      <c r="B149" s="83"/>
      <c r="C149" s="66"/>
      <c r="D149" s="66"/>
      <c r="E149" s="66"/>
      <c r="F149" s="66"/>
      <c r="G149" s="67"/>
      <c r="H149" s="67"/>
      <c r="I149" s="67"/>
    </row>
    <row r="150" spans="1:9" ht="18" customHeight="1">
      <c r="B150" s="69"/>
      <c r="C150" s="70"/>
      <c r="D150" s="70"/>
      <c r="E150" s="70"/>
      <c r="F150" s="70"/>
      <c r="G150" s="71"/>
      <c r="H150" s="71"/>
      <c r="I150" s="71"/>
    </row>
    <row r="151" spans="1:9" ht="18" customHeight="1">
      <c r="A151" s="51"/>
      <c r="B151" s="72" t="s">
        <v>277</v>
      </c>
      <c r="C151" s="73"/>
      <c r="D151" s="73"/>
      <c r="E151" s="73"/>
      <c r="F151" s="73"/>
      <c r="G151" s="74"/>
      <c r="H151" s="74"/>
      <c r="I151" s="74"/>
    </row>
    <row r="152" spans="1:9" ht="18" customHeight="1">
      <c r="B152" s="80" t="s">
        <v>278</v>
      </c>
      <c r="C152" s="66"/>
      <c r="D152" s="66"/>
      <c r="E152" s="66"/>
      <c r="F152" s="66"/>
      <c r="G152" s="67"/>
      <c r="H152" s="67"/>
      <c r="I152" s="67"/>
    </row>
    <row r="153" spans="1:9" ht="18" customHeight="1">
      <c r="B153" s="80" t="s">
        <v>279</v>
      </c>
      <c r="C153" s="66"/>
      <c r="D153" s="66"/>
      <c r="E153" s="66"/>
      <c r="F153" s="66"/>
      <c r="G153" s="67"/>
      <c r="H153" s="67"/>
      <c r="I153" s="67"/>
    </row>
    <row r="154" spans="1:9" ht="18" customHeight="1">
      <c r="B154" s="1"/>
      <c r="C154" s="66"/>
      <c r="D154" s="66"/>
      <c r="E154" s="66"/>
      <c r="F154" s="66"/>
      <c r="G154" s="67"/>
      <c r="H154" s="67"/>
      <c r="I154" s="67"/>
    </row>
    <row r="155" spans="1:9" ht="18" customHeight="1">
      <c r="B155" s="1"/>
      <c r="C155" s="66"/>
      <c r="D155" s="66"/>
      <c r="E155" s="66"/>
      <c r="F155" s="66"/>
      <c r="G155" s="67"/>
      <c r="H155" s="67"/>
      <c r="I155" s="67"/>
    </row>
    <row r="156" spans="1:9" ht="18" customHeight="1">
      <c r="B156" s="1"/>
      <c r="C156" s="66"/>
      <c r="D156" s="66"/>
      <c r="E156" s="66"/>
      <c r="F156" s="66"/>
      <c r="G156" s="67"/>
      <c r="H156" s="67"/>
      <c r="I156" s="67"/>
    </row>
    <row r="157" spans="1:9" ht="18" customHeight="1">
      <c r="B157" s="1"/>
      <c r="C157" s="66"/>
      <c r="D157" s="66"/>
      <c r="E157" s="66"/>
      <c r="F157" s="66"/>
      <c r="G157" s="67"/>
      <c r="H157" s="67"/>
      <c r="I157" s="67"/>
    </row>
    <row r="158" spans="1:9" ht="18" customHeight="1">
      <c r="B158" s="1"/>
      <c r="C158" s="66"/>
      <c r="D158" s="66"/>
      <c r="E158" s="66"/>
      <c r="F158" s="66"/>
      <c r="G158" s="67"/>
      <c r="H158" s="67"/>
      <c r="I158" s="67"/>
    </row>
    <row r="159" spans="1:9" ht="18" customHeight="1">
      <c r="B159" s="1"/>
      <c r="C159" s="66"/>
      <c r="D159" s="66"/>
      <c r="E159" s="66"/>
      <c r="F159" s="66"/>
      <c r="G159" s="67"/>
      <c r="H159" s="67"/>
      <c r="I159" s="67"/>
    </row>
    <row r="160" spans="1:9" ht="18" customHeight="1">
      <c r="B160" s="1"/>
      <c r="C160" s="66"/>
      <c r="D160" s="66"/>
      <c r="E160" s="66"/>
      <c r="F160" s="66"/>
      <c r="G160" s="67"/>
      <c r="H160" s="67"/>
      <c r="I160" s="67"/>
    </row>
    <row r="161" spans="2:2" ht="18" customHeight="1">
      <c r="B161" s="84" t="s">
        <v>280</v>
      </c>
    </row>
    <row r="162" spans="2:2" ht="18" customHeight="1">
      <c r="B162" t="s">
        <v>281</v>
      </c>
    </row>
    <row r="163" spans="2:2" ht="18" customHeight="1"/>
    <row r="164" spans="2:2" ht="18" customHeight="1">
      <c r="B164" t="s">
        <v>282</v>
      </c>
    </row>
    <row r="165" spans="2:2" ht="18" customHeight="1"/>
    <row r="166" spans="2:2" ht="18" customHeight="1">
      <c r="B166" s="50"/>
    </row>
    <row r="167" spans="2:2" ht="18" customHeight="1"/>
  </sheetData>
  <mergeCells count="4">
    <mergeCell ref="B7:E7"/>
    <mergeCell ref="B35:E36"/>
    <mergeCell ref="B51:E53"/>
    <mergeCell ref="C85:D85"/>
  </mergeCells>
  <hyperlinks>
    <hyperlink ref="G79" location="'Macro Instructions'!B73" display="Don't know? Click here to find out." xr:uid="{00000000-0004-0000-0000-000000000000}"/>
    <hyperlink ref="C85" r:id="rId1" location="/document/b3b4ce1ad9c3e9e71fc185ce323ee42b4a987be9214076a35b743715c5d592b7" xr:uid="{00000000-0004-0000-0000-000001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AF097-9A42-4926-8B24-68FC9DA27189}">
  <sheetPr codeName="Sheet4"/>
  <dimension ref="A1:AJ201"/>
  <sheetViews>
    <sheetView topLeftCell="G70" zoomScale="65" zoomScaleNormal="70" workbookViewId="0">
      <selection activeCell="Q111" sqref="N111:Q111"/>
    </sheetView>
  </sheetViews>
  <sheetFormatPr defaultColWidth="9.1796875" defaultRowHeight="14" outlineLevelCol="1"/>
  <cols>
    <col min="1" max="2" width="4.81640625" style="24" hidden="1" customWidth="1"/>
    <col min="3" max="3" width="54.453125" style="24" hidden="1" customWidth="1"/>
    <col min="4" max="4" width="19.54296875" style="24" hidden="1" customWidth="1"/>
    <col min="5" max="5" width="14.1796875" style="24" hidden="1" customWidth="1"/>
    <col min="6" max="6" width="15" style="24" hidden="1" customWidth="1"/>
    <col min="7" max="7" width="2.81640625" style="203" customWidth="1"/>
    <col min="8" max="8" width="4.1796875" style="155" customWidth="1"/>
    <col min="9" max="9" width="18.1796875" style="36" customWidth="1"/>
    <col min="10" max="10" width="5.54296875" style="36" hidden="1" customWidth="1"/>
    <col min="11" max="11" width="56.81640625" style="24" customWidth="1"/>
    <col min="12" max="12" width="13.453125" style="24" customWidth="1"/>
    <col min="13" max="13" width="8" style="24" bestFit="1" customWidth="1"/>
    <col min="14" max="14" width="11.1796875" style="24" customWidth="1"/>
    <col min="15" max="15" width="16.1796875" style="24" customWidth="1"/>
    <col min="16" max="16" width="14.54296875" style="24" customWidth="1"/>
    <col min="17" max="17" width="18.453125" style="24" customWidth="1"/>
    <col min="18" max="18" width="52.81640625" style="24" bestFit="1" customWidth="1"/>
    <col min="19" max="19" width="10.54296875" style="24" hidden="1" customWidth="1"/>
    <col min="20" max="20" width="22.54296875" style="24" hidden="1" customWidth="1"/>
    <col min="21" max="21" width="5.1796875" style="24" customWidth="1"/>
    <col min="22" max="23" width="9.1796875" style="24" hidden="1" customWidth="1" outlineLevel="1"/>
    <col min="24" max="24" width="49.54296875" style="24" hidden="1" customWidth="1" outlineLevel="1"/>
    <col min="25" max="25" width="25.1796875" style="24" hidden="1" customWidth="1" outlineLevel="1"/>
    <col min="26" max="26" width="9.1796875" style="24" hidden="1" customWidth="1" outlineLevel="1"/>
    <col min="27" max="27" width="9.1796875" style="24" collapsed="1"/>
    <col min="28" max="28" width="11.453125" style="24" hidden="1" customWidth="1"/>
    <col min="29" max="34" width="9.1796875" style="24" hidden="1" customWidth="1"/>
    <col min="35" max="35" width="9.1796875" style="24"/>
    <col min="36" max="36" width="22.1796875" style="24" customWidth="1"/>
    <col min="37" max="16384" width="9.1796875" style="24"/>
  </cols>
  <sheetData>
    <row r="1" spans="7:36" ht="14.5" thickBot="1">
      <c r="H1" s="677"/>
      <c r="I1" s="204"/>
      <c r="J1" s="204"/>
      <c r="K1" s="203"/>
      <c r="L1" s="203"/>
      <c r="M1" s="203"/>
      <c r="N1" s="203"/>
      <c r="O1" s="203"/>
      <c r="P1" s="203"/>
      <c r="Q1" s="203"/>
      <c r="R1" s="203"/>
      <c r="S1" s="203"/>
      <c r="T1" s="203"/>
      <c r="U1" s="205" t="s">
        <v>496</v>
      </c>
      <c r="V1" s="203"/>
      <c r="W1" s="203"/>
      <c r="X1" s="203"/>
      <c r="Y1" s="203"/>
    </row>
    <row r="2" spans="7:36" ht="15.5">
      <c r="G2" s="206"/>
      <c r="H2" s="763" t="s">
        <v>497</v>
      </c>
      <c r="I2" s="763"/>
      <c r="J2" s="763"/>
      <c r="K2" s="763"/>
      <c r="L2" s="763"/>
      <c r="M2" s="763"/>
      <c r="N2" s="763"/>
      <c r="O2" s="763"/>
      <c r="P2" s="763"/>
      <c r="Q2" s="763"/>
      <c r="R2" s="763"/>
      <c r="S2" s="202"/>
      <c r="U2" s="203"/>
      <c r="V2" s="764" t="s">
        <v>498</v>
      </c>
      <c r="W2" s="764"/>
      <c r="X2" s="764"/>
      <c r="Y2" s="764"/>
      <c r="AI2" s="765" t="s">
        <v>479</v>
      </c>
      <c r="AJ2" s="766"/>
    </row>
    <row r="3" spans="7:36" ht="15" thickBot="1">
      <c r="G3" s="207"/>
      <c r="H3" s="678"/>
      <c r="I3" s="208"/>
      <c r="J3" s="208"/>
      <c r="K3" s="203"/>
      <c r="L3" s="209"/>
      <c r="M3" s="209"/>
      <c r="N3" s="209"/>
      <c r="O3" s="209"/>
      <c r="P3" s="209"/>
      <c r="Q3" s="209"/>
      <c r="R3" s="209"/>
      <c r="S3" s="210"/>
      <c r="U3" s="203"/>
      <c r="V3" s="211"/>
      <c r="W3" s="211"/>
      <c r="X3" s="212"/>
      <c r="Y3" s="213"/>
      <c r="AI3" s="198"/>
      <c r="AJ3" s="199"/>
    </row>
    <row r="4" spans="7:36" ht="15" thickBot="1">
      <c r="G4" s="207"/>
      <c r="H4" s="678"/>
      <c r="I4" s="767" t="s">
        <v>499</v>
      </c>
      <c r="J4" s="768"/>
      <c r="K4" s="769"/>
      <c r="L4" s="209"/>
      <c r="M4" s="770" t="s">
        <v>499</v>
      </c>
      <c r="N4" s="771"/>
      <c r="O4" s="771"/>
      <c r="P4" s="772"/>
      <c r="Q4" s="209"/>
      <c r="R4" s="773" t="s">
        <v>500</v>
      </c>
      <c r="S4" s="210"/>
      <c r="U4" s="203"/>
      <c r="V4" s="214"/>
      <c r="W4" s="215"/>
      <c r="X4" s="215" t="s">
        <v>501</v>
      </c>
      <c r="Y4" s="216"/>
      <c r="AI4" s="198" t="s">
        <v>480</v>
      </c>
      <c r="AJ4" s="199" t="s">
        <v>481</v>
      </c>
    </row>
    <row r="5" spans="7:36" ht="17.25" customHeight="1">
      <c r="G5" s="207"/>
      <c r="H5" s="678"/>
      <c r="I5" s="217" t="s">
        <v>502</v>
      </c>
      <c r="J5" s="218"/>
      <c r="K5" s="711" t="str">
        <f>O10&amp;" "&amp;P10</f>
        <v xml:space="preserve"> </v>
      </c>
      <c r="L5" s="209"/>
      <c r="M5" s="219" t="s">
        <v>503</v>
      </c>
      <c r="N5" s="220"/>
      <c r="O5" s="774"/>
      <c r="P5" s="775"/>
      <c r="Q5" s="209"/>
      <c r="R5" s="773"/>
      <c r="S5" s="210"/>
      <c r="U5" s="203"/>
      <c r="V5" s="221">
        <v>0.01</v>
      </c>
      <c r="W5" s="222"/>
      <c r="X5" s="223" t="s">
        <v>504</v>
      </c>
      <c r="Y5" s="224"/>
      <c r="AB5" s="24" t="s">
        <v>505</v>
      </c>
      <c r="AE5" s="24" t="s">
        <v>506</v>
      </c>
      <c r="AI5" s="198" t="s">
        <v>482</v>
      </c>
      <c r="AJ5" s="199" t="s">
        <v>483</v>
      </c>
    </row>
    <row r="6" spans="7:36" ht="14.5">
      <c r="G6" s="206"/>
      <c r="H6" s="678"/>
      <c r="I6" s="225" t="s">
        <v>79</v>
      </c>
      <c r="J6" s="226"/>
      <c r="K6" s="621"/>
      <c r="L6" s="209"/>
      <c r="M6" s="219" t="s">
        <v>507</v>
      </c>
      <c r="N6" s="220"/>
      <c r="O6" s="662"/>
      <c r="P6" s="663"/>
      <c r="Q6" s="209"/>
      <c r="R6" s="773"/>
      <c r="S6" s="210"/>
      <c r="U6" s="203"/>
      <c r="V6" s="227"/>
      <c r="W6" s="223"/>
      <c r="X6" s="223" t="s">
        <v>508</v>
      </c>
      <c r="Y6" s="224"/>
      <c r="AB6" s="24" t="s">
        <v>510</v>
      </c>
      <c r="AC6" s="24" t="s">
        <v>313</v>
      </c>
      <c r="AF6" s="24" t="s">
        <v>313</v>
      </c>
      <c r="AG6" s="24" t="s">
        <v>510</v>
      </c>
      <c r="AH6" s="24" t="s">
        <v>511</v>
      </c>
      <c r="AI6" s="198" t="s">
        <v>484</v>
      </c>
      <c r="AJ6" s="199" t="s">
        <v>485</v>
      </c>
    </row>
    <row r="7" spans="7:36" ht="15" thickBot="1">
      <c r="G7" s="207"/>
      <c r="H7" s="678"/>
      <c r="I7" s="225" t="s">
        <v>124</v>
      </c>
      <c r="J7" s="226"/>
      <c r="K7" s="228"/>
      <c r="L7" s="209"/>
      <c r="M7" s="219" t="s">
        <v>512</v>
      </c>
      <c r="N7" s="209"/>
      <c r="O7" s="776"/>
      <c r="P7" s="777"/>
      <c r="Q7" s="209"/>
      <c r="R7" s="773"/>
      <c r="S7" s="210"/>
      <c r="U7" s="203"/>
      <c r="V7" s="227"/>
      <c r="W7" s="223"/>
      <c r="X7" s="229" t="s">
        <v>513</v>
      </c>
      <c r="Y7" s="230" t="s">
        <v>514</v>
      </c>
      <c r="AI7" s="198" t="s">
        <v>486</v>
      </c>
      <c r="AJ7" s="199" t="s">
        <v>354</v>
      </c>
    </row>
    <row r="8" spans="7:36" ht="14.5">
      <c r="G8" s="207"/>
      <c r="H8" s="678"/>
      <c r="I8" s="225" t="s">
        <v>125</v>
      </c>
      <c r="J8" s="226"/>
      <c r="K8" s="228"/>
      <c r="L8" s="209"/>
      <c r="M8" s="219" t="s">
        <v>515</v>
      </c>
      <c r="N8" s="209"/>
      <c r="O8" s="776"/>
      <c r="P8" s="777"/>
      <c r="Q8" s="209"/>
      <c r="R8" s="209"/>
      <c r="S8" s="210"/>
      <c r="U8" s="203"/>
      <c r="V8" s="221">
        <v>0.02</v>
      </c>
      <c r="W8" s="222"/>
      <c r="X8" s="223" t="s">
        <v>516</v>
      </c>
      <c r="Y8" s="224"/>
      <c r="AB8" s="231" t="s">
        <v>517</v>
      </c>
      <c r="AC8" s="232">
        <v>2</v>
      </c>
      <c r="AF8" s="233">
        <v>1</v>
      </c>
      <c r="AG8" s="233" t="s">
        <v>518</v>
      </c>
      <c r="AH8" s="234">
        <v>11</v>
      </c>
      <c r="AI8" s="198" t="s">
        <v>487</v>
      </c>
      <c r="AJ8" s="199" t="s">
        <v>210</v>
      </c>
    </row>
    <row r="9" spans="7:36" ht="16.5" customHeight="1">
      <c r="G9" s="207"/>
      <c r="H9" s="678"/>
      <c r="I9" s="225" t="s">
        <v>127</v>
      </c>
      <c r="J9" s="226"/>
      <c r="K9" s="228"/>
      <c r="L9" s="209"/>
      <c r="M9" s="219"/>
      <c r="N9" s="220"/>
      <c r="O9" s="235" t="s">
        <v>502</v>
      </c>
      <c r="P9" s="236" t="s">
        <v>519</v>
      </c>
      <c r="Q9" s="209"/>
      <c r="R9" s="773" t="s">
        <v>1068</v>
      </c>
      <c r="S9" s="210"/>
      <c r="U9" s="203"/>
      <c r="V9" s="221">
        <v>0.03</v>
      </c>
      <c r="W9" s="222"/>
      <c r="X9" s="223" t="s">
        <v>520</v>
      </c>
      <c r="Y9" s="224"/>
      <c r="AB9" s="237" t="s">
        <v>521</v>
      </c>
      <c r="AC9" s="238">
        <v>31</v>
      </c>
      <c r="AF9" s="239">
        <v>2</v>
      </c>
      <c r="AG9" s="239" t="s">
        <v>517</v>
      </c>
      <c r="AH9" s="240">
        <v>1</v>
      </c>
      <c r="AI9" s="198" t="s">
        <v>488</v>
      </c>
      <c r="AJ9" s="199" t="s">
        <v>211</v>
      </c>
    </row>
    <row r="10" spans="7:36" ht="14.5">
      <c r="G10" s="207"/>
      <c r="H10" s="678"/>
      <c r="I10" s="225" t="s">
        <v>129</v>
      </c>
      <c r="J10" s="226"/>
      <c r="K10" s="228"/>
      <c r="L10" s="209"/>
      <c r="M10" s="219" t="s">
        <v>522</v>
      </c>
      <c r="N10" s="220"/>
      <c r="O10" s="241"/>
      <c r="P10" s="242"/>
      <c r="Q10" s="209"/>
      <c r="R10" s="773"/>
      <c r="S10" s="210"/>
      <c r="U10" s="203"/>
      <c r="V10" s="221">
        <v>0.04</v>
      </c>
      <c r="W10" s="222"/>
      <c r="X10" s="223" t="s">
        <v>524</v>
      </c>
      <c r="Y10" s="224"/>
      <c r="AB10" s="237" t="s">
        <v>525</v>
      </c>
      <c r="AC10" s="238">
        <v>34</v>
      </c>
      <c r="AF10" s="239">
        <v>3</v>
      </c>
      <c r="AG10" s="239" t="s">
        <v>526</v>
      </c>
      <c r="AH10" s="240">
        <v>2</v>
      </c>
      <c r="AI10" s="198" t="s">
        <v>489</v>
      </c>
      <c r="AJ10" s="199" t="s">
        <v>490</v>
      </c>
    </row>
    <row r="11" spans="7:36" ht="15" thickBot="1">
      <c r="G11" s="207"/>
      <c r="H11" s="677"/>
      <c r="I11" s="225" t="s">
        <v>130</v>
      </c>
      <c r="J11" s="226"/>
      <c r="K11" s="228"/>
      <c r="L11" s="209"/>
      <c r="M11" s="219" t="s">
        <v>1036</v>
      </c>
      <c r="N11" s="209"/>
      <c r="O11" s="778"/>
      <c r="P11" s="779"/>
      <c r="Q11" s="209"/>
      <c r="R11" s="773"/>
      <c r="U11" s="203"/>
      <c r="V11" s="221">
        <v>0.05</v>
      </c>
      <c r="W11" s="222"/>
      <c r="X11" s="223" t="s">
        <v>527</v>
      </c>
      <c r="Y11" s="224"/>
      <c r="AB11" s="237" t="s">
        <v>526</v>
      </c>
      <c r="AC11" s="238">
        <v>3</v>
      </c>
      <c r="AF11" s="239">
        <v>4</v>
      </c>
      <c r="AG11" s="239" t="s">
        <v>528</v>
      </c>
      <c r="AH11" s="240">
        <v>3</v>
      </c>
      <c r="AI11" s="198" t="s">
        <v>491</v>
      </c>
      <c r="AJ11" s="199" t="s">
        <v>215</v>
      </c>
    </row>
    <row r="12" spans="7:36" ht="14.5">
      <c r="G12" s="206"/>
      <c r="H12" s="677"/>
      <c r="I12" s="225" t="s">
        <v>82</v>
      </c>
      <c r="J12" s="226"/>
      <c r="K12" s="228"/>
      <c r="L12" s="209"/>
      <c r="M12" s="770" t="s">
        <v>1039</v>
      </c>
      <c r="N12" s="771"/>
      <c r="O12" s="771"/>
      <c r="P12" s="772"/>
      <c r="Q12" s="209"/>
      <c r="R12" s="773"/>
      <c r="U12" s="203"/>
      <c r="V12" s="227"/>
      <c r="W12" s="223"/>
      <c r="X12" s="223" t="s">
        <v>529</v>
      </c>
      <c r="Y12" s="243"/>
      <c r="AB12" s="237" t="s">
        <v>531</v>
      </c>
      <c r="AC12" s="238"/>
      <c r="AF12" s="239">
        <v>5</v>
      </c>
      <c r="AG12" s="239" t="s">
        <v>532</v>
      </c>
      <c r="AH12" s="240">
        <v>3</v>
      </c>
      <c r="AI12" s="198" t="s">
        <v>492</v>
      </c>
      <c r="AJ12" s="199" t="s">
        <v>493</v>
      </c>
    </row>
    <row r="13" spans="7:36" ht="15" thickBot="1">
      <c r="G13" s="207"/>
      <c r="H13" s="677"/>
      <c r="I13" s="225" t="s">
        <v>80</v>
      </c>
      <c r="J13" s="226"/>
      <c r="K13" s="228"/>
      <c r="L13" s="209"/>
      <c r="M13" s="712" t="s">
        <v>509</v>
      </c>
      <c r="N13" s="713" t="s">
        <v>1037</v>
      </c>
      <c r="O13" s="713" t="s">
        <v>1038</v>
      </c>
      <c r="P13" s="714" t="s">
        <v>619</v>
      </c>
      <c r="Q13" s="209"/>
      <c r="R13" s="773"/>
      <c r="U13" s="203"/>
      <c r="V13" s="221">
        <v>0.06</v>
      </c>
      <c r="W13" s="222"/>
      <c r="X13" s="223" t="s">
        <v>533</v>
      </c>
      <c r="Y13" s="243"/>
      <c r="AB13" s="237" t="s">
        <v>534</v>
      </c>
      <c r="AC13" s="238"/>
      <c r="AF13" s="239">
        <v>6</v>
      </c>
      <c r="AG13" s="239" t="s">
        <v>535</v>
      </c>
      <c r="AH13" s="240">
        <v>4</v>
      </c>
      <c r="AI13" s="200" t="s">
        <v>494</v>
      </c>
      <c r="AJ13" s="201"/>
    </row>
    <row r="14" spans="7:36" ht="15" thickBot="1">
      <c r="G14" s="207"/>
      <c r="H14" s="677"/>
      <c r="I14" s="225" t="s">
        <v>81</v>
      </c>
      <c r="J14" s="226"/>
      <c r="K14" s="228"/>
      <c r="L14" s="209"/>
      <c r="M14" s="729">
        <f>K15</f>
        <v>0</v>
      </c>
      <c r="N14" s="618">
        <v>0</v>
      </c>
      <c r="O14" s="730">
        <f>L105</f>
        <v>0</v>
      </c>
      <c r="P14" s="715">
        <f>SUM(N14:O14)</f>
        <v>0</v>
      </c>
      <c r="Q14" s="209"/>
      <c r="R14" s="244"/>
      <c r="U14" s="203"/>
      <c r="V14" s="221">
        <v>0.06</v>
      </c>
      <c r="W14" s="222"/>
      <c r="X14" s="223" t="s">
        <v>536</v>
      </c>
      <c r="Y14" s="245">
        <v>0</v>
      </c>
      <c r="AB14" s="237" t="s">
        <v>537</v>
      </c>
      <c r="AC14" s="238"/>
      <c r="AF14" s="239">
        <v>7</v>
      </c>
      <c r="AG14" s="239" t="s">
        <v>538</v>
      </c>
      <c r="AH14" s="239">
        <v>3</v>
      </c>
    </row>
    <row r="15" spans="7:36" ht="16.5" customHeight="1">
      <c r="G15" s="207"/>
      <c r="H15" s="677"/>
      <c r="I15" s="225" t="s">
        <v>213</v>
      </c>
      <c r="J15" s="226"/>
      <c r="K15" s="228"/>
      <c r="L15" s="209"/>
      <c r="M15" s="770" t="s">
        <v>1040</v>
      </c>
      <c r="N15" s="771"/>
      <c r="O15" s="771"/>
      <c r="P15" s="772"/>
      <c r="Q15" s="209"/>
      <c r="R15" s="773" t="s">
        <v>539</v>
      </c>
      <c r="U15" s="203"/>
      <c r="V15" s="221">
        <v>7.0000000000000007E-2</v>
      </c>
      <c r="W15" s="222"/>
      <c r="X15" s="223" t="s">
        <v>540</v>
      </c>
      <c r="Y15" s="224"/>
      <c r="AB15" s="237" t="s">
        <v>541</v>
      </c>
      <c r="AC15" s="238"/>
      <c r="AF15" s="239">
        <v>8</v>
      </c>
      <c r="AG15" s="239" t="s">
        <v>542</v>
      </c>
      <c r="AH15" s="239">
        <v>3</v>
      </c>
    </row>
    <row r="16" spans="7:36" ht="14.5">
      <c r="G16" s="207"/>
      <c r="H16" s="677"/>
      <c r="I16" s="225" t="s">
        <v>131</v>
      </c>
      <c r="J16" s="226"/>
      <c r="K16" s="228"/>
      <c r="L16" s="203"/>
      <c r="M16" s="712" t="s">
        <v>509</v>
      </c>
      <c r="N16" s="713" t="s">
        <v>1037</v>
      </c>
      <c r="O16" s="713" t="s">
        <v>1038</v>
      </c>
      <c r="P16" s="714" t="s">
        <v>619</v>
      </c>
      <c r="Q16" s="209"/>
      <c r="R16" s="773"/>
      <c r="U16" s="203"/>
      <c r="V16" s="221">
        <v>0.08</v>
      </c>
      <c r="W16" s="222"/>
      <c r="X16" s="223" t="s">
        <v>543</v>
      </c>
      <c r="Y16" s="246"/>
      <c r="AB16" s="237" t="s">
        <v>532</v>
      </c>
      <c r="AC16" s="238">
        <v>5</v>
      </c>
      <c r="AF16" s="239">
        <v>9</v>
      </c>
      <c r="AG16" s="239" t="s">
        <v>544</v>
      </c>
      <c r="AH16" s="239">
        <v>4</v>
      </c>
    </row>
    <row r="17" spans="7:34" ht="14.5">
      <c r="G17" s="207"/>
      <c r="H17" s="677"/>
      <c r="I17" s="225" t="s">
        <v>284</v>
      </c>
      <c r="J17" s="226"/>
      <c r="K17" s="228"/>
      <c r="L17" s="203"/>
      <c r="M17" s="617"/>
      <c r="N17" s="618">
        <v>0</v>
      </c>
      <c r="O17" s="618">
        <v>0</v>
      </c>
      <c r="P17" s="715">
        <f t="shared" ref="P17:P18" si="0">SUM(N17:O17)</f>
        <v>0</v>
      </c>
      <c r="Q17" s="203"/>
      <c r="R17" s="773"/>
      <c r="U17" s="203"/>
      <c r="V17" s="221">
        <v>0.09</v>
      </c>
      <c r="W17" s="222"/>
      <c r="X17" s="223" t="s">
        <v>545</v>
      </c>
      <c r="Y17" s="224"/>
      <c r="AB17" s="237" t="s">
        <v>546</v>
      </c>
      <c r="AC17" s="238"/>
      <c r="AF17" s="239">
        <v>10</v>
      </c>
      <c r="AG17" s="239" t="s">
        <v>547</v>
      </c>
      <c r="AH17" s="239">
        <v>4</v>
      </c>
    </row>
    <row r="18" spans="7:34" ht="14.5">
      <c r="G18" s="207"/>
      <c r="H18" s="677"/>
      <c r="I18" s="225" t="s">
        <v>548</v>
      </c>
      <c r="J18" s="226"/>
      <c r="K18" s="228"/>
      <c r="L18" s="203"/>
      <c r="M18" s="617"/>
      <c r="N18" s="618">
        <v>0</v>
      </c>
      <c r="O18" s="618">
        <v>0</v>
      </c>
      <c r="P18" s="715">
        <f t="shared" si="0"/>
        <v>0</v>
      </c>
      <c r="Q18" s="203"/>
      <c r="R18" s="773"/>
      <c r="U18" s="203"/>
      <c r="V18" s="221">
        <v>0.1</v>
      </c>
      <c r="W18" s="222"/>
      <c r="X18" s="223" t="s">
        <v>549</v>
      </c>
      <c r="Y18" s="224"/>
      <c r="AB18" s="237" t="s">
        <v>550</v>
      </c>
      <c r="AC18" s="238"/>
      <c r="AF18" s="239">
        <v>11</v>
      </c>
      <c r="AG18" s="239" t="s">
        <v>551</v>
      </c>
      <c r="AH18" s="239">
        <v>3</v>
      </c>
    </row>
    <row r="19" spans="7:34" ht="14.5">
      <c r="G19" s="207"/>
      <c r="H19" s="677"/>
      <c r="I19" s="225" t="s">
        <v>1052</v>
      </c>
      <c r="J19" s="226"/>
      <c r="K19" s="228"/>
      <c r="L19" s="203"/>
      <c r="M19" s="617"/>
      <c r="N19" s="618">
        <v>0</v>
      </c>
      <c r="O19" s="618">
        <v>0</v>
      </c>
      <c r="P19" s="715">
        <f t="shared" ref="P19:P20" si="1">SUM(N19:O19)</f>
        <v>0</v>
      </c>
      <c r="Q19" s="203"/>
      <c r="R19" s="773"/>
      <c r="U19" s="203"/>
      <c r="V19" s="221">
        <v>0.11</v>
      </c>
      <c r="W19" s="222"/>
      <c r="X19" s="223" t="s">
        <v>552</v>
      </c>
      <c r="Y19" s="224"/>
      <c r="AB19" s="237" t="s">
        <v>538</v>
      </c>
      <c r="AC19" s="238">
        <v>7</v>
      </c>
      <c r="AF19" s="239">
        <v>12</v>
      </c>
      <c r="AG19" s="239" t="s">
        <v>553</v>
      </c>
      <c r="AH19" s="239">
        <v>4</v>
      </c>
    </row>
    <row r="20" spans="7:34" ht="14.5">
      <c r="G20" s="207"/>
      <c r="H20" s="677"/>
      <c r="I20" s="225" t="s">
        <v>1055</v>
      </c>
      <c r="J20" s="226"/>
      <c r="K20" s="228"/>
      <c r="L20" s="203"/>
      <c r="M20" s="617"/>
      <c r="N20" s="618">
        <v>0</v>
      </c>
      <c r="O20" s="618">
        <v>0</v>
      </c>
      <c r="P20" s="715">
        <f t="shared" si="1"/>
        <v>0</v>
      </c>
      <c r="Q20" s="203"/>
      <c r="R20" s="723"/>
      <c r="U20" s="203"/>
      <c r="V20" s="221"/>
      <c r="W20" s="222"/>
      <c r="X20" s="223"/>
      <c r="Y20" s="224"/>
      <c r="AB20" s="237"/>
      <c r="AC20" s="238"/>
      <c r="AF20" s="239"/>
      <c r="AG20" s="239"/>
      <c r="AH20" s="239"/>
    </row>
    <row r="21" spans="7:34" ht="15" thickBot="1">
      <c r="G21" s="207"/>
      <c r="H21" s="677"/>
      <c r="I21" s="247" t="s">
        <v>1054</v>
      </c>
      <c r="J21" s="248"/>
      <c r="K21" s="249"/>
      <c r="L21" s="203"/>
      <c r="M21" s="716" t="s">
        <v>619</v>
      </c>
      <c r="N21" s="717">
        <f>SUM(N17:N20,N14)</f>
        <v>0</v>
      </c>
      <c r="O21" s="717">
        <f>SUM(O17:O20,O14)</f>
        <v>0</v>
      </c>
      <c r="P21" s="718">
        <f>SUM(P17:P20,P14)</f>
        <v>0</v>
      </c>
      <c r="Q21" s="203"/>
      <c r="R21" s="723"/>
      <c r="U21" s="203"/>
      <c r="V21" s="221"/>
      <c r="W21" s="222"/>
      <c r="X21" s="223"/>
      <c r="Y21" s="224"/>
      <c r="AB21" s="237"/>
      <c r="AC21" s="238"/>
      <c r="AF21" s="239"/>
      <c r="AG21" s="239"/>
      <c r="AH21" s="239"/>
    </row>
    <row r="22" spans="7:34" ht="15" thickBot="1">
      <c r="G22" s="207"/>
      <c r="H22" s="677"/>
      <c r="I22" s="622"/>
      <c r="J22" s="622"/>
      <c r="K22" s="719"/>
      <c r="L22" s="203"/>
      <c r="M22" s="720"/>
      <c r="N22" s="721"/>
      <c r="O22" s="721"/>
      <c r="P22" s="721"/>
      <c r="Q22" s="203"/>
      <c r="R22" s="723"/>
      <c r="U22" s="203"/>
      <c r="V22" s="221"/>
      <c r="W22" s="222"/>
      <c r="X22" s="223"/>
      <c r="Y22" s="224"/>
      <c r="AB22" s="237"/>
      <c r="AC22" s="238"/>
      <c r="AF22" s="239"/>
      <c r="AG22" s="239"/>
      <c r="AH22" s="239"/>
    </row>
    <row r="23" spans="7:34" ht="15" thickBot="1">
      <c r="G23" s="207"/>
      <c r="H23" s="677"/>
      <c r="I23" s="204"/>
      <c r="J23" s="204"/>
      <c r="L23" s="250" t="s">
        <v>495</v>
      </c>
      <c r="M23" s="203"/>
      <c r="N23" s="203"/>
      <c r="O23" s="203"/>
      <c r="P23" s="203"/>
      <c r="Q23" s="203"/>
      <c r="R23" s="203"/>
      <c r="T23" s="251">
        <v>5.33</v>
      </c>
      <c r="U23" s="203"/>
      <c r="V23" s="221">
        <v>0.12</v>
      </c>
      <c r="W23" s="222"/>
      <c r="X23" s="223" t="s">
        <v>554</v>
      </c>
      <c r="Y23" s="224"/>
      <c r="AB23" s="237" t="s">
        <v>555</v>
      </c>
      <c r="AC23" s="238"/>
      <c r="AF23" s="239">
        <v>13</v>
      </c>
      <c r="AG23" s="239" t="s">
        <v>556</v>
      </c>
      <c r="AH23" s="239">
        <v>5</v>
      </c>
    </row>
    <row r="24" spans="7:34" ht="15" thickBot="1">
      <c r="G24" s="207"/>
      <c r="H24" s="677"/>
      <c r="I24" s="214" t="s">
        <v>557</v>
      </c>
      <c r="J24" s="215"/>
      <c r="K24" s="252"/>
      <c r="L24" s="722">
        <f>K17</f>
        <v>0</v>
      </c>
      <c r="M24" s="768" t="s">
        <v>1056</v>
      </c>
      <c r="N24" s="768"/>
      <c r="O24" s="768"/>
      <c r="P24" s="768"/>
      <c r="Q24" s="768"/>
      <c r="R24" s="769"/>
      <c r="T24" s="253" t="s">
        <v>494</v>
      </c>
      <c r="U24" s="203"/>
      <c r="V24" s="221">
        <v>0.13</v>
      </c>
      <c r="W24" s="222"/>
      <c r="X24" s="223" t="s">
        <v>558</v>
      </c>
      <c r="Y24" s="224"/>
      <c r="AB24" s="237" t="s">
        <v>528</v>
      </c>
      <c r="AC24" s="238">
        <v>4</v>
      </c>
      <c r="AF24" s="254">
        <v>14</v>
      </c>
      <c r="AG24" s="254" t="s">
        <v>559</v>
      </c>
      <c r="AH24" s="254">
        <v>6</v>
      </c>
    </row>
    <row r="25" spans="7:34" s="263" customFormat="1" ht="61.5" customHeight="1" thickBot="1">
      <c r="G25" s="255"/>
      <c r="H25" s="679"/>
      <c r="I25" s="257" t="s">
        <v>1</v>
      </c>
      <c r="J25" s="258"/>
      <c r="K25" s="259"/>
      <c r="L25" s="260" t="s">
        <v>560</v>
      </c>
      <c r="M25" s="261"/>
      <c r="N25" s="261" t="s">
        <v>561</v>
      </c>
      <c r="O25" s="261" t="s">
        <v>562</v>
      </c>
      <c r="P25" s="261" t="s">
        <v>1057</v>
      </c>
      <c r="Q25" s="261" t="s">
        <v>563</v>
      </c>
      <c r="R25" s="262" t="s">
        <v>564</v>
      </c>
      <c r="T25" s="264" t="s">
        <v>565</v>
      </c>
      <c r="U25" s="256"/>
      <c r="V25" s="265"/>
      <c r="W25" s="266"/>
      <c r="X25" s="266" t="s">
        <v>566</v>
      </c>
      <c r="Y25" s="267"/>
      <c r="AB25" s="268" t="s">
        <v>542</v>
      </c>
      <c r="AC25" s="269">
        <v>8</v>
      </c>
      <c r="AF25" s="270">
        <v>21</v>
      </c>
      <c r="AG25" s="270" t="s">
        <v>567</v>
      </c>
      <c r="AH25" s="270">
        <v>8</v>
      </c>
    </row>
    <row r="26" spans="7:34" ht="14.5">
      <c r="G26" s="206"/>
      <c r="H26" s="677"/>
      <c r="I26" s="20" t="s">
        <v>25</v>
      </c>
      <c r="J26" s="20"/>
      <c r="K26" s="271"/>
      <c r="L26" s="272"/>
      <c r="M26" s="101" t="s">
        <v>568</v>
      </c>
      <c r="N26" s="101"/>
      <c r="O26" s="101"/>
      <c r="P26" s="101"/>
      <c r="Q26" s="101"/>
      <c r="R26" s="273"/>
      <c r="T26" s="274"/>
      <c r="U26" s="203"/>
      <c r="V26" s="221">
        <v>0.14000000000000001</v>
      </c>
      <c r="W26" s="222"/>
      <c r="X26" s="266" t="s">
        <v>569</v>
      </c>
      <c r="Y26" s="243"/>
      <c r="AB26" s="237" t="s">
        <v>570</v>
      </c>
      <c r="AC26" s="238"/>
      <c r="AF26" s="254">
        <v>22</v>
      </c>
      <c r="AG26" s="254" t="s">
        <v>571</v>
      </c>
      <c r="AH26" s="254">
        <v>6</v>
      </c>
    </row>
    <row r="27" spans="7:34" ht="15" customHeight="1">
      <c r="G27" s="207"/>
      <c r="H27" s="727"/>
      <c r="I27" s="14" t="s">
        <v>1069</v>
      </c>
      <c r="J27" s="275"/>
      <c r="K27" s="37" t="s">
        <v>18</v>
      </c>
      <c r="L27" s="276"/>
      <c r="M27" s="277"/>
      <c r="N27" s="624">
        <f>SUMIF('Change Control Summary'!$Q$25:$Q$39,'GMP COST DATA'!$I27,'Change Control Summary'!U$25:U$39)</f>
        <v>0</v>
      </c>
      <c r="O27" s="625">
        <f>N27+L27</f>
        <v>0</v>
      </c>
      <c r="P27" s="624">
        <f>SUMIF('Change Control Summary'!$Q$25:$Q$39,'GMP COST DATA'!I$27,'Change Control Summary'!V$25:V$39)</f>
        <v>0</v>
      </c>
      <c r="Q27" s="625">
        <f>P27+O27</f>
        <v>0</v>
      </c>
      <c r="R27" s="278"/>
      <c r="T27" s="279">
        <f>L27/$T$23</f>
        <v>0</v>
      </c>
      <c r="U27" s="203"/>
      <c r="V27" s="221">
        <v>0.14000000000000001</v>
      </c>
      <c r="W27" s="222"/>
      <c r="X27" s="223" t="s">
        <v>572</v>
      </c>
      <c r="Y27" s="243"/>
      <c r="AB27" s="237" t="s">
        <v>551</v>
      </c>
      <c r="AC27" s="238">
        <v>11</v>
      </c>
      <c r="AF27" s="254">
        <v>23</v>
      </c>
      <c r="AG27" s="254" t="s">
        <v>573</v>
      </c>
      <c r="AH27" s="254">
        <v>6</v>
      </c>
    </row>
    <row r="28" spans="7:34" ht="15" customHeight="1">
      <c r="G28" s="207"/>
      <c r="H28" s="727"/>
      <c r="I28" s="14" t="s">
        <v>1070</v>
      </c>
      <c r="J28" s="275"/>
      <c r="K28" s="37" t="s">
        <v>17</v>
      </c>
      <c r="L28" s="276"/>
      <c r="M28" s="277"/>
      <c r="N28" s="624">
        <f>SUMIF('Change Control Summary'!$Q$25:$Q$39,'GMP COST DATA'!$I28,'Change Control Summary'!U$25:U$39)</f>
        <v>0</v>
      </c>
      <c r="O28" s="625">
        <f t="shared" ref="O28:O30" si="2">N28+L28</f>
        <v>0</v>
      </c>
      <c r="P28" s="624">
        <f>SUMIF('Change Control Summary'!$Q$25:$Q$39,'GMP COST DATA'!I$28,'Change Control Summary'!V$25:V$39)</f>
        <v>0</v>
      </c>
      <c r="Q28" s="625">
        <f t="shared" ref="Q28:Q29" si="3">P28+O28</f>
        <v>0</v>
      </c>
      <c r="R28" s="278"/>
      <c r="T28" s="279">
        <f t="shared" ref="T28:T30" si="4">L28/$T$23</f>
        <v>0</v>
      </c>
      <c r="U28" s="203"/>
      <c r="V28" s="221">
        <v>0.15</v>
      </c>
      <c r="W28" s="222"/>
      <c r="X28" s="223" t="s">
        <v>574</v>
      </c>
      <c r="Y28" s="280"/>
      <c r="AB28" s="237" t="s">
        <v>575</v>
      </c>
      <c r="AC28" s="238"/>
      <c r="AF28" s="239">
        <v>26</v>
      </c>
      <c r="AG28" s="239" t="s">
        <v>576</v>
      </c>
      <c r="AH28" s="239">
        <v>7</v>
      </c>
    </row>
    <row r="29" spans="7:34" ht="15" customHeight="1">
      <c r="G29" s="207"/>
      <c r="H29" s="727"/>
      <c r="I29" s="14" t="s">
        <v>1071</v>
      </c>
      <c r="J29" s="275"/>
      <c r="K29" s="37" t="s">
        <v>16</v>
      </c>
      <c r="L29" s="276"/>
      <c r="M29" s="277"/>
      <c r="N29" s="624">
        <f>SUMIF('Change Control Summary'!$Q$25:$Q$39,'GMP COST DATA'!$I29,'Change Control Summary'!U$25:U$39)</f>
        <v>0</v>
      </c>
      <c r="O29" s="625">
        <f t="shared" si="2"/>
        <v>0</v>
      </c>
      <c r="P29" s="624">
        <f>SUMIF('Change Control Summary'!$Q$25:$Q$39,'GMP COST DATA'!I$29,'Change Control Summary'!V$25:V$39)</f>
        <v>0</v>
      </c>
      <c r="Q29" s="625">
        <f t="shared" si="3"/>
        <v>0</v>
      </c>
      <c r="R29" s="278"/>
      <c r="T29" s="279">
        <f t="shared" si="4"/>
        <v>0</v>
      </c>
      <c r="U29" s="203"/>
      <c r="V29" s="221">
        <v>0.16</v>
      </c>
      <c r="W29" s="222"/>
      <c r="X29" s="223" t="s">
        <v>577</v>
      </c>
      <c r="Y29" s="280"/>
      <c r="AB29" s="237" t="s">
        <v>553</v>
      </c>
      <c r="AC29" s="238">
        <v>12</v>
      </c>
      <c r="AF29" s="239" t="s">
        <v>1087</v>
      </c>
      <c r="AG29" s="239" t="s">
        <v>578</v>
      </c>
      <c r="AH29" s="239">
        <v>7</v>
      </c>
    </row>
    <row r="30" spans="7:34" ht="15" customHeight="1" thickBot="1">
      <c r="G30" s="207"/>
      <c r="H30" s="727"/>
      <c r="I30" s="14" t="s">
        <v>1072</v>
      </c>
      <c r="J30" s="275"/>
      <c r="K30" s="37" t="s">
        <v>58</v>
      </c>
      <c r="L30" s="276"/>
      <c r="M30" s="281"/>
      <c r="N30" s="624">
        <f>SUMIF('Change Control Summary'!$Q$25:$Q$39,'GMP COST DATA'!$I30,'Change Control Summary'!U$25:U$39)</f>
        <v>0</v>
      </c>
      <c r="O30" s="625">
        <f t="shared" si="2"/>
        <v>0</v>
      </c>
      <c r="P30" s="624">
        <f>SUMIF('Change Control Summary'!$Q$25:$Q$39,'GMP COST DATA'!I$30,'Change Control Summary'!V$25:V$39)</f>
        <v>0</v>
      </c>
      <c r="Q30" s="625">
        <f>P30+O30</f>
        <v>0</v>
      </c>
      <c r="R30" s="282"/>
      <c r="T30" s="279">
        <f t="shared" si="4"/>
        <v>0</v>
      </c>
      <c r="U30" s="203"/>
      <c r="V30" s="221">
        <v>0.17</v>
      </c>
      <c r="W30" s="222"/>
      <c r="X30" s="223" t="s">
        <v>579</v>
      </c>
      <c r="Y30" s="280"/>
      <c r="AB30" s="237" t="s">
        <v>547</v>
      </c>
      <c r="AC30" s="238">
        <v>10</v>
      </c>
      <c r="AF30" s="239">
        <v>31</v>
      </c>
      <c r="AG30" s="239" t="s">
        <v>521</v>
      </c>
      <c r="AH30" s="239">
        <v>1</v>
      </c>
    </row>
    <row r="31" spans="7:34" ht="15" customHeight="1" thickBot="1">
      <c r="G31" s="207"/>
      <c r="H31" s="727"/>
      <c r="I31" s="25" t="s">
        <v>29</v>
      </c>
      <c r="J31" s="283"/>
      <c r="K31" s="136"/>
      <c r="L31" s="632">
        <f>SUM(L27:L30)</f>
        <v>0</v>
      </c>
      <c r="M31" s="284"/>
      <c r="N31" s="632">
        <f>SUM(N27:N30)</f>
        <v>0</v>
      </c>
      <c r="O31" s="632">
        <f t="shared" ref="O31:Q31" si="5">SUM(O27:O30)</f>
        <v>0</v>
      </c>
      <c r="P31" s="632">
        <f t="shared" si="5"/>
        <v>0</v>
      </c>
      <c r="Q31" s="632">
        <f t="shared" si="5"/>
        <v>0</v>
      </c>
      <c r="R31" s="135"/>
      <c r="T31" s="285">
        <f>SUM(T27:T30)</f>
        <v>0</v>
      </c>
      <c r="U31" s="203"/>
      <c r="V31" s="221">
        <v>0.18</v>
      </c>
      <c r="W31" s="222"/>
      <c r="X31" s="223" t="s">
        <v>580</v>
      </c>
      <c r="Y31" s="280"/>
      <c r="AB31" s="237" t="s">
        <v>544</v>
      </c>
      <c r="AC31" s="238">
        <v>9</v>
      </c>
      <c r="AF31" s="239">
        <v>32</v>
      </c>
      <c r="AG31" s="239" t="s">
        <v>581</v>
      </c>
      <c r="AH31" s="239">
        <v>10</v>
      </c>
    </row>
    <row r="32" spans="7:34" ht="8.25" customHeight="1" thickBot="1">
      <c r="G32" s="207"/>
      <c r="H32" s="727"/>
      <c r="I32" s="286"/>
      <c r="J32" s="287"/>
      <c r="K32" s="288"/>
      <c r="L32" s="163"/>
      <c r="M32" s="163"/>
      <c r="N32" s="163"/>
      <c r="O32" s="163"/>
      <c r="P32" s="163"/>
      <c r="Q32" s="163"/>
      <c r="R32" s="289"/>
      <c r="T32" s="290"/>
      <c r="U32" s="203"/>
      <c r="V32" s="221">
        <v>0.19</v>
      </c>
      <c r="W32" s="222"/>
      <c r="X32" s="223" t="s">
        <v>582</v>
      </c>
      <c r="Y32" s="280"/>
      <c r="AB32" s="237" t="s">
        <v>535</v>
      </c>
      <c r="AC32" s="238">
        <v>6</v>
      </c>
      <c r="AF32" s="239">
        <v>33</v>
      </c>
      <c r="AG32" s="239" t="s">
        <v>583</v>
      </c>
      <c r="AH32" s="239">
        <v>7</v>
      </c>
    </row>
    <row r="33" spans="7:34" ht="15" customHeight="1">
      <c r="G33" s="207"/>
      <c r="H33" s="727"/>
      <c r="I33" s="26" t="s">
        <v>24</v>
      </c>
      <c r="J33" s="291"/>
      <c r="K33" s="27"/>
      <c r="L33" s="292"/>
      <c r="M33" s="292"/>
      <c r="N33" s="292"/>
      <c r="O33" s="292"/>
      <c r="P33" s="292"/>
      <c r="Q33" s="292"/>
      <c r="R33" s="293"/>
      <c r="T33" s="294"/>
      <c r="U33" s="203"/>
      <c r="V33" s="221">
        <v>0.2</v>
      </c>
      <c r="W33" s="222"/>
      <c r="X33" s="223" t="s">
        <v>584</v>
      </c>
      <c r="Y33" s="280"/>
      <c r="AB33" s="237" t="s">
        <v>585</v>
      </c>
      <c r="AC33" s="238"/>
      <c r="AF33" s="239">
        <v>34</v>
      </c>
      <c r="AG33" s="239" t="s">
        <v>525</v>
      </c>
      <c r="AH33" s="239">
        <v>1</v>
      </c>
    </row>
    <row r="34" spans="7:34" ht="15" customHeight="1">
      <c r="G34" s="207"/>
      <c r="H34" s="727"/>
      <c r="I34" s="194" t="s">
        <v>28</v>
      </c>
      <c r="J34" s="295"/>
      <c r="K34" s="195"/>
      <c r="L34" s="635">
        <f>SUM(L35:L48)</f>
        <v>0</v>
      </c>
      <c r="M34" s="296" t="s">
        <v>568</v>
      </c>
      <c r="N34" s="635">
        <f>SUM(N35:N48)</f>
        <v>0</v>
      </c>
      <c r="O34" s="635">
        <f>SUM(O35:O48)</f>
        <v>0</v>
      </c>
      <c r="P34" s="635">
        <f>SUM(P35:P48)</f>
        <v>0</v>
      </c>
      <c r="Q34" s="635">
        <f>SUM(Q35:Q48)</f>
        <v>0</v>
      </c>
      <c r="R34" s="297"/>
      <c r="T34" s="298" t="s">
        <v>37</v>
      </c>
      <c r="U34" s="203"/>
      <c r="V34" s="221">
        <v>0.21</v>
      </c>
      <c r="W34" s="222"/>
      <c r="X34" s="223" t="s">
        <v>586</v>
      </c>
      <c r="Y34" s="280"/>
      <c r="AB34" s="237" t="s">
        <v>587</v>
      </c>
      <c r="AC34" s="238"/>
      <c r="AF34" s="239" t="s">
        <v>1089</v>
      </c>
      <c r="AG34" s="254" t="s">
        <v>588</v>
      </c>
      <c r="AH34" s="254">
        <v>11</v>
      </c>
    </row>
    <row r="35" spans="7:34" ht="15" customHeight="1">
      <c r="G35" s="207"/>
      <c r="H35" s="727"/>
      <c r="I35" s="14" t="s">
        <v>1073</v>
      </c>
      <c r="J35" s="275" t="s">
        <v>589</v>
      </c>
      <c r="K35" s="37" t="s">
        <v>46</v>
      </c>
      <c r="L35" s="276"/>
      <c r="M35" s="277"/>
      <c r="N35" s="624">
        <f>SUMIF('Change Control Summary'!$Q$25:$Q$39,'GMP COST DATA'!$I35,'Change Control Summary'!U$25:U$39)</f>
        <v>0</v>
      </c>
      <c r="O35" s="625">
        <f>N35+L35</f>
        <v>0</v>
      </c>
      <c r="P35" s="624">
        <f>SUMIF('Change Control Summary'!$Q$25:$Q$39,'GMP COST DATA'!$I35,'Change Control Summary'!V$25:V$39)</f>
        <v>0</v>
      </c>
      <c r="Q35" s="625">
        <f>P35+O35</f>
        <v>0</v>
      </c>
      <c r="R35" s="278"/>
      <c r="T35" s="279">
        <f>L35/$T$23</f>
        <v>0</v>
      </c>
      <c r="U35" s="203"/>
      <c r="V35" s="221">
        <v>0.22</v>
      </c>
      <c r="W35" s="222"/>
      <c r="X35" s="223" t="s">
        <v>590</v>
      </c>
      <c r="Y35" s="280"/>
      <c r="AB35" s="237" t="s">
        <v>591</v>
      </c>
      <c r="AC35" s="238"/>
      <c r="AF35" s="239" t="s">
        <v>1073</v>
      </c>
      <c r="AG35" s="239" t="s">
        <v>589</v>
      </c>
      <c r="AH35" s="239">
        <v>12</v>
      </c>
    </row>
    <row r="36" spans="7:34" ht="15" customHeight="1" thickBot="1">
      <c r="G36" s="207"/>
      <c r="H36" s="727"/>
      <c r="I36" s="14" t="s">
        <v>1074</v>
      </c>
      <c r="J36" s="275" t="s">
        <v>589</v>
      </c>
      <c r="K36" s="37" t="s">
        <v>47</v>
      </c>
      <c r="L36" s="276"/>
      <c r="M36" s="277"/>
      <c r="N36" s="624">
        <f>SUMIF('Change Control Summary'!$Q$25:$Q$39,'GMP COST DATA'!$I36,'Change Control Summary'!U$25:U$39)</f>
        <v>0</v>
      </c>
      <c r="O36" s="625">
        <f t="shared" ref="O36:O48" si="6">N36+L36</f>
        <v>0</v>
      </c>
      <c r="P36" s="624">
        <f>SUMIF('Change Control Summary'!$Q$25:$Q$39,'GMP COST DATA'!$I36,'Change Control Summary'!V$25:V$39)</f>
        <v>0</v>
      </c>
      <c r="Q36" s="625">
        <f t="shared" ref="Q36:Q77" si="7">P36+O36</f>
        <v>0</v>
      </c>
      <c r="R36" s="278"/>
      <c r="T36" s="279">
        <f t="shared" ref="T36:T48" si="8">L36/$T$23</f>
        <v>0</v>
      </c>
      <c r="U36" s="203"/>
      <c r="V36" s="299">
        <v>0.23</v>
      </c>
      <c r="W36" s="300"/>
      <c r="X36" s="301" t="s">
        <v>592</v>
      </c>
      <c r="Y36" s="302"/>
      <c r="AB36" s="237" t="s">
        <v>593</v>
      </c>
      <c r="AC36" s="238"/>
      <c r="AF36" s="239" t="s">
        <v>1074</v>
      </c>
      <c r="AG36" s="239" t="s">
        <v>589</v>
      </c>
      <c r="AH36" s="239">
        <v>12</v>
      </c>
    </row>
    <row r="37" spans="7:34" ht="15" customHeight="1">
      <c r="G37" s="207"/>
      <c r="H37" s="727"/>
      <c r="I37" s="14" t="s">
        <v>1075</v>
      </c>
      <c r="J37" s="275" t="s">
        <v>589</v>
      </c>
      <c r="K37" s="37" t="s">
        <v>48</v>
      </c>
      <c r="L37" s="276"/>
      <c r="M37" s="277"/>
      <c r="N37" s="624">
        <f>SUMIF('Change Control Summary'!$Q$25:$Q$39,'GMP COST DATA'!$I37,'Change Control Summary'!U$25:U$39)</f>
        <v>0</v>
      </c>
      <c r="O37" s="625">
        <f t="shared" si="6"/>
        <v>0</v>
      </c>
      <c r="P37" s="624">
        <f>SUMIF('Change Control Summary'!$Q$25:$Q$39,'GMP COST DATA'!$I37,'Change Control Summary'!V$25:V$39)</f>
        <v>0</v>
      </c>
      <c r="Q37" s="625">
        <f t="shared" si="7"/>
        <v>0</v>
      </c>
      <c r="R37" s="278"/>
      <c r="T37" s="279">
        <f t="shared" si="8"/>
        <v>0</v>
      </c>
      <c r="U37" s="203"/>
      <c r="V37" s="303"/>
      <c r="W37" s="304"/>
      <c r="X37" s="305"/>
      <c r="Y37" s="306"/>
      <c r="AB37" s="237" t="s">
        <v>596</v>
      </c>
      <c r="AC37" s="238"/>
      <c r="AF37" s="239" t="s">
        <v>1075</v>
      </c>
      <c r="AG37" s="239" t="s">
        <v>589</v>
      </c>
      <c r="AH37" s="239">
        <v>12</v>
      </c>
    </row>
    <row r="38" spans="7:34" ht="15" customHeight="1" thickBot="1">
      <c r="G38" s="207"/>
      <c r="H38" s="727"/>
      <c r="I38" s="14" t="s">
        <v>1076</v>
      </c>
      <c r="J38" s="275" t="s">
        <v>589</v>
      </c>
      <c r="K38" s="37" t="s">
        <v>49</v>
      </c>
      <c r="L38" s="276"/>
      <c r="M38" s="277"/>
      <c r="N38" s="624">
        <f>SUMIF('Change Control Summary'!$Q$25:$Q$39,'GMP COST DATA'!$I38,'Change Control Summary'!U$25:U$39)</f>
        <v>0</v>
      </c>
      <c r="O38" s="625">
        <f t="shared" si="6"/>
        <v>0</v>
      </c>
      <c r="P38" s="624">
        <f>SUMIF('Change Control Summary'!$Q$25:$Q$39,'GMP COST DATA'!$I38,'Change Control Summary'!V$25:V$39)</f>
        <v>0</v>
      </c>
      <c r="Q38" s="625">
        <f t="shared" si="7"/>
        <v>0</v>
      </c>
      <c r="R38" s="278"/>
      <c r="T38" s="279">
        <f t="shared" si="8"/>
        <v>0</v>
      </c>
      <c r="U38" s="203"/>
      <c r="V38" s="305"/>
      <c r="W38" s="305"/>
      <c r="X38" s="305"/>
      <c r="Y38" s="307" t="s">
        <v>598</v>
      </c>
      <c r="AB38" s="237" t="s">
        <v>599</v>
      </c>
      <c r="AC38" s="238"/>
      <c r="AF38" s="239" t="s">
        <v>1076</v>
      </c>
      <c r="AG38" s="239" t="s">
        <v>589</v>
      </c>
      <c r="AH38" s="239">
        <v>12</v>
      </c>
    </row>
    <row r="39" spans="7:34" ht="15" customHeight="1" thickBot="1">
      <c r="G39" s="206"/>
      <c r="H39" s="727"/>
      <c r="I39" s="14" t="s">
        <v>1077</v>
      </c>
      <c r="J39" s="275" t="s">
        <v>589</v>
      </c>
      <c r="K39" s="37" t="s">
        <v>71</v>
      </c>
      <c r="L39" s="276"/>
      <c r="M39" s="277"/>
      <c r="N39" s="624">
        <f>SUMIF('Change Control Summary'!$Q$25:$Q$39,'GMP COST DATA'!$I39,'Change Control Summary'!U$25:U$39)</f>
        <v>0</v>
      </c>
      <c r="O39" s="625">
        <f t="shared" si="6"/>
        <v>0</v>
      </c>
      <c r="P39" s="624">
        <f>SUMIF('Change Control Summary'!$Q$25:$Q$39,'GMP COST DATA'!$I39,'Change Control Summary'!V$25:V$39)</f>
        <v>0</v>
      </c>
      <c r="Q39" s="625">
        <f t="shared" si="7"/>
        <v>0</v>
      </c>
      <c r="R39" s="278"/>
      <c r="T39" s="279">
        <f t="shared" si="8"/>
        <v>0</v>
      </c>
      <c r="U39" s="203"/>
      <c r="V39" s="308">
        <v>1</v>
      </c>
      <c r="W39" s="309"/>
      <c r="X39" s="310" t="s">
        <v>601</v>
      </c>
      <c r="Y39" s="311"/>
      <c r="Z39" s="101" t="s">
        <v>568</v>
      </c>
      <c r="AB39" s="237" t="s">
        <v>602</v>
      </c>
      <c r="AC39" s="238"/>
      <c r="AF39" s="239" t="s">
        <v>1077</v>
      </c>
      <c r="AG39" s="239" t="s">
        <v>589</v>
      </c>
      <c r="AH39" s="239">
        <v>12</v>
      </c>
    </row>
    <row r="40" spans="7:34" ht="15" customHeight="1">
      <c r="G40" s="207"/>
      <c r="H40" s="727"/>
      <c r="I40" s="14" t="s">
        <v>1078</v>
      </c>
      <c r="J40" s="275" t="s">
        <v>589</v>
      </c>
      <c r="K40" s="37" t="s">
        <v>72</v>
      </c>
      <c r="L40" s="276"/>
      <c r="M40" s="277"/>
      <c r="N40" s="624">
        <f>SUMIF('Change Control Summary'!$Q$25:$Q$39,'GMP COST DATA'!$I40,'Change Control Summary'!U$25:U$39)</f>
        <v>0</v>
      </c>
      <c r="O40" s="625">
        <f t="shared" si="6"/>
        <v>0</v>
      </c>
      <c r="P40" s="624">
        <f>SUMIF('Change Control Summary'!$Q$25:$Q$39,'GMP COST DATA'!$I40,'Change Control Summary'!V$25:V$39)</f>
        <v>0</v>
      </c>
      <c r="Q40" s="625">
        <f t="shared" si="7"/>
        <v>0</v>
      </c>
      <c r="R40" s="278"/>
      <c r="T40" s="279">
        <f t="shared" si="8"/>
        <v>0</v>
      </c>
      <c r="U40" s="203"/>
      <c r="V40" s="312">
        <v>1.1000000000000001</v>
      </c>
      <c r="W40" s="313"/>
      <c r="X40" s="314" t="s">
        <v>601</v>
      </c>
      <c r="Y40" s="315"/>
      <c r="AB40" s="237" t="s">
        <v>604</v>
      </c>
      <c r="AC40" s="238"/>
      <c r="AF40" s="239" t="s">
        <v>1078</v>
      </c>
      <c r="AG40" s="239" t="s">
        <v>589</v>
      </c>
      <c r="AH40" s="239">
        <v>12</v>
      </c>
    </row>
    <row r="41" spans="7:34" ht="15" customHeight="1">
      <c r="G41" s="207"/>
      <c r="H41" s="727"/>
      <c r="I41" s="14" t="s">
        <v>1079</v>
      </c>
      <c r="J41" s="275" t="s">
        <v>589</v>
      </c>
      <c r="K41" s="37" t="s">
        <v>50</v>
      </c>
      <c r="L41" s="276"/>
      <c r="M41" s="277"/>
      <c r="N41" s="624">
        <f>SUMIF('Change Control Summary'!$Q$25:$Q$39,'GMP COST DATA'!$I41,'Change Control Summary'!U$25:U$39)</f>
        <v>0</v>
      </c>
      <c r="O41" s="625">
        <f t="shared" si="6"/>
        <v>0</v>
      </c>
      <c r="P41" s="624">
        <f>SUMIF('Change Control Summary'!$Q$25:$Q$39,'GMP COST DATA'!$I41,'Change Control Summary'!V$25:V$39)</f>
        <v>0</v>
      </c>
      <c r="Q41" s="625">
        <f t="shared" si="7"/>
        <v>0</v>
      </c>
      <c r="R41" s="278"/>
      <c r="T41" s="279">
        <f t="shared" si="8"/>
        <v>0</v>
      </c>
      <c r="U41" s="203"/>
      <c r="V41" s="316">
        <v>1.2</v>
      </c>
      <c r="W41" s="317"/>
      <c r="X41" s="318" t="s">
        <v>607</v>
      </c>
      <c r="Y41" s="319"/>
      <c r="AB41" s="237" t="s">
        <v>556</v>
      </c>
      <c r="AC41" s="238">
        <v>13</v>
      </c>
      <c r="AF41" s="239" t="s">
        <v>1079</v>
      </c>
      <c r="AG41" s="239" t="s">
        <v>589</v>
      </c>
      <c r="AH41" s="239">
        <v>12</v>
      </c>
    </row>
    <row r="42" spans="7:34" ht="15" customHeight="1">
      <c r="G42" s="206"/>
      <c r="H42" s="727"/>
      <c r="I42" s="14" t="s">
        <v>1080</v>
      </c>
      <c r="J42" s="275" t="s">
        <v>589</v>
      </c>
      <c r="K42" s="37" t="s">
        <v>51</v>
      </c>
      <c r="L42" s="276"/>
      <c r="M42" s="277"/>
      <c r="N42" s="624">
        <f>SUMIF('Change Control Summary'!$Q$25:$Q$39,'GMP COST DATA'!$I42,'Change Control Summary'!U$25:U$39)</f>
        <v>0</v>
      </c>
      <c r="O42" s="625">
        <f t="shared" si="6"/>
        <v>0</v>
      </c>
      <c r="P42" s="624">
        <f>SUMIF('Change Control Summary'!$Q$25:$Q$39,'GMP COST DATA'!$I42,'Change Control Summary'!V$25:V$39)</f>
        <v>0</v>
      </c>
      <c r="Q42" s="625">
        <f t="shared" si="7"/>
        <v>0</v>
      </c>
      <c r="R42" s="278"/>
      <c r="T42" s="279">
        <f t="shared" si="8"/>
        <v>0</v>
      </c>
      <c r="U42" s="203"/>
      <c r="V42" s="316">
        <v>1.3</v>
      </c>
      <c r="W42" s="317"/>
      <c r="X42" s="318" t="s">
        <v>608</v>
      </c>
      <c r="Y42" s="319"/>
      <c r="AB42" s="237" t="s">
        <v>606</v>
      </c>
      <c r="AC42" s="238" t="s">
        <v>605</v>
      </c>
      <c r="AF42" s="239" t="s">
        <v>1080</v>
      </c>
      <c r="AG42" s="239" t="s">
        <v>589</v>
      </c>
      <c r="AH42" s="239">
        <v>12</v>
      </c>
    </row>
    <row r="43" spans="7:34" ht="15" customHeight="1">
      <c r="G43" s="207"/>
      <c r="H43" s="727"/>
      <c r="I43" s="14" t="s">
        <v>1081</v>
      </c>
      <c r="J43" s="275" t="s">
        <v>589</v>
      </c>
      <c r="K43" s="37" t="s">
        <v>52</v>
      </c>
      <c r="L43" s="276"/>
      <c r="M43" s="277"/>
      <c r="N43" s="624">
        <f>SUMIF('Change Control Summary'!$Q$25:$Q$39,'GMP COST DATA'!$I43,'Change Control Summary'!U$25:U$39)</f>
        <v>0</v>
      </c>
      <c r="O43" s="625">
        <f t="shared" si="6"/>
        <v>0</v>
      </c>
      <c r="P43" s="624">
        <f>SUMIF('Change Control Summary'!$Q$25:$Q$39,'GMP COST DATA'!$I43,'Change Control Summary'!V$25:V$39)</f>
        <v>0</v>
      </c>
      <c r="Q43" s="625">
        <f t="shared" si="7"/>
        <v>0</v>
      </c>
      <c r="R43" s="278"/>
      <c r="T43" s="279">
        <f t="shared" si="8"/>
        <v>0</v>
      </c>
      <c r="U43" s="203"/>
      <c r="V43" s="316">
        <v>1.4</v>
      </c>
      <c r="W43" s="317"/>
      <c r="X43" s="318" t="s">
        <v>609</v>
      </c>
      <c r="Y43" s="319"/>
      <c r="AB43" s="321" t="s">
        <v>610</v>
      </c>
      <c r="AC43" s="322"/>
      <c r="AF43" s="239" t="s">
        <v>1081</v>
      </c>
      <c r="AG43" s="239" t="s">
        <v>589</v>
      </c>
      <c r="AH43" s="239">
        <v>12</v>
      </c>
    </row>
    <row r="44" spans="7:34" ht="15" customHeight="1">
      <c r="G44" s="207"/>
      <c r="H44" s="727"/>
      <c r="I44" s="14" t="s">
        <v>1082</v>
      </c>
      <c r="J44" s="275" t="s">
        <v>589</v>
      </c>
      <c r="K44" s="37" t="s">
        <v>53</v>
      </c>
      <c r="L44" s="276"/>
      <c r="M44" s="277"/>
      <c r="N44" s="624">
        <f>SUMIF('Change Control Summary'!$Q$25:$Q$39,'GMP COST DATA'!$I44,'Change Control Summary'!U$25:U$39)</f>
        <v>0</v>
      </c>
      <c r="O44" s="625">
        <f t="shared" si="6"/>
        <v>0</v>
      </c>
      <c r="P44" s="624">
        <f>SUMIF('Change Control Summary'!$Q$25:$Q$39,'GMP COST DATA'!$I44,'Change Control Summary'!V$25:V$39)</f>
        <v>0</v>
      </c>
      <c r="Q44" s="625">
        <f t="shared" si="7"/>
        <v>0</v>
      </c>
      <c r="R44" s="278"/>
      <c r="T44" s="279">
        <f t="shared" si="8"/>
        <v>0</v>
      </c>
      <c r="U44" s="203"/>
      <c r="V44" s="316">
        <v>1.5</v>
      </c>
      <c r="W44" s="317"/>
      <c r="X44" s="323" t="s">
        <v>611</v>
      </c>
      <c r="Y44" s="319"/>
      <c r="AB44" s="321" t="s">
        <v>571</v>
      </c>
      <c r="AC44" s="322">
        <v>22</v>
      </c>
      <c r="AF44" s="239" t="s">
        <v>1082</v>
      </c>
      <c r="AG44" s="239" t="s">
        <v>589</v>
      </c>
      <c r="AH44" s="239">
        <v>12</v>
      </c>
    </row>
    <row r="45" spans="7:34" ht="15" customHeight="1" thickBot="1">
      <c r="G45" s="207"/>
      <c r="H45" s="727"/>
      <c r="I45" s="14" t="s">
        <v>1083</v>
      </c>
      <c r="J45" s="275" t="s">
        <v>589</v>
      </c>
      <c r="K45" s="37" t="s">
        <v>54</v>
      </c>
      <c r="L45" s="276"/>
      <c r="M45" s="277"/>
      <c r="N45" s="624">
        <f>SUMIF('Change Control Summary'!$Q$25:$Q$39,'GMP COST DATA'!$I45,'Change Control Summary'!U$25:U$39)</f>
        <v>0</v>
      </c>
      <c r="O45" s="625">
        <f t="shared" si="6"/>
        <v>0</v>
      </c>
      <c r="P45" s="624">
        <f>SUMIF('Change Control Summary'!$Q$25:$Q$39,'GMP COST DATA'!$I45,'Change Control Summary'!V$25:V$39)</f>
        <v>0</v>
      </c>
      <c r="Q45" s="625">
        <f t="shared" si="7"/>
        <v>0</v>
      </c>
      <c r="R45" s="278"/>
      <c r="T45" s="279">
        <f t="shared" si="8"/>
        <v>0</v>
      </c>
      <c r="U45" s="203"/>
      <c r="V45" s="324">
        <v>1.6</v>
      </c>
      <c r="W45" s="325"/>
      <c r="X45" s="326" t="s">
        <v>612</v>
      </c>
      <c r="Y45" s="327"/>
      <c r="AB45" s="321" t="s">
        <v>613</v>
      </c>
      <c r="AC45" s="322"/>
      <c r="AF45" s="239" t="s">
        <v>1083</v>
      </c>
      <c r="AG45" s="239" t="s">
        <v>589</v>
      </c>
      <c r="AH45" s="239">
        <v>12</v>
      </c>
    </row>
    <row r="46" spans="7:34" ht="15" customHeight="1" thickBot="1">
      <c r="G46" s="207"/>
      <c r="H46" s="727"/>
      <c r="I46" s="14" t="s">
        <v>1084</v>
      </c>
      <c r="J46" s="275" t="s">
        <v>589</v>
      </c>
      <c r="K46" s="37" t="s">
        <v>30</v>
      </c>
      <c r="L46" s="276"/>
      <c r="M46" s="277"/>
      <c r="N46" s="624">
        <f>SUMIF('Change Control Summary'!$Q$25:$Q$39,'GMP COST DATA'!$I46,'Change Control Summary'!U$25:U$39)</f>
        <v>0</v>
      </c>
      <c r="O46" s="625">
        <f t="shared" si="6"/>
        <v>0</v>
      </c>
      <c r="P46" s="624">
        <f>SUMIF('Change Control Summary'!$Q$25:$Q$39,'GMP COST DATA'!$I46,'Change Control Summary'!V$25:V$39)</f>
        <v>0</v>
      </c>
      <c r="Q46" s="625">
        <f t="shared" si="7"/>
        <v>0</v>
      </c>
      <c r="R46" s="278"/>
      <c r="T46" s="279">
        <f t="shared" si="8"/>
        <v>0</v>
      </c>
      <c r="U46" s="203"/>
      <c r="V46" s="25" t="s">
        <v>614</v>
      </c>
      <c r="W46" s="25"/>
      <c r="X46" s="283" t="s">
        <v>615</v>
      </c>
      <c r="Y46" s="328">
        <f>SUM(Y40:Y45)</f>
        <v>0</v>
      </c>
      <c r="AB46" s="321" t="s">
        <v>616</v>
      </c>
      <c r="AC46" s="322"/>
      <c r="AF46" s="239" t="s">
        <v>1084</v>
      </c>
      <c r="AG46" s="239" t="s">
        <v>589</v>
      </c>
      <c r="AH46" s="239">
        <v>12</v>
      </c>
    </row>
    <row r="47" spans="7:34" ht="15" customHeight="1" thickBot="1">
      <c r="G47" s="207"/>
      <c r="H47" s="727"/>
      <c r="I47" s="14" t="s">
        <v>1085</v>
      </c>
      <c r="J47" s="275" t="s">
        <v>589</v>
      </c>
      <c r="K47" s="37" t="s">
        <v>55</v>
      </c>
      <c r="L47" s="276"/>
      <c r="M47" s="277"/>
      <c r="N47" s="624">
        <f>SUMIF('Change Control Summary'!$Q$25:$Q$39,'GMP COST DATA'!$I47,'Change Control Summary'!U$25:U$39)</f>
        <v>0</v>
      </c>
      <c r="O47" s="625">
        <f t="shared" si="6"/>
        <v>0</v>
      </c>
      <c r="P47" s="624">
        <f>SUMIF('Change Control Summary'!$Q$25:$Q$39,'GMP COST DATA'!$I47,'Change Control Summary'!V$25:V$39)</f>
        <v>0</v>
      </c>
      <c r="Q47" s="625">
        <f t="shared" si="7"/>
        <v>0</v>
      </c>
      <c r="R47" s="278"/>
      <c r="T47" s="279">
        <f t="shared" si="8"/>
        <v>0</v>
      </c>
      <c r="U47" s="203"/>
      <c r="V47" s="305"/>
      <c r="W47" s="305"/>
      <c r="X47" s="305"/>
      <c r="Y47" s="329"/>
      <c r="AB47" s="321" t="s">
        <v>617</v>
      </c>
      <c r="AC47" s="322"/>
      <c r="AF47" s="239" t="s">
        <v>1085</v>
      </c>
      <c r="AG47" s="239" t="s">
        <v>589</v>
      </c>
      <c r="AH47" s="239">
        <v>12</v>
      </c>
    </row>
    <row r="48" spans="7:34" ht="15" customHeight="1" thickBot="1">
      <c r="G48" s="207"/>
      <c r="H48" s="727"/>
      <c r="I48" s="14" t="s">
        <v>1086</v>
      </c>
      <c r="J48" s="275" t="s">
        <v>525</v>
      </c>
      <c r="K48" s="37" t="s">
        <v>36</v>
      </c>
      <c r="L48" s="276"/>
      <c r="M48" s="277"/>
      <c r="N48" s="624">
        <f>SUMIF('Change Control Summary'!$Q$25:$Q$39,'GMP COST DATA'!$I48,'Change Control Summary'!U$25:U$39)</f>
        <v>0</v>
      </c>
      <c r="O48" s="625">
        <f t="shared" si="6"/>
        <v>0</v>
      </c>
      <c r="P48" s="624">
        <f>SUMIF('Change Control Summary'!$Q$25:$Q$39,'GMP COST DATA'!$I48,'Change Control Summary'!V$25:V$39)</f>
        <v>0</v>
      </c>
      <c r="Q48" s="625">
        <f t="shared" si="7"/>
        <v>0</v>
      </c>
      <c r="R48" s="278"/>
      <c r="T48" s="279">
        <f t="shared" si="8"/>
        <v>0</v>
      </c>
      <c r="U48" s="203"/>
      <c r="V48" s="308">
        <v>2</v>
      </c>
      <c r="W48" s="309"/>
      <c r="X48" s="310" t="s">
        <v>618</v>
      </c>
      <c r="Y48" s="330"/>
      <c r="Z48" s="101" t="s">
        <v>568</v>
      </c>
      <c r="AB48" s="321" t="s">
        <v>573</v>
      </c>
      <c r="AC48" s="322">
        <v>23</v>
      </c>
      <c r="AF48" s="239" t="s">
        <v>1086</v>
      </c>
      <c r="AG48" s="239" t="s">
        <v>589</v>
      </c>
      <c r="AH48" s="239">
        <v>12</v>
      </c>
    </row>
    <row r="49" spans="2:34" ht="15" customHeight="1" thickBot="1">
      <c r="D49" s="24" t="s">
        <v>619</v>
      </c>
      <c r="E49" s="24" t="s">
        <v>620</v>
      </c>
      <c r="F49" s="24" t="s">
        <v>313</v>
      </c>
      <c r="G49" s="207"/>
      <c r="H49" s="727"/>
      <c r="I49" s="29" t="s">
        <v>15</v>
      </c>
      <c r="J49" s="331"/>
      <c r="K49" s="30"/>
      <c r="L49" s="634">
        <f>SUM(L50:L77)</f>
        <v>0</v>
      </c>
      <c r="M49" s="101" t="s">
        <v>568</v>
      </c>
      <c r="N49" s="634">
        <f>SUM(N50:N77)</f>
        <v>0</v>
      </c>
      <c r="O49" s="634">
        <f>SUM(O50:O77)</f>
        <v>0</v>
      </c>
      <c r="P49" s="634">
        <f>SUM(P50:P77)</f>
        <v>0</v>
      </c>
      <c r="Q49" s="634">
        <f>SUM(Q50:Q77)</f>
        <v>0</v>
      </c>
      <c r="R49" s="332"/>
      <c r="T49" s="298" t="s">
        <v>37</v>
      </c>
      <c r="U49" s="203"/>
      <c r="V49" s="333">
        <v>2.1</v>
      </c>
      <c r="W49" s="334" t="s">
        <v>621</v>
      </c>
      <c r="X49" s="335" t="s">
        <v>622</v>
      </c>
      <c r="Y49" s="336">
        <f>SUM(Y50:Y52)</f>
        <v>0</v>
      </c>
      <c r="AB49" s="321" t="s">
        <v>559</v>
      </c>
      <c r="AC49" s="322">
        <v>14</v>
      </c>
      <c r="AF49" s="239" t="s">
        <v>594</v>
      </c>
      <c r="AG49" s="239" t="s">
        <v>595</v>
      </c>
      <c r="AH49" s="239">
        <v>11</v>
      </c>
    </row>
    <row r="50" spans="2:34" ht="15" customHeight="1" thickBot="1">
      <c r="B50" s="759" t="s">
        <v>623</v>
      </c>
      <c r="C50" s="760"/>
      <c r="D50" s="337">
        <f t="shared" ref="D50:F50" si="9">SUM(D51:D53)</f>
        <v>0</v>
      </c>
      <c r="E50" s="337">
        <f t="shared" si="9"/>
        <v>0</v>
      </c>
      <c r="F50" s="337">
        <f t="shared" si="9"/>
        <v>0</v>
      </c>
      <c r="G50" s="207"/>
      <c r="H50" s="727"/>
      <c r="I50" s="14">
        <v>34</v>
      </c>
      <c r="J50" s="275" t="s">
        <v>525</v>
      </c>
      <c r="K50" s="37" t="s">
        <v>31</v>
      </c>
      <c r="L50" s="626">
        <v>0</v>
      </c>
      <c r="M50" s="627"/>
      <c r="N50" s="624">
        <f>SUMIF('Change Control Summary'!$Q$25:$Q$39,'GMP COST DATA'!$I50,'Change Control Summary'!U$25:U$39)</f>
        <v>0</v>
      </c>
      <c r="O50" s="624">
        <f>N50+L50</f>
        <v>0</v>
      </c>
      <c r="P50" s="624">
        <f>SUMIF('Change Control Summary'!$Q$25:$Q$39,'GMP COST DATA'!$I50,'Change Control Summary'!V$25:V$39)</f>
        <v>0</v>
      </c>
      <c r="Q50" s="624">
        <f t="shared" si="7"/>
        <v>0</v>
      </c>
      <c r="R50" s="278"/>
      <c r="T50" s="338">
        <f>L50/$T$23</f>
        <v>0</v>
      </c>
      <c r="U50" s="203"/>
      <c r="V50" s="339" t="s">
        <v>624</v>
      </c>
      <c r="W50" s="340" t="s">
        <v>517</v>
      </c>
      <c r="X50" s="341" t="s">
        <v>622</v>
      </c>
      <c r="Y50" s="319"/>
      <c r="AB50" s="321" t="s">
        <v>625</v>
      </c>
      <c r="AC50" s="322"/>
      <c r="AF50" s="239" t="s">
        <v>1090</v>
      </c>
      <c r="AG50" s="239" t="s">
        <v>597</v>
      </c>
      <c r="AH50" s="239">
        <v>12</v>
      </c>
    </row>
    <row r="51" spans="2:34" ht="15" customHeight="1">
      <c r="B51" s="342" t="s">
        <v>517</v>
      </c>
      <c r="C51" s="343" t="s">
        <v>626</v>
      </c>
      <c r="D51" s="344">
        <f>SUM(E51:F51)</f>
        <v>0</v>
      </c>
      <c r="E51" s="344">
        <f>Y50</f>
        <v>0</v>
      </c>
      <c r="F51" s="344">
        <f>L55</f>
        <v>0</v>
      </c>
      <c r="G51" s="207"/>
      <c r="H51" s="727"/>
      <c r="I51" s="14">
        <v>31</v>
      </c>
      <c r="J51" s="275" t="s">
        <v>521</v>
      </c>
      <c r="K51" s="37" t="s">
        <v>60</v>
      </c>
      <c r="L51" s="626">
        <v>0</v>
      </c>
      <c r="M51" s="627"/>
      <c r="N51" s="624">
        <f>SUMIF('Change Control Summary'!$Q$25:$Q$39,'GMP COST DATA'!$I51,'Change Control Summary'!U$25:U$39)</f>
        <v>0</v>
      </c>
      <c r="O51" s="624">
        <f t="shared" ref="O51:O77" si="10">N51+L51</f>
        <v>0</v>
      </c>
      <c r="P51" s="624">
        <f>SUMIF('Change Control Summary'!$Q$25:$Q$39,'GMP COST DATA'!$I51,'Change Control Summary'!V$25:V$39)</f>
        <v>0</v>
      </c>
      <c r="Q51" s="624">
        <f t="shared" si="7"/>
        <v>0</v>
      </c>
      <c r="R51" s="278"/>
      <c r="T51" s="338">
        <f t="shared" ref="T51:T77" si="11">L51/$T$23</f>
        <v>0</v>
      </c>
      <c r="U51" s="203"/>
      <c r="V51" s="339" t="s">
        <v>627</v>
      </c>
      <c r="W51" s="340" t="s">
        <v>521</v>
      </c>
      <c r="X51" s="341" t="s">
        <v>628</v>
      </c>
      <c r="Y51" s="319"/>
      <c r="AB51" s="321" t="s">
        <v>629</v>
      </c>
      <c r="AC51" s="322"/>
      <c r="AF51" s="239" t="s">
        <v>1091</v>
      </c>
      <c r="AG51" s="239" t="s">
        <v>597</v>
      </c>
      <c r="AH51" s="239">
        <v>12</v>
      </c>
    </row>
    <row r="52" spans="2:34" ht="15" customHeight="1">
      <c r="B52" s="342" t="s">
        <v>521</v>
      </c>
      <c r="C52" s="343" t="s">
        <v>628</v>
      </c>
      <c r="D52" s="344">
        <f t="shared" ref="D52:D53" si="12">SUM(E52:F52)</f>
        <v>0</v>
      </c>
      <c r="E52" s="344">
        <f>Y51</f>
        <v>0</v>
      </c>
      <c r="F52" s="344">
        <f>L51</f>
        <v>0</v>
      </c>
      <c r="G52" s="207"/>
      <c r="H52" s="727"/>
      <c r="I52" s="14">
        <v>32</v>
      </c>
      <c r="J52" s="275" t="s">
        <v>581</v>
      </c>
      <c r="K52" s="37" t="s">
        <v>64</v>
      </c>
      <c r="L52" s="626">
        <v>0</v>
      </c>
      <c r="M52" s="627"/>
      <c r="N52" s="624">
        <f>SUMIF('Change Control Summary'!$Q$25:$Q$39,'GMP COST DATA'!$I52,'Change Control Summary'!U$25:U$39)</f>
        <v>0</v>
      </c>
      <c r="O52" s="624">
        <f t="shared" si="10"/>
        <v>0</v>
      </c>
      <c r="P52" s="624">
        <f>SUMIF('Change Control Summary'!$Q$25:$Q$39,'GMP COST DATA'!$I52,'Change Control Summary'!V$25:V$39)</f>
        <v>0</v>
      </c>
      <c r="Q52" s="624">
        <f t="shared" si="7"/>
        <v>0</v>
      </c>
      <c r="R52" s="278"/>
      <c r="T52" s="338">
        <f t="shared" si="11"/>
        <v>0</v>
      </c>
      <c r="U52" s="203"/>
      <c r="V52" s="339" t="s">
        <v>630</v>
      </c>
      <c r="W52" s="340" t="s">
        <v>525</v>
      </c>
      <c r="X52" s="341" t="s">
        <v>631</v>
      </c>
      <c r="Y52" s="319"/>
      <c r="AB52" s="321" t="s">
        <v>632</v>
      </c>
      <c r="AC52" s="322"/>
      <c r="AF52" s="239" t="s">
        <v>1092</v>
      </c>
      <c r="AG52" s="239" t="s">
        <v>597</v>
      </c>
      <c r="AH52" s="239">
        <v>12</v>
      </c>
    </row>
    <row r="53" spans="2:34" ht="15" customHeight="1" thickBot="1">
      <c r="B53" s="342" t="s">
        <v>525</v>
      </c>
      <c r="C53" s="343" t="s">
        <v>633</v>
      </c>
      <c r="D53" s="345">
        <f t="shared" si="12"/>
        <v>0</v>
      </c>
      <c r="E53" s="345">
        <f>Y52</f>
        <v>0</v>
      </c>
      <c r="F53" s="345">
        <f>L50+L48</f>
        <v>0</v>
      </c>
      <c r="G53" s="206"/>
      <c r="H53" s="727"/>
      <c r="I53" s="14">
        <v>33</v>
      </c>
      <c r="J53" s="275" t="s">
        <v>583</v>
      </c>
      <c r="K53" s="37" t="s">
        <v>42</v>
      </c>
      <c r="L53" s="626">
        <v>0</v>
      </c>
      <c r="M53" s="627"/>
      <c r="N53" s="624">
        <f>SUMIF('Change Control Summary'!$Q$25:$Q$39,'GMP COST DATA'!$I53,'Change Control Summary'!U$25:U$39)</f>
        <v>0</v>
      </c>
      <c r="O53" s="624">
        <f t="shared" si="10"/>
        <v>0</v>
      </c>
      <c r="P53" s="624">
        <f>SUMIF('Change Control Summary'!$Q$25:$Q$39,'GMP COST DATA'!$I53,'Change Control Summary'!V$25:V$39)</f>
        <v>0</v>
      </c>
      <c r="Q53" s="624">
        <f t="shared" si="7"/>
        <v>0</v>
      </c>
      <c r="R53" s="278"/>
      <c r="T53" s="338">
        <f t="shared" si="11"/>
        <v>0</v>
      </c>
      <c r="U53" s="203"/>
      <c r="V53" s="346">
        <v>2.2000000000000002</v>
      </c>
      <c r="W53" s="347" t="s">
        <v>621</v>
      </c>
      <c r="X53" s="348" t="s">
        <v>634</v>
      </c>
      <c r="Y53" s="349">
        <f>SUM(Y54:Y58)</f>
        <v>0</v>
      </c>
      <c r="AB53" s="237" t="s">
        <v>635</v>
      </c>
      <c r="AC53" s="238"/>
      <c r="AF53" s="239" t="s">
        <v>1093</v>
      </c>
      <c r="AG53" s="239" t="s">
        <v>597</v>
      </c>
      <c r="AH53" s="239">
        <v>12</v>
      </c>
    </row>
    <row r="54" spans="2:34" ht="15" customHeight="1" thickBot="1">
      <c r="B54" s="759" t="s">
        <v>636</v>
      </c>
      <c r="C54" s="760"/>
      <c r="D54" s="337">
        <f t="shared" ref="D54:F54" si="13">SUM(D55:D59)</f>
        <v>0</v>
      </c>
      <c r="E54" s="337">
        <f t="shared" si="13"/>
        <v>0</v>
      </c>
      <c r="F54" s="337">
        <f t="shared" si="13"/>
        <v>0</v>
      </c>
      <c r="G54" s="207"/>
      <c r="H54" s="727"/>
      <c r="I54" s="14">
        <v>1</v>
      </c>
      <c r="J54" s="275" t="s">
        <v>518</v>
      </c>
      <c r="K54" s="37" t="s">
        <v>43</v>
      </c>
      <c r="L54" s="626">
        <v>0</v>
      </c>
      <c r="M54" s="627"/>
      <c r="N54" s="624">
        <f>SUMIF('Change Control Summary'!$Q$25:$Q$39,'GMP COST DATA'!$I54,'Change Control Summary'!U$25:U$39)</f>
        <v>0</v>
      </c>
      <c r="O54" s="624">
        <f t="shared" si="10"/>
        <v>0</v>
      </c>
      <c r="P54" s="624">
        <f>SUMIF('Change Control Summary'!$Q$25:$Q$39,'GMP COST DATA'!$I54,'Change Control Summary'!V$25:V$39)</f>
        <v>0</v>
      </c>
      <c r="Q54" s="624">
        <f t="shared" si="7"/>
        <v>0</v>
      </c>
      <c r="R54" s="278"/>
      <c r="T54" s="338">
        <f t="shared" si="11"/>
        <v>0</v>
      </c>
      <c r="U54" s="203"/>
      <c r="V54" s="339" t="s">
        <v>637</v>
      </c>
      <c r="W54" s="340" t="s">
        <v>526</v>
      </c>
      <c r="X54" s="341" t="s">
        <v>638</v>
      </c>
      <c r="Y54" s="319"/>
      <c r="AB54" s="237" t="s">
        <v>583</v>
      </c>
      <c r="AC54" s="238">
        <v>33</v>
      </c>
      <c r="AF54" s="239" t="s">
        <v>1094</v>
      </c>
      <c r="AG54" s="239" t="s">
        <v>597</v>
      </c>
      <c r="AH54" s="239">
        <v>12</v>
      </c>
    </row>
    <row r="55" spans="2:34" ht="15" customHeight="1">
      <c r="B55" s="237" t="s">
        <v>526</v>
      </c>
      <c r="C55" s="350" t="s">
        <v>638</v>
      </c>
      <c r="D55" s="351">
        <f t="shared" ref="D55:D59" si="14">SUM(E55:F55)</f>
        <v>0</v>
      </c>
      <c r="E55" s="351">
        <f>Y54</f>
        <v>0</v>
      </c>
      <c r="F55" s="351">
        <f>L56</f>
        <v>0</v>
      </c>
      <c r="G55" s="207"/>
      <c r="H55" s="727"/>
      <c r="I55" s="14">
        <v>2</v>
      </c>
      <c r="J55" s="275" t="s">
        <v>517</v>
      </c>
      <c r="K55" s="37" t="s">
        <v>63</v>
      </c>
      <c r="L55" s="626">
        <v>0</v>
      </c>
      <c r="M55" s="627"/>
      <c r="N55" s="624">
        <f>SUMIF('Change Control Summary'!$Q$25:$Q$39,'GMP COST DATA'!$I55,'Change Control Summary'!U$25:U$39)</f>
        <v>0</v>
      </c>
      <c r="O55" s="624">
        <f t="shared" si="10"/>
        <v>0</v>
      </c>
      <c r="P55" s="624">
        <f>SUMIF('Change Control Summary'!$Q$25:$Q$39,'GMP COST DATA'!$I55,'Change Control Summary'!V$25:V$39)</f>
        <v>0</v>
      </c>
      <c r="Q55" s="624">
        <f t="shared" si="7"/>
        <v>0</v>
      </c>
      <c r="R55" s="278"/>
      <c r="T55" s="338">
        <f t="shared" si="11"/>
        <v>0</v>
      </c>
      <c r="U55" s="203"/>
      <c r="V55" s="339" t="s">
        <v>639</v>
      </c>
      <c r="W55" s="340" t="s">
        <v>531</v>
      </c>
      <c r="X55" s="341" t="s">
        <v>640</v>
      </c>
      <c r="Y55" s="319"/>
      <c r="AB55" s="237" t="s">
        <v>641</v>
      </c>
      <c r="AC55" s="238"/>
      <c r="AF55" s="239" t="s">
        <v>1069</v>
      </c>
      <c r="AG55" s="239" t="s">
        <v>597</v>
      </c>
      <c r="AH55" s="239">
        <v>12</v>
      </c>
    </row>
    <row r="56" spans="2:34" ht="15" customHeight="1">
      <c r="B56" s="237" t="s">
        <v>531</v>
      </c>
      <c r="C56" s="350" t="s">
        <v>640</v>
      </c>
      <c r="D56" s="351">
        <f t="shared" si="14"/>
        <v>0</v>
      </c>
      <c r="E56" s="351">
        <f t="shared" ref="E56:E59" si="15">Y55</f>
        <v>0</v>
      </c>
      <c r="F56" s="351"/>
      <c r="G56" s="207"/>
      <c r="H56" s="727"/>
      <c r="I56" s="14">
        <v>3</v>
      </c>
      <c r="J56" s="275" t="s">
        <v>526</v>
      </c>
      <c r="K56" s="37" t="s">
        <v>39</v>
      </c>
      <c r="L56" s="626">
        <v>0</v>
      </c>
      <c r="M56" s="627"/>
      <c r="N56" s="624">
        <f>SUMIF('Change Control Summary'!$Q$25:$Q$39,'GMP COST DATA'!$I56,'Change Control Summary'!U$25:U$39)</f>
        <v>0</v>
      </c>
      <c r="O56" s="624">
        <f t="shared" si="10"/>
        <v>0</v>
      </c>
      <c r="P56" s="624">
        <f>SUMIF('Change Control Summary'!$Q$25:$Q$39,'GMP COST DATA'!$I56,'Change Control Summary'!V$25:V$39)</f>
        <v>0</v>
      </c>
      <c r="Q56" s="624">
        <f t="shared" si="7"/>
        <v>0</v>
      </c>
      <c r="R56" s="278"/>
      <c r="T56" s="338">
        <f t="shared" si="11"/>
        <v>0</v>
      </c>
      <c r="U56" s="203"/>
      <c r="V56" s="339" t="s">
        <v>642</v>
      </c>
      <c r="W56" s="340" t="s">
        <v>534</v>
      </c>
      <c r="X56" s="341" t="s">
        <v>643</v>
      </c>
      <c r="Y56" s="319"/>
      <c r="AB56" s="237" t="s">
        <v>576</v>
      </c>
      <c r="AC56" s="238">
        <v>26</v>
      </c>
      <c r="AF56" s="239" t="s">
        <v>1070</v>
      </c>
      <c r="AG56" s="239" t="s">
        <v>597</v>
      </c>
      <c r="AH56" s="239">
        <v>12</v>
      </c>
    </row>
    <row r="57" spans="2:34" ht="15" customHeight="1">
      <c r="B57" s="237" t="s">
        <v>534</v>
      </c>
      <c r="C57" s="350" t="s">
        <v>643</v>
      </c>
      <c r="D57" s="351">
        <f t="shared" si="14"/>
        <v>0</v>
      </c>
      <c r="E57" s="351">
        <f t="shared" si="15"/>
        <v>0</v>
      </c>
      <c r="F57" s="351"/>
      <c r="G57" s="207"/>
      <c r="H57" s="727"/>
      <c r="I57" s="14">
        <v>4</v>
      </c>
      <c r="J57" s="275" t="s">
        <v>528</v>
      </c>
      <c r="K57" s="37" t="s">
        <v>0</v>
      </c>
      <c r="L57" s="626">
        <v>0</v>
      </c>
      <c r="M57" s="627"/>
      <c r="N57" s="624">
        <f>SUMIF('Change Control Summary'!$Q$25:$Q$39,'GMP COST DATA'!$I57,'Change Control Summary'!U$25:U$39)</f>
        <v>0</v>
      </c>
      <c r="O57" s="624">
        <f t="shared" si="10"/>
        <v>0</v>
      </c>
      <c r="P57" s="624">
        <f>SUMIF('Change Control Summary'!$Q$25:$Q$39,'GMP COST DATA'!$I57,'Change Control Summary'!V$25:V$39)</f>
        <v>0</v>
      </c>
      <c r="Q57" s="624">
        <f t="shared" si="7"/>
        <v>0</v>
      </c>
      <c r="R57" s="278"/>
      <c r="T57" s="338">
        <f t="shared" si="11"/>
        <v>0</v>
      </c>
      <c r="U57" s="203"/>
      <c r="V57" s="339" t="s">
        <v>644</v>
      </c>
      <c r="W57" s="340" t="s">
        <v>537</v>
      </c>
      <c r="X57" s="341" t="s">
        <v>645</v>
      </c>
      <c r="Y57" s="319"/>
      <c r="AB57" s="237" t="s">
        <v>646</v>
      </c>
      <c r="AC57" s="238"/>
      <c r="AE57" s="167"/>
      <c r="AF57" s="239" t="s">
        <v>1071</v>
      </c>
      <c r="AG57" s="239" t="s">
        <v>597</v>
      </c>
      <c r="AH57" s="239">
        <v>12</v>
      </c>
    </row>
    <row r="58" spans="2:34" ht="15" customHeight="1">
      <c r="B58" s="237" t="s">
        <v>537</v>
      </c>
      <c r="C58" s="350" t="s">
        <v>645</v>
      </c>
      <c r="D58" s="351">
        <f t="shared" si="14"/>
        <v>0</v>
      </c>
      <c r="E58" s="351">
        <f t="shared" si="15"/>
        <v>0</v>
      </c>
      <c r="F58" s="351"/>
      <c r="G58" s="207"/>
      <c r="H58" s="727"/>
      <c r="I58" s="14">
        <v>5</v>
      </c>
      <c r="J58" s="275" t="s">
        <v>532</v>
      </c>
      <c r="K58" s="37" t="s">
        <v>65</v>
      </c>
      <c r="L58" s="626">
        <v>0</v>
      </c>
      <c r="M58" s="627"/>
      <c r="N58" s="624">
        <f>SUMIF('Change Control Summary'!$Q$25:$Q$39,'GMP COST DATA'!$I58,'Change Control Summary'!U$25:U$39)</f>
        <v>0</v>
      </c>
      <c r="O58" s="624">
        <f t="shared" si="10"/>
        <v>0</v>
      </c>
      <c r="P58" s="624">
        <f>SUMIF('Change Control Summary'!$Q$25:$Q$39,'GMP COST DATA'!$I58,'Change Control Summary'!V$25:V$39)</f>
        <v>0</v>
      </c>
      <c r="Q58" s="624">
        <f t="shared" si="7"/>
        <v>0</v>
      </c>
      <c r="R58" s="278"/>
      <c r="T58" s="338">
        <f t="shared" si="11"/>
        <v>0</v>
      </c>
      <c r="U58" s="203"/>
      <c r="V58" s="339" t="s">
        <v>647</v>
      </c>
      <c r="W58" s="340" t="s">
        <v>541</v>
      </c>
      <c r="X58" s="341" t="s">
        <v>648</v>
      </c>
      <c r="Y58" s="319"/>
      <c r="AB58" s="237" t="s">
        <v>578</v>
      </c>
      <c r="AC58" s="238">
        <v>28</v>
      </c>
      <c r="AE58" s="167"/>
      <c r="AF58" s="239" t="s">
        <v>1072</v>
      </c>
      <c r="AG58" s="239" t="s">
        <v>597</v>
      </c>
      <c r="AH58" s="239">
        <v>12</v>
      </c>
    </row>
    <row r="59" spans="2:34" ht="15" customHeight="1" thickBot="1">
      <c r="B59" s="237" t="s">
        <v>541</v>
      </c>
      <c r="C59" s="350" t="s">
        <v>649</v>
      </c>
      <c r="D59" s="345">
        <f t="shared" si="14"/>
        <v>0</v>
      </c>
      <c r="E59" s="345">
        <f t="shared" si="15"/>
        <v>0</v>
      </c>
      <c r="F59" s="345"/>
      <c r="G59" s="207"/>
      <c r="H59" s="727"/>
      <c r="I59" s="14">
        <v>6</v>
      </c>
      <c r="J59" s="275" t="s">
        <v>535</v>
      </c>
      <c r="K59" s="37" t="s">
        <v>66</v>
      </c>
      <c r="L59" s="626">
        <v>0</v>
      </c>
      <c r="M59" s="627"/>
      <c r="N59" s="624">
        <f>SUMIF('Change Control Summary'!$Q$25:$Q$39,'GMP COST DATA'!$I59,'Change Control Summary'!U$25:U$39)</f>
        <v>0</v>
      </c>
      <c r="O59" s="624">
        <f t="shared" si="10"/>
        <v>0</v>
      </c>
      <c r="P59" s="624">
        <f>SUMIF('Change Control Summary'!$Q$25:$Q$39,'GMP COST DATA'!$I59,'Change Control Summary'!V$25:V$39)</f>
        <v>0</v>
      </c>
      <c r="Q59" s="624">
        <f t="shared" si="7"/>
        <v>0</v>
      </c>
      <c r="R59" s="278"/>
      <c r="T59" s="338">
        <f t="shared" si="11"/>
        <v>0</v>
      </c>
      <c r="U59" s="203"/>
      <c r="V59" s="346">
        <v>2.2999999999999998</v>
      </c>
      <c r="W59" s="347" t="s">
        <v>621</v>
      </c>
      <c r="X59" s="348" t="s">
        <v>650</v>
      </c>
      <c r="Y59" s="349">
        <f>SUM(Y60:Y69)</f>
        <v>0</v>
      </c>
      <c r="AB59" s="237" t="s">
        <v>651</v>
      </c>
      <c r="AC59" s="238"/>
      <c r="AE59" s="167"/>
      <c r="AF59" s="239" t="s">
        <v>1095</v>
      </c>
      <c r="AG59" s="239" t="s">
        <v>600</v>
      </c>
      <c r="AH59" s="239">
        <v>12</v>
      </c>
    </row>
    <row r="60" spans="2:34" ht="15" customHeight="1" thickBot="1">
      <c r="B60" s="759" t="s">
        <v>652</v>
      </c>
      <c r="C60" s="760"/>
      <c r="D60" s="337">
        <f t="shared" ref="D60:F60" si="16">SUM(D61:D70)</f>
        <v>0</v>
      </c>
      <c r="E60" s="337">
        <f t="shared" si="16"/>
        <v>0</v>
      </c>
      <c r="F60" s="337">
        <f t="shared" si="16"/>
        <v>0</v>
      </c>
      <c r="G60" s="207"/>
      <c r="H60" s="727"/>
      <c r="I60" s="14">
        <v>7</v>
      </c>
      <c r="J60" s="275" t="s">
        <v>538</v>
      </c>
      <c r="K60" s="37" t="s">
        <v>61</v>
      </c>
      <c r="L60" s="626">
        <v>0</v>
      </c>
      <c r="M60" s="627"/>
      <c r="N60" s="624">
        <f>SUMIF('Change Control Summary'!$Q$25:$Q$39,'GMP COST DATA'!$I60,'Change Control Summary'!U$25:U$39)</f>
        <v>0</v>
      </c>
      <c r="O60" s="624">
        <f t="shared" si="10"/>
        <v>0</v>
      </c>
      <c r="P60" s="624">
        <f>SUMIF('Change Control Summary'!$Q$25:$Q$39,'GMP COST DATA'!$I60,'Change Control Summary'!V$25:V$39)</f>
        <v>0</v>
      </c>
      <c r="Q60" s="624">
        <f t="shared" si="7"/>
        <v>0</v>
      </c>
      <c r="R60" s="278"/>
      <c r="T60" s="338">
        <f t="shared" si="11"/>
        <v>0</v>
      </c>
      <c r="U60" s="203"/>
      <c r="V60" s="339" t="s">
        <v>653</v>
      </c>
      <c r="W60" s="340" t="s">
        <v>532</v>
      </c>
      <c r="X60" s="341" t="s">
        <v>654</v>
      </c>
      <c r="Y60" s="319"/>
      <c r="AB60" s="237" t="s">
        <v>655</v>
      </c>
      <c r="AC60" s="238"/>
      <c r="AE60" s="167"/>
      <c r="AF60" s="239" t="s">
        <v>1096</v>
      </c>
      <c r="AG60" s="239" t="s">
        <v>600</v>
      </c>
      <c r="AH60" s="239">
        <v>12</v>
      </c>
    </row>
    <row r="61" spans="2:34" ht="14.9" customHeight="1">
      <c r="B61" s="237" t="s">
        <v>532</v>
      </c>
      <c r="C61" s="350" t="s">
        <v>656</v>
      </c>
      <c r="D61" s="351">
        <f t="shared" ref="D61:D70" si="17">SUM(E61:F61)</f>
        <v>0</v>
      </c>
      <c r="E61" s="351">
        <f>Y60</f>
        <v>0</v>
      </c>
      <c r="F61" s="351">
        <f>L58</f>
        <v>0</v>
      </c>
      <c r="G61" s="207"/>
      <c r="H61" s="727"/>
      <c r="I61" s="14">
        <v>8</v>
      </c>
      <c r="J61" s="275" t="s">
        <v>542</v>
      </c>
      <c r="K61" s="37" t="s">
        <v>67</v>
      </c>
      <c r="L61" s="626">
        <v>0</v>
      </c>
      <c r="M61" s="627"/>
      <c r="N61" s="624">
        <f>SUMIF('Change Control Summary'!$Q$25:$Q$39,'GMP COST DATA'!$I61,'Change Control Summary'!U$25:U$39)</f>
        <v>0</v>
      </c>
      <c r="O61" s="624">
        <f t="shared" si="10"/>
        <v>0</v>
      </c>
      <c r="P61" s="624">
        <f>SUMIF('Change Control Summary'!$Q$25:$Q$39,'GMP COST DATA'!$I61,'Change Control Summary'!V$25:V$39)</f>
        <v>0</v>
      </c>
      <c r="Q61" s="624">
        <f t="shared" si="7"/>
        <v>0</v>
      </c>
      <c r="R61" s="278"/>
      <c r="T61" s="338">
        <f t="shared" si="11"/>
        <v>0</v>
      </c>
      <c r="U61" s="203"/>
      <c r="V61" s="352" t="s">
        <v>657</v>
      </c>
      <c r="W61" s="353" t="s">
        <v>546</v>
      </c>
      <c r="X61" s="341" t="s">
        <v>658</v>
      </c>
      <c r="Y61" s="319"/>
      <c r="AB61" s="237" t="s">
        <v>567</v>
      </c>
      <c r="AC61" s="238">
        <v>21</v>
      </c>
      <c r="AF61" s="239" t="s">
        <v>1097</v>
      </c>
      <c r="AG61" s="239" t="s">
        <v>600</v>
      </c>
      <c r="AH61" s="239">
        <v>12</v>
      </c>
    </row>
    <row r="62" spans="2:34" ht="14.9" customHeight="1">
      <c r="B62" s="237" t="s">
        <v>546</v>
      </c>
      <c r="C62" s="350" t="s">
        <v>659</v>
      </c>
      <c r="D62" s="351">
        <f t="shared" si="17"/>
        <v>0</v>
      </c>
      <c r="E62" s="351">
        <f t="shared" ref="E62:E70" si="18">Y61</f>
        <v>0</v>
      </c>
      <c r="F62" s="351"/>
      <c r="G62" s="206"/>
      <c r="H62" s="727"/>
      <c r="I62" s="14">
        <v>9</v>
      </c>
      <c r="J62" s="275" t="s">
        <v>544</v>
      </c>
      <c r="K62" s="37" t="s">
        <v>68</v>
      </c>
      <c r="L62" s="626">
        <v>0</v>
      </c>
      <c r="M62" s="627"/>
      <c r="N62" s="624">
        <f>SUMIF('Change Control Summary'!$Q$25:$Q$39,'GMP COST DATA'!$I62,'Change Control Summary'!U$25:U$39)</f>
        <v>0</v>
      </c>
      <c r="O62" s="624">
        <f t="shared" si="10"/>
        <v>0</v>
      </c>
      <c r="P62" s="624">
        <f>SUMIF('Change Control Summary'!$Q$25:$Q$39,'GMP COST DATA'!$I62,'Change Control Summary'!V$25:V$39)</f>
        <v>0</v>
      </c>
      <c r="Q62" s="624">
        <f t="shared" si="7"/>
        <v>0</v>
      </c>
      <c r="R62" s="278"/>
      <c r="T62" s="338">
        <f t="shared" si="11"/>
        <v>0</v>
      </c>
      <c r="U62" s="203"/>
      <c r="V62" s="339" t="s">
        <v>660</v>
      </c>
      <c r="W62" s="340" t="s">
        <v>550</v>
      </c>
      <c r="X62" s="341" t="s">
        <v>661</v>
      </c>
      <c r="Y62" s="319"/>
      <c r="AB62" s="237" t="s">
        <v>662</v>
      </c>
      <c r="AC62" s="238"/>
      <c r="AF62" s="239" t="s">
        <v>1098</v>
      </c>
      <c r="AG62" s="239" t="s">
        <v>600</v>
      </c>
      <c r="AH62" s="239">
        <v>12</v>
      </c>
    </row>
    <row r="63" spans="2:34" ht="14.9" customHeight="1">
      <c r="B63" s="237" t="s">
        <v>550</v>
      </c>
      <c r="C63" s="350" t="s">
        <v>661</v>
      </c>
      <c r="D63" s="351">
        <f t="shared" si="17"/>
        <v>0</v>
      </c>
      <c r="E63" s="351">
        <f t="shared" si="18"/>
        <v>0</v>
      </c>
      <c r="F63" s="351"/>
      <c r="G63" s="207"/>
      <c r="H63" s="727"/>
      <c r="I63" s="14">
        <v>10</v>
      </c>
      <c r="J63" s="275" t="s">
        <v>547</v>
      </c>
      <c r="K63" s="37" t="s">
        <v>32</v>
      </c>
      <c r="L63" s="626">
        <v>0</v>
      </c>
      <c r="M63" s="627"/>
      <c r="N63" s="624">
        <f>SUMIF('Change Control Summary'!$Q$25:$Q$39,'GMP COST DATA'!$I63,'Change Control Summary'!U$25:U$39)</f>
        <v>0</v>
      </c>
      <c r="O63" s="624">
        <f t="shared" si="10"/>
        <v>0</v>
      </c>
      <c r="P63" s="624">
        <f>SUMIF('Change Control Summary'!$Q$25:$Q$39,'GMP COST DATA'!$I63,'Change Control Summary'!V$25:V$39)</f>
        <v>0</v>
      </c>
      <c r="Q63" s="624">
        <f t="shared" si="7"/>
        <v>0</v>
      </c>
      <c r="R63" s="278"/>
      <c r="T63" s="338">
        <f t="shared" si="11"/>
        <v>0</v>
      </c>
      <c r="U63" s="203"/>
      <c r="V63" s="339" t="s">
        <v>663</v>
      </c>
      <c r="W63" s="340" t="s">
        <v>538</v>
      </c>
      <c r="X63" s="341" t="s">
        <v>664</v>
      </c>
      <c r="Y63" s="319"/>
      <c r="AB63" s="237" t="s">
        <v>665</v>
      </c>
      <c r="AC63" s="238"/>
      <c r="AF63" s="239" t="s">
        <v>1099</v>
      </c>
      <c r="AG63" s="239" t="s">
        <v>600</v>
      </c>
      <c r="AH63" s="239">
        <v>12</v>
      </c>
    </row>
    <row r="64" spans="2:34" ht="14.9" customHeight="1">
      <c r="B64" s="237" t="s">
        <v>538</v>
      </c>
      <c r="C64" s="350" t="s">
        <v>666</v>
      </c>
      <c r="D64" s="351">
        <f t="shared" si="17"/>
        <v>0</v>
      </c>
      <c r="E64" s="351">
        <f t="shared" si="18"/>
        <v>0</v>
      </c>
      <c r="F64" s="351">
        <f>L60</f>
        <v>0</v>
      </c>
      <c r="G64" s="207"/>
      <c r="H64" s="727"/>
      <c r="I64" s="14">
        <v>11</v>
      </c>
      <c r="J64" s="275" t="s">
        <v>551</v>
      </c>
      <c r="K64" s="37" t="s">
        <v>69</v>
      </c>
      <c r="L64" s="626">
        <v>0</v>
      </c>
      <c r="M64" s="627"/>
      <c r="N64" s="624">
        <f>SUMIF('Change Control Summary'!$Q$25:$Q$39,'GMP COST DATA'!$I64,'Change Control Summary'!U$25:U$39)</f>
        <v>0</v>
      </c>
      <c r="O64" s="624">
        <f t="shared" si="10"/>
        <v>0</v>
      </c>
      <c r="P64" s="624">
        <f>SUMIF('Change Control Summary'!$Q$25:$Q$39,'GMP COST DATA'!$I64,'Change Control Summary'!V$25:V$39)</f>
        <v>0</v>
      </c>
      <c r="Q64" s="624">
        <f t="shared" si="7"/>
        <v>0</v>
      </c>
      <c r="R64" s="278"/>
      <c r="T64" s="338">
        <f t="shared" si="11"/>
        <v>0</v>
      </c>
      <c r="U64" s="203"/>
      <c r="V64" s="352" t="s">
        <v>667</v>
      </c>
      <c r="W64" s="353" t="s">
        <v>555</v>
      </c>
      <c r="X64" s="341" t="s">
        <v>668</v>
      </c>
      <c r="Y64" s="319"/>
      <c r="AB64" s="237" t="s">
        <v>669</v>
      </c>
      <c r="AC64" s="238"/>
      <c r="AF64" s="239" t="s">
        <v>1100</v>
      </c>
      <c r="AG64" s="239" t="s">
        <v>600</v>
      </c>
      <c r="AH64" s="239">
        <v>12</v>
      </c>
    </row>
    <row r="65" spans="2:34" ht="14.9" customHeight="1">
      <c r="B65" s="237" t="s">
        <v>555</v>
      </c>
      <c r="C65" s="350" t="s">
        <v>668</v>
      </c>
      <c r="D65" s="351">
        <f t="shared" si="17"/>
        <v>0</v>
      </c>
      <c r="E65" s="351">
        <f t="shared" si="18"/>
        <v>0</v>
      </c>
      <c r="F65" s="351"/>
      <c r="G65" s="207"/>
      <c r="H65" s="727"/>
      <c r="I65" s="14">
        <v>12</v>
      </c>
      <c r="J65" s="275" t="s">
        <v>553</v>
      </c>
      <c r="K65" s="37" t="s">
        <v>44</v>
      </c>
      <c r="L65" s="626">
        <v>0</v>
      </c>
      <c r="M65" s="627"/>
      <c r="N65" s="624">
        <f>SUMIF('Change Control Summary'!$Q$25:$Q$39,'GMP COST DATA'!$I65,'Change Control Summary'!U$25:U$39)</f>
        <v>0</v>
      </c>
      <c r="O65" s="624">
        <f t="shared" si="10"/>
        <v>0</v>
      </c>
      <c r="P65" s="624">
        <f>SUMIF('Change Control Summary'!$Q$25:$Q$39,'GMP COST DATA'!$I65,'Change Control Summary'!V$25:V$39)</f>
        <v>0</v>
      </c>
      <c r="Q65" s="624">
        <f t="shared" si="7"/>
        <v>0</v>
      </c>
      <c r="R65" s="278"/>
      <c r="T65" s="338">
        <f t="shared" si="11"/>
        <v>0</v>
      </c>
      <c r="U65" s="203"/>
      <c r="V65" s="352" t="s">
        <v>670</v>
      </c>
      <c r="W65" s="353" t="s">
        <v>528</v>
      </c>
      <c r="X65" s="341" t="s">
        <v>671</v>
      </c>
      <c r="Y65" s="319"/>
      <c r="AB65" s="237" t="s">
        <v>672</v>
      </c>
      <c r="AC65" s="238"/>
      <c r="AF65" s="239" t="s">
        <v>1101</v>
      </c>
      <c r="AG65" s="239" t="s">
        <v>600</v>
      </c>
      <c r="AH65" s="239">
        <v>12</v>
      </c>
    </row>
    <row r="66" spans="2:34" ht="14.9" customHeight="1">
      <c r="B66" s="237" t="s">
        <v>528</v>
      </c>
      <c r="C66" s="350" t="s">
        <v>671</v>
      </c>
      <c r="D66" s="351">
        <f t="shared" si="17"/>
        <v>0</v>
      </c>
      <c r="E66" s="351">
        <f t="shared" si="18"/>
        <v>0</v>
      </c>
      <c r="F66" s="351">
        <f>L57</f>
        <v>0</v>
      </c>
      <c r="G66" s="206"/>
      <c r="H66" s="727"/>
      <c r="I66" s="14">
        <v>13</v>
      </c>
      <c r="J66" s="275" t="s">
        <v>556</v>
      </c>
      <c r="K66" s="37" t="s">
        <v>40</v>
      </c>
      <c r="L66" s="626">
        <v>0</v>
      </c>
      <c r="M66" s="627"/>
      <c r="N66" s="624">
        <f>SUMIF('Change Control Summary'!$Q$25:$Q$39,'GMP COST DATA'!$I66,'Change Control Summary'!U$25:U$39)</f>
        <v>0</v>
      </c>
      <c r="O66" s="624">
        <f t="shared" si="10"/>
        <v>0</v>
      </c>
      <c r="P66" s="624">
        <f>SUMIF('Change Control Summary'!$Q$25:$Q$39,'GMP COST DATA'!$I66,'Change Control Summary'!V$25:V$39)</f>
        <v>0</v>
      </c>
      <c r="Q66" s="624">
        <f t="shared" si="7"/>
        <v>0</v>
      </c>
      <c r="R66" s="278"/>
      <c r="T66" s="338">
        <f t="shared" si="11"/>
        <v>0</v>
      </c>
      <c r="U66" s="203"/>
      <c r="V66" s="339" t="s">
        <v>673</v>
      </c>
      <c r="W66" s="340" t="s">
        <v>542</v>
      </c>
      <c r="X66" s="341" t="s">
        <v>674</v>
      </c>
      <c r="Y66" s="319"/>
      <c r="AB66" s="237" t="s">
        <v>581</v>
      </c>
      <c r="AC66" s="238">
        <v>32</v>
      </c>
      <c r="AF66" s="239" t="s">
        <v>1103</v>
      </c>
      <c r="AG66" s="239" t="s">
        <v>600</v>
      </c>
      <c r="AH66" s="239">
        <v>12</v>
      </c>
    </row>
    <row r="67" spans="2:34" ht="14.9" customHeight="1">
      <c r="B67" s="237" t="s">
        <v>542</v>
      </c>
      <c r="C67" s="350" t="s">
        <v>675</v>
      </c>
      <c r="D67" s="351">
        <f t="shared" si="17"/>
        <v>0</v>
      </c>
      <c r="E67" s="351">
        <f t="shared" si="18"/>
        <v>0</v>
      </c>
      <c r="F67" s="351">
        <f>L61</f>
        <v>0</v>
      </c>
      <c r="G67" s="207"/>
      <c r="H67" s="727"/>
      <c r="I67" s="14">
        <v>14</v>
      </c>
      <c r="J67" s="275" t="s">
        <v>559</v>
      </c>
      <c r="K67" s="37" t="s">
        <v>70</v>
      </c>
      <c r="L67" s="626">
        <v>0</v>
      </c>
      <c r="M67" s="627"/>
      <c r="N67" s="624">
        <f>SUMIF('Change Control Summary'!$Q$25:$Q$39,'GMP COST DATA'!$I67,'Change Control Summary'!U$25:U$39)</f>
        <v>0</v>
      </c>
      <c r="O67" s="624">
        <f t="shared" si="10"/>
        <v>0</v>
      </c>
      <c r="P67" s="624">
        <f>SUMIF('Change Control Summary'!$Q$25:$Q$39,'GMP COST DATA'!$I67,'Change Control Summary'!V$25:V$39)</f>
        <v>0</v>
      </c>
      <c r="Q67" s="624">
        <f t="shared" si="7"/>
        <v>0</v>
      </c>
      <c r="R67" s="278"/>
      <c r="T67" s="338">
        <f t="shared" si="11"/>
        <v>0</v>
      </c>
      <c r="U67" s="203"/>
      <c r="V67" s="352" t="s">
        <v>676</v>
      </c>
      <c r="W67" s="353" t="s">
        <v>570</v>
      </c>
      <c r="X67" s="341" t="s">
        <v>677</v>
      </c>
      <c r="Y67" s="319"/>
      <c r="AB67" s="237" t="s">
        <v>678</v>
      </c>
      <c r="AC67" s="238"/>
      <c r="AF67" s="239" t="s">
        <v>1102</v>
      </c>
      <c r="AG67" s="239" t="s">
        <v>600</v>
      </c>
      <c r="AH67" s="239">
        <v>12</v>
      </c>
    </row>
    <row r="68" spans="2:34" ht="14.9" customHeight="1">
      <c r="B68" s="237" t="s">
        <v>570</v>
      </c>
      <c r="C68" s="350" t="s">
        <v>679</v>
      </c>
      <c r="D68" s="351">
        <f t="shared" si="17"/>
        <v>0</v>
      </c>
      <c r="E68" s="351">
        <f t="shared" si="18"/>
        <v>0</v>
      </c>
      <c r="F68" s="351"/>
      <c r="G68" s="207"/>
      <c r="H68" s="727"/>
      <c r="I68" s="14">
        <v>21</v>
      </c>
      <c r="J68" s="275" t="s">
        <v>567</v>
      </c>
      <c r="K68" s="37" t="s">
        <v>33</v>
      </c>
      <c r="L68" s="626">
        <v>0</v>
      </c>
      <c r="M68" s="627"/>
      <c r="N68" s="624">
        <f>SUMIF('Change Control Summary'!$Q$25:$Q$39,'GMP COST DATA'!$I68,'Change Control Summary'!U$25:U$39)</f>
        <v>0</v>
      </c>
      <c r="O68" s="624">
        <f t="shared" si="10"/>
        <v>0</v>
      </c>
      <c r="P68" s="624">
        <f>SUMIF('Change Control Summary'!$Q$25:$Q$39,'GMP COST DATA'!$I68,'Change Control Summary'!V$25:V$39)</f>
        <v>0</v>
      </c>
      <c r="Q68" s="624">
        <f t="shared" si="7"/>
        <v>0</v>
      </c>
      <c r="R68" s="278"/>
      <c r="T68" s="338">
        <f t="shared" si="11"/>
        <v>0</v>
      </c>
      <c r="U68" s="203"/>
      <c r="V68" s="352" t="s">
        <v>680</v>
      </c>
      <c r="W68" s="353" t="s">
        <v>551</v>
      </c>
      <c r="X68" s="341" t="s">
        <v>681</v>
      </c>
      <c r="Y68" s="319"/>
      <c r="AB68" s="237" t="s">
        <v>682</v>
      </c>
      <c r="AC68" s="238"/>
      <c r="AF68" s="239" t="s">
        <v>1104</v>
      </c>
      <c r="AG68" s="239" t="s">
        <v>600</v>
      </c>
      <c r="AH68" s="239">
        <v>12</v>
      </c>
    </row>
    <row r="69" spans="2:34" ht="14.9" customHeight="1">
      <c r="B69" s="237" t="s">
        <v>551</v>
      </c>
      <c r="C69" s="350" t="s">
        <v>681</v>
      </c>
      <c r="D69" s="351">
        <f t="shared" si="17"/>
        <v>0</v>
      </c>
      <c r="E69" s="351">
        <f t="shared" si="18"/>
        <v>0</v>
      </c>
      <c r="F69" s="351">
        <f>L64</f>
        <v>0</v>
      </c>
      <c r="G69" s="206"/>
      <c r="H69" s="727"/>
      <c r="I69" s="14">
        <v>22</v>
      </c>
      <c r="J69" s="275" t="s">
        <v>571</v>
      </c>
      <c r="K69" s="37" t="s">
        <v>3</v>
      </c>
      <c r="L69" s="626">
        <v>0</v>
      </c>
      <c r="M69" s="627"/>
      <c r="N69" s="624">
        <f>SUMIF('Change Control Summary'!$Q$25:$Q$39,'GMP COST DATA'!$I69,'Change Control Summary'!U$25:U$39)</f>
        <v>0</v>
      </c>
      <c r="O69" s="624">
        <f t="shared" si="10"/>
        <v>0</v>
      </c>
      <c r="P69" s="624">
        <f>SUMIF('Change Control Summary'!$Q$25:$Q$39,'GMP COST DATA'!$I69,'Change Control Summary'!V$25:V$39)</f>
        <v>0</v>
      </c>
      <c r="Q69" s="624">
        <f t="shared" si="7"/>
        <v>0</v>
      </c>
      <c r="R69" s="278"/>
      <c r="T69" s="338">
        <f t="shared" si="11"/>
        <v>0</v>
      </c>
      <c r="U69" s="203"/>
      <c r="V69" s="354" t="s">
        <v>683</v>
      </c>
      <c r="W69" s="355" t="s">
        <v>575</v>
      </c>
      <c r="X69" s="341" t="s">
        <v>684</v>
      </c>
      <c r="Y69" s="319"/>
      <c r="AB69" s="237" t="s">
        <v>685</v>
      </c>
      <c r="AC69" s="238"/>
      <c r="AF69" s="239" t="s">
        <v>1105</v>
      </c>
      <c r="AG69" s="239" t="s">
        <v>600</v>
      </c>
      <c r="AH69" s="239">
        <v>12</v>
      </c>
    </row>
    <row r="70" spans="2:34" ht="14.9" customHeight="1" thickBot="1">
      <c r="B70" s="237" t="s">
        <v>575</v>
      </c>
      <c r="C70" s="350" t="s">
        <v>686</v>
      </c>
      <c r="D70" s="345">
        <f t="shared" si="17"/>
        <v>0</v>
      </c>
      <c r="E70" s="345">
        <f t="shared" si="18"/>
        <v>0</v>
      </c>
      <c r="F70" s="345"/>
      <c r="G70" s="207"/>
      <c r="H70" s="727"/>
      <c r="I70" s="14">
        <v>23</v>
      </c>
      <c r="J70" s="275" t="s">
        <v>573</v>
      </c>
      <c r="K70" s="37" t="s">
        <v>4</v>
      </c>
      <c r="L70" s="626">
        <v>0</v>
      </c>
      <c r="M70" s="627"/>
      <c r="N70" s="624">
        <f>SUMIF('Change Control Summary'!$Q$25:$Q$39,'GMP COST DATA'!$I70,'Change Control Summary'!U$25:U$39)</f>
        <v>0</v>
      </c>
      <c r="O70" s="624">
        <f t="shared" si="10"/>
        <v>0</v>
      </c>
      <c r="P70" s="624">
        <f>SUMIF('Change Control Summary'!$Q$25:$Q$39,'GMP COST DATA'!$I70,'Change Control Summary'!V$25:V$39)</f>
        <v>0</v>
      </c>
      <c r="Q70" s="624">
        <f t="shared" si="7"/>
        <v>0</v>
      </c>
      <c r="R70" s="278"/>
      <c r="T70" s="338">
        <f t="shared" si="11"/>
        <v>0</v>
      </c>
      <c r="U70" s="203"/>
      <c r="V70" s="346">
        <v>2.4</v>
      </c>
      <c r="W70" s="347" t="s">
        <v>621</v>
      </c>
      <c r="X70" s="348" t="s">
        <v>687</v>
      </c>
      <c r="Y70" s="349">
        <f>SUM(Y71:Y82)</f>
        <v>0</v>
      </c>
      <c r="AB70" s="237" t="s">
        <v>688</v>
      </c>
      <c r="AC70" s="238"/>
      <c r="AF70" s="239" t="s">
        <v>1106</v>
      </c>
      <c r="AG70" s="239" t="s">
        <v>600</v>
      </c>
      <c r="AH70" s="239">
        <v>12</v>
      </c>
    </row>
    <row r="71" spans="2:34" ht="14.9" customHeight="1" thickBot="1">
      <c r="B71" s="759" t="s">
        <v>689</v>
      </c>
      <c r="C71" s="760"/>
      <c r="D71" s="337">
        <f t="shared" ref="D71:F71" si="19">SUM(D72:D83)</f>
        <v>0</v>
      </c>
      <c r="E71" s="337">
        <f t="shared" si="19"/>
        <v>0</v>
      </c>
      <c r="F71" s="337">
        <f t="shared" si="19"/>
        <v>0</v>
      </c>
      <c r="G71" s="207"/>
      <c r="H71" s="727"/>
      <c r="I71" s="14">
        <v>26</v>
      </c>
      <c r="J71" s="275" t="s">
        <v>576</v>
      </c>
      <c r="K71" s="37" t="s">
        <v>5</v>
      </c>
      <c r="L71" s="626">
        <v>0</v>
      </c>
      <c r="M71" s="627"/>
      <c r="N71" s="624">
        <f>SUMIF('Change Control Summary'!$Q$25:$Q$39,'GMP COST DATA'!$I71,'Change Control Summary'!U$25:U$39)</f>
        <v>0</v>
      </c>
      <c r="O71" s="624">
        <f t="shared" si="10"/>
        <v>0</v>
      </c>
      <c r="P71" s="624">
        <f>SUMIF('Change Control Summary'!$Q$25:$Q$39,'GMP COST DATA'!$I71,'Change Control Summary'!V$25:V$39)</f>
        <v>0</v>
      </c>
      <c r="Q71" s="624">
        <f t="shared" si="7"/>
        <v>0</v>
      </c>
      <c r="R71" s="278"/>
      <c r="T71" s="338">
        <f t="shared" si="11"/>
        <v>0</v>
      </c>
      <c r="U71" s="203"/>
      <c r="V71" s="339" t="s">
        <v>690</v>
      </c>
      <c r="W71" s="340" t="s">
        <v>553</v>
      </c>
      <c r="X71" s="341" t="s">
        <v>691</v>
      </c>
      <c r="Y71" s="319"/>
      <c r="AB71" s="237" t="s">
        <v>692</v>
      </c>
      <c r="AC71" s="238"/>
      <c r="AF71" s="239" t="s">
        <v>1107</v>
      </c>
      <c r="AG71" s="239" t="s">
        <v>600</v>
      </c>
      <c r="AH71" s="239">
        <v>12</v>
      </c>
    </row>
    <row r="72" spans="2:34" ht="14.9" customHeight="1">
      <c r="B72" s="237" t="s">
        <v>553</v>
      </c>
      <c r="C72" s="350" t="s">
        <v>691</v>
      </c>
      <c r="D72" s="351">
        <f t="shared" ref="D72:D83" si="20">SUM(E72:F72)</f>
        <v>0</v>
      </c>
      <c r="E72" s="351">
        <f>Y71</f>
        <v>0</v>
      </c>
      <c r="F72" s="351">
        <f>L65</f>
        <v>0</v>
      </c>
      <c r="G72" s="207"/>
      <c r="H72" s="727"/>
      <c r="I72" s="14">
        <v>27</v>
      </c>
      <c r="J72" s="275" t="s">
        <v>578</v>
      </c>
      <c r="K72" s="37" t="s">
        <v>41</v>
      </c>
      <c r="L72" s="626">
        <v>0</v>
      </c>
      <c r="M72" s="627"/>
      <c r="N72" s="624">
        <f>SUMIF('Change Control Summary'!$Q$25:$Q$39,'GMP COST DATA'!$I72,'Change Control Summary'!U$25:U$39)</f>
        <v>0</v>
      </c>
      <c r="O72" s="624">
        <f t="shared" si="10"/>
        <v>0</v>
      </c>
      <c r="P72" s="624">
        <f>SUMIF('Change Control Summary'!$Q$25:$Q$39,'GMP COST DATA'!$I72,'Change Control Summary'!V$25:V$39)</f>
        <v>0</v>
      </c>
      <c r="Q72" s="624">
        <f t="shared" si="7"/>
        <v>0</v>
      </c>
      <c r="R72" s="278"/>
      <c r="T72" s="338">
        <f t="shared" si="11"/>
        <v>0</v>
      </c>
      <c r="U72" s="203"/>
      <c r="V72" s="339" t="s">
        <v>693</v>
      </c>
      <c r="W72" s="340" t="s">
        <v>547</v>
      </c>
      <c r="X72" s="341" t="s">
        <v>694</v>
      </c>
      <c r="Y72" s="319"/>
      <c r="AB72" s="321" t="s">
        <v>518</v>
      </c>
      <c r="AC72" s="322">
        <v>1</v>
      </c>
      <c r="AF72" s="239" t="s">
        <v>1108</v>
      </c>
      <c r="AG72" s="239" t="s">
        <v>600</v>
      </c>
      <c r="AH72" s="239">
        <v>12</v>
      </c>
    </row>
    <row r="73" spans="2:34" ht="14.9" customHeight="1">
      <c r="B73" s="237" t="s">
        <v>547</v>
      </c>
      <c r="C73" s="350" t="s">
        <v>695</v>
      </c>
      <c r="D73" s="351">
        <f t="shared" si="20"/>
        <v>0</v>
      </c>
      <c r="E73" s="351">
        <f t="shared" ref="E73:E83" si="21">Y72</f>
        <v>0</v>
      </c>
      <c r="F73" s="351">
        <f>L63</f>
        <v>0</v>
      </c>
      <c r="G73" s="207"/>
      <c r="H73" s="727"/>
      <c r="I73" s="14" t="s">
        <v>1087</v>
      </c>
      <c r="J73" s="275" t="s">
        <v>696</v>
      </c>
      <c r="K73" s="37" t="s">
        <v>38</v>
      </c>
      <c r="L73" s="626">
        <v>0</v>
      </c>
      <c r="M73" s="627"/>
      <c r="N73" s="624">
        <f>SUMIF('Change Control Summary'!$Q$25:$Q$39,'GMP COST DATA'!$I73,'Change Control Summary'!U$25:U$39)</f>
        <v>0</v>
      </c>
      <c r="O73" s="624">
        <f t="shared" si="10"/>
        <v>0</v>
      </c>
      <c r="P73" s="624">
        <f>SUMIF('Change Control Summary'!$Q$25:$Q$39,'GMP COST DATA'!$I73,'Change Control Summary'!V$25:V$39)</f>
        <v>0</v>
      </c>
      <c r="Q73" s="624">
        <f t="shared" si="7"/>
        <v>0</v>
      </c>
      <c r="R73" s="278"/>
      <c r="T73" s="338">
        <f t="shared" si="11"/>
        <v>0</v>
      </c>
      <c r="U73" s="203"/>
      <c r="V73" s="339" t="s">
        <v>697</v>
      </c>
      <c r="W73" s="340" t="s">
        <v>544</v>
      </c>
      <c r="X73" s="341" t="s">
        <v>68</v>
      </c>
      <c r="Y73" s="319"/>
      <c r="AB73" s="321" t="s">
        <v>698</v>
      </c>
      <c r="AC73" s="322"/>
      <c r="AF73" s="239" t="s">
        <v>1109</v>
      </c>
      <c r="AG73" s="239" t="s">
        <v>600</v>
      </c>
      <c r="AH73" s="239">
        <v>12</v>
      </c>
    </row>
    <row r="74" spans="2:34" ht="14.9" customHeight="1">
      <c r="B74" s="237" t="s">
        <v>544</v>
      </c>
      <c r="C74" s="350" t="s">
        <v>68</v>
      </c>
      <c r="D74" s="351">
        <f t="shared" si="20"/>
        <v>0</v>
      </c>
      <c r="E74" s="351">
        <f t="shared" si="21"/>
        <v>0</v>
      </c>
      <c r="F74" s="351">
        <f>L62</f>
        <v>0</v>
      </c>
      <c r="G74" s="207"/>
      <c r="H74" s="727"/>
      <c r="I74" s="14" t="s">
        <v>1088</v>
      </c>
      <c r="J74" s="275" t="s">
        <v>606</v>
      </c>
      <c r="K74" s="37" t="s">
        <v>75</v>
      </c>
      <c r="L74" s="626">
        <v>0</v>
      </c>
      <c r="M74" s="627"/>
      <c r="N74" s="624">
        <f>SUMIF('Change Control Summary'!$Q$25:$Q$39,'GMP COST DATA'!$I74,'Change Control Summary'!U$25:U$39)</f>
        <v>0</v>
      </c>
      <c r="O74" s="624">
        <f t="shared" si="10"/>
        <v>0</v>
      </c>
      <c r="P74" s="624">
        <f>SUMIF('Change Control Summary'!$Q$25:$Q$39,'GMP COST DATA'!$I74,'Change Control Summary'!V$25:V$39)</f>
        <v>0</v>
      </c>
      <c r="Q74" s="624">
        <f t="shared" si="7"/>
        <v>0</v>
      </c>
      <c r="R74" s="278"/>
      <c r="T74" s="338">
        <f t="shared" si="11"/>
        <v>0</v>
      </c>
      <c r="U74" s="203"/>
      <c r="V74" s="339" t="s">
        <v>699</v>
      </c>
      <c r="W74" s="340" t="s">
        <v>535</v>
      </c>
      <c r="X74" s="341" t="s">
        <v>700</v>
      </c>
      <c r="Y74" s="319"/>
      <c r="AB74" s="321" t="s">
        <v>701</v>
      </c>
      <c r="AC74" s="322"/>
      <c r="AF74" s="239" t="s">
        <v>1110</v>
      </c>
      <c r="AG74" s="239" t="s">
        <v>600</v>
      </c>
      <c r="AH74" s="239">
        <v>12</v>
      </c>
    </row>
    <row r="75" spans="2:34" ht="14.9" customHeight="1">
      <c r="B75" s="237" t="s">
        <v>535</v>
      </c>
      <c r="C75" s="350" t="s">
        <v>700</v>
      </c>
      <c r="D75" s="351">
        <f t="shared" si="20"/>
        <v>0</v>
      </c>
      <c r="E75" s="351">
        <f t="shared" si="21"/>
        <v>0</v>
      </c>
      <c r="F75" s="351">
        <f>L59</f>
        <v>0</v>
      </c>
      <c r="G75" s="207"/>
      <c r="H75" s="727"/>
      <c r="I75" s="14" t="s">
        <v>1089</v>
      </c>
      <c r="J75" s="356" t="s">
        <v>588</v>
      </c>
      <c r="K75" s="37" t="s">
        <v>34</v>
      </c>
      <c r="L75" s="626">
        <v>0</v>
      </c>
      <c r="M75" s="627"/>
      <c r="N75" s="624">
        <f>SUMIF('Change Control Summary'!$Q$25:$Q$39,'GMP COST DATA'!$I75,'Change Control Summary'!U$25:U$39)</f>
        <v>0</v>
      </c>
      <c r="O75" s="624">
        <f t="shared" si="10"/>
        <v>0</v>
      </c>
      <c r="P75" s="624">
        <f>SUMIF('Change Control Summary'!$Q$25:$Q$39,'GMP COST DATA'!$I75,'Change Control Summary'!V$25:V$39)</f>
        <v>0</v>
      </c>
      <c r="Q75" s="624">
        <f t="shared" si="7"/>
        <v>0</v>
      </c>
      <c r="R75" s="278"/>
      <c r="T75" s="338">
        <f t="shared" si="11"/>
        <v>0</v>
      </c>
      <c r="U75" s="203"/>
      <c r="V75" s="339" t="s">
        <v>702</v>
      </c>
      <c r="W75" s="340" t="s">
        <v>585</v>
      </c>
      <c r="X75" s="341" t="s">
        <v>703</v>
      </c>
      <c r="Y75" s="319"/>
      <c r="AB75" s="321" t="s">
        <v>704</v>
      </c>
      <c r="AC75" s="322"/>
      <c r="AF75" s="239" t="s">
        <v>1103</v>
      </c>
      <c r="AG75" s="239" t="s">
        <v>603</v>
      </c>
      <c r="AH75" s="239">
        <v>12</v>
      </c>
    </row>
    <row r="76" spans="2:34" ht="14.9" customHeight="1">
      <c r="B76" s="237" t="s">
        <v>585</v>
      </c>
      <c r="C76" s="350" t="s">
        <v>703</v>
      </c>
      <c r="D76" s="351">
        <f t="shared" si="20"/>
        <v>0</v>
      </c>
      <c r="E76" s="351">
        <f t="shared" si="21"/>
        <v>0</v>
      </c>
      <c r="F76" s="351"/>
      <c r="G76" s="206"/>
      <c r="H76" s="727"/>
      <c r="I76" s="14" t="s">
        <v>594</v>
      </c>
      <c r="J76" s="275" t="s">
        <v>595</v>
      </c>
      <c r="K76" s="37" t="s">
        <v>705</v>
      </c>
      <c r="L76" s="626">
        <v>0</v>
      </c>
      <c r="M76" s="627"/>
      <c r="N76" s="624">
        <f>SUMIF('Change Control Summary'!$Q$25:$Q$39,'GMP COST DATA'!$I76,'Change Control Summary'!U$25:U$39)</f>
        <v>0</v>
      </c>
      <c r="O76" s="624">
        <f t="shared" si="10"/>
        <v>0</v>
      </c>
      <c r="P76" s="624">
        <f>SUMIF('Change Control Summary'!$Q$25:$Q$39,'GMP COST DATA'!$I76,'Change Control Summary'!V$25:V$39)</f>
        <v>0</v>
      </c>
      <c r="Q76" s="624">
        <f t="shared" si="7"/>
        <v>0</v>
      </c>
      <c r="R76" s="278"/>
      <c r="T76" s="338">
        <f t="shared" si="11"/>
        <v>0</v>
      </c>
      <c r="U76" s="203"/>
      <c r="V76" s="339" t="s">
        <v>706</v>
      </c>
      <c r="W76" s="340" t="s">
        <v>587</v>
      </c>
      <c r="X76" s="341" t="s">
        <v>707</v>
      </c>
      <c r="Y76" s="319"/>
      <c r="AB76" s="321" t="s">
        <v>708</v>
      </c>
      <c r="AC76" s="322"/>
      <c r="AF76" s="239" t="s">
        <v>1102</v>
      </c>
      <c r="AG76" s="239" t="s">
        <v>603</v>
      </c>
      <c r="AH76" s="239">
        <v>12</v>
      </c>
    </row>
    <row r="77" spans="2:34" ht="14.9" customHeight="1">
      <c r="B77" s="237" t="s">
        <v>587</v>
      </c>
      <c r="C77" s="350" t="s">
        <v>707</v>
      </c>
      <c r="D77" s="351">
        <f t="shared" si="20"/>
        <v>0</v>
      </c>
      <c r="E77" s="351">
        <f t="shared" si="21"/>
        <v>0</v>
      </c>
      <c r="F77" s="351"/>
      <c r="G77" s="207"/>
      <c r="H77" s="727"/>
      <c r="I77" s="31" t="s">
        <v>104</v>
      </c>
      <c r="J77" s="357" t="s">
        <v>600</v>
      </c>
      <c r="K77" s="37" t="s">
        <v>1063</v>
      </c>
      <c r="L77" s="626"/>
      <c r="M77" s="627"/>
      <c r="N77" s="624">
        <f>SUMIF('Change Control Summary'!$Q$25:$Q$39,'GMP COST DATA'!$I77,'Change Control Summary'!U$25:U$39)</f>
        <v>0</v>
      </c>
      <c r="O77" s="624">
        <f t="shared" si="10"/>
        <v>0</v>
      </c>
      <c r="P77" s="624">
        <f>SUMIF('Change Control Summary'!$Q$25:$Q$39,'GMP COST DATA'!$I77,'Change Control Summary'!V$25:V$39)</f>
        <v>0</v>
      </c>
      <c r="Q77" s="624">
        <f t="shared" si="7"/>
        <v>0</v>
      </c>
      <c r="R77" s="278"/>
      <c r="T77" s="338">
        <f t="shared" si="11"/>
        <v>0</v>
      </c>
      <c r="U77" s="203"/>
      <c r="V77" s="339" t="s">
        <v>709</v>
      </c>
      <c r="W77" s="340" t="s">
        <v>591</v>
      </c>
      <c r="X77" s="341" t="s">
        <v>710</v>
      </c>
      <c r="Y77" s="319"/>
      <c r="AB77" s="321" t="s">
        <v>595</v>
      </c>
      <c r="AC77" s="322"/>
      <c r="AF77" s="239" t="s">
        <v>1104</v>
      </c>
      <c r="AG77" s="239" t="s">
        <v>603</v>
      </c>
      <c r="AH77" s="239">
        <v>12</v>
      </c>
    </row>
    <row r="78" spans="2:34" ht="14.9" customHeight="1">
      <c r="B78" s="237" t="s">
        <v>591</v>
      </c>
      <c r="C78" s="350" t="s">
        <v>710</v>
      </c>
      <c r="D78" s="351">
        <f t="shared" si="20"/>
        <v>0</v>
      </c>
      <c r="E78" s="351">
        <f t="shared" si="21"/>
        <v>0</v>
      </c>
      <c r="F78" s="351"/>
      <c r="G78" s="207"/>
      <c r="H78" s="727"/>
      <c r="I78" s="29" t="s">
        <v>77</v>
      </c>
      <c r="J78" s="331"/>
      <c r="K78" s="30"/>
      <c r="L78" s="634">
        <f>SUM(L79:L83)</f>
        <v>0</v>
      </c>
      <c r="M78" s="101" t="s">
        <v>568</v>
      </c>
      <c r="N78" s="634">
        <f t="shared" ref="N78:Q78" si="22">SUM(N79:N83)</f>
        <v>0</v>
      </c>
      <c r="O78" s="634">
        <f t="shared" si="22"/>
        <v>0</v>
      </c>
      <c r="P78" s="634">
        <f t="shared" si="22"/>
        <v>0</v>
      </c>
      <c r="Q78" s="634">
        <f t="shared" si="22"/>
        <v>0</v>
      </c>
      <c r="R78" s="332"/>
      <c r="T78" s="298" t="s">
        <v>37</v>
      </c>
      <c r="U78" s="203"/>
      <c r="V78" s="339" t="s">
        <v>711</v>
      </c>
      <c r="W78" s="340" t="s">
        <v>593</v>
      </c>
      <c r="X78" s="341" t="s">
        <v>712</v>
      </c>
      <c r="Y78" s="319"/>
      <c r="AB78" s="321" t="s">
        <v>713</v>
      </c>
      <c r="AC78" s="322"/>
      <c r="AF78" s="239" t="s">
        <v>1088</v>
      </c>
      <c r="AG78" s="239" t="s">
        <v>603</v>
      </c>
      <c r="AH78" s="239">
        <v>12</v>
      </c>
    </row>
    <row r="79" spans="2:34" ht="14.9" customHeight="1">
      <c r="B79" s="237" t="s">
        <v>593</v>
      </c>
      <c r="C79" s="350" t="s">
        <v>712</v>
      </c>
      <c r="D79" s="351">
        <f t="shared" si="20"/>
        <v>0</v>
      </c>
      <c r="E79" s="351">
        <f t="shared" si="21"/>
        <v>0</v>
      </c>
      <c r="F79" s="351"/>
      <c r="G79" s="207"/>
      <c r="H79" s="727"/>
      <c r="I79" s="14" t="s">
        <v>1090</v>
      </c>
      <c r="J79" s="357" t="s">
        <v>600</v>
      </c>
      <c r="K79" s="37" t="s">
        <v>85</v>
      </c>
      <c r="L79" s="628"/>
      <c r="M79" s="628"/>
      <c r="N79" s="624">
        <f>SUMIF('Change Control Summary'!$Q$25:$Q$39,'GMP COST DATA'!$I79,'Change Control Summary'!U$25:U$39)</f>
        <v>0</v>
      </c>
      <c r="O79" s="629">
        <f>N79+L79</f>
        <v>0</v>
      </c>
      <c r="P79" s="624">
        <f>SUMIF('Change Control Summary'!$Q$25:$Q$39,'GMP COST DATA'!$I79,'Change Control Summary'!V$25:V$39)</f>
        <v>0</v>
      </c>
      <c r="Q79" s="629">
        <f>P79+O79</f>
        <v>0</v>
      </c>
      <c r="R79" s="278"/>
      <c r="T79" s="279">
        <f>L79/$T$23</f>
        <v>0</v>
      </c>
      <c r="U79" s="203"/>
      <c r="V79" s="339" t="s">
        <v>714</v>
      </c>
      <c r="W79" s="340" t="s">
        <v>596</v>
      </c>
      <c r="X79" s="341" t="s">
        <v>715</v>
      </c>
      <c r="Y79" s="319"/>
      <c r="AB79" s="321" t="s">
        <v>716</v>
      </c>
      <c r="AC79" s="322"/>
      <c r="AF79" s="239" t="s">
        <v>594</v>
      </c>
      <c r="AG79" s="239" t="s">
        <v>606</v>
      </c>
      <c r="AH79" s="239">
        <v>5</v>
      </c>
    </row>
    <row r="80" spans="2:34" ht="15" thickBot="1">
      <c r="B80" s="237" t="s">
        <v>596</v>
      </c>
      <c r="C80" s="350" t="s">
        <v>715</v>
      </c>
      <c r="D80" s="351">
        <f t="shared" si="20"/>
        <v>0</v>
      </c>
      <c r="E80" s="351">
        <f t="shared" si="21"/>
        <v>0</v>
      </c>
      <c r="F80" s="351"/>
      <c r="G80" s="207"/>
      <c r="H80" s="727"/>
      <c r="I80" s="14" t="s">
        <v>1091</v>
      </c>
      <c r="J80" s="357" t="s">
        <v>600</v>
      </c>
      <c r="K80" s="37" t="s">
        <v>73</v>
      </c>
      <c r="L80" s="628"/>
      <c r="M80" s="628"/>
      <c r="N80" s="624">
        <f>SUMIF('Change Control Summary'!$Q$25:$Q$39,'GMP COST DATA'!$I80,'Change Control Summary'!U$25:U$39)</f>
        <v>0</v>
      </c>
      <c r="O80" s="629">
        <f t="shared" ref="O80:O83" si="23">N80+L80</f>
        <v>0</v>
      </c>
      <c r="P80" s="624">
        <f>SUMIF('Change Control Summary'!$Q$25:$Q$39,'GMP COST DATA'!$I80,'Change Control Summary'!V$25:V$39)</f>
        <v>0</v>
      </c>
      <c r="Q80" s="629">
        <f t="shared" ref="Q80:Q83" si="24">P80+O80</f>
        <v>0</v>
      </c>
      <c r="R80" s="358"/>
      <c r="T80" s="279">
        <f t="shared" ref="T80:T83" si="25">L80/$T$23</f>
        <v>0</v>
      </c>
      <c r="U80" s="203"/>
      <c r="V80" s="339" t="s">
        <v>717</v>
      </c>
      <c r="W80" s="340" t="s">
        <v>599</v>
      </c>
      <c r="X80" s="341" t="s">
        <v>718</v>
      </c>
      <c r="Y80" s="319"/>
      <c r="AB80" s="321" t="s">
        <v>719</v>
      </c>
      <c r="AC80" s="322"/>
      <c r="AF80" s="320" t="s">
        <v>104</v>
      </c>
      <c r="AG80" s="320" t="s">
        <v>600</v>
      </c>
      <c r="AH80" s="320">
        <v>12</v>
      </c>
    </row>
    <row r="81" spans="2:29" ht="14.5">
      <c r="B81" s="237" t="s">
        <v>599</v>
      </c>
      <c r="C81" s="350" t="s">
        <v>718</v>
      </c>
      <c r="D81" s="351">
        <f t="shared" si="20"/>
        <v>0</v>
      </c>
      <c r="E81" s="351">
        <f t="shared" si="21"/>
        <v>0</v>
      </c>
      <c r="F81" s="351"/>
      <c r="G81" s="207"/>
      <c r="H81" s="727"/>
      <c r="I81" s="14" t="s">
        <v>1092</v>
      </c>
      <c r="J81" s="357" t="s">
        <v>600</v>
      </c>
      <c r="K81" s="37" t="s">
        <v>74</v>
      </c>
      <c r="L81" s="628"/>
      <c r="M81" s="630"/>
      <c r="N81" s="624">
        <f>SUMIF('Change Control Summary'!$Q$25:$Q$39,'GMP COST DATA'!$I81,'Change Control Summary'!U$25:U$39)</f>
        <v>0</v>
      </c>
      <c r="O81" s="625">
        <f t="shared" si="23"/>
        <v>0</v>
      </c>
      <c r="P81" s="624">
        <f>SUMIF('Change Control Summary'!$Q$25:$Q$39,'GMP COST DATA'!$I81,'Change Control Summary'!V$25:V$39)</f>
        <v>0</v>
      </c>
      <c r="Q81" s="625">
        <f t="shared" si="24"/>
        <v>0</v>
      </c>
      <c r="R81" s="278"/>
      <c r="T81" s="279">
        <f t="shared" si="25"/>
        <v>0</v>
      </c>
      <c r="U81" s="203"/>
      <c r="V81" s="339" t="s">
        <v>720</v>
      </c>
      <c r="W81" s="340" t="s">
        <v>602</v>
      </c>
      <c r="X81" s="341" t="s">
        <v>645</v>
      </c>
      <c r="Y81" s="319"/>
      <c r="AB81" s="321" t="s">
        <v>696</v>
      </c>
      <c r="AC81" s="322"/>
    </row>
    <row r="82" spans="2:29" ht="14.5">
      <c r="B82" s="237" t="s">
        <v>602</v>
      </c>
      <c r="C82" s="350" t="s">
        <v>645</v>
      </c>
      <c r="D82" s="351">
        <f t="shared" si="20"/>
        <v>0</v>
      </c>
      <c r="E82" s="351">
        <f t="shared" si="21"/>
        <v>0</v>
      </c>
      <c r="F82" s="351"/>
      <c r="G82" s="207"/>
      <c r="H82" s="727"/>
      <c r="I82" s="14" t="s">
        <v>1093</v>
      </c>
      <c r="J82" s="357" t="s">
        <v>600</v>
      </c>
      <c r="K82" s="37" t="s">
        <v>123</v>
      </c>
      <c r="L82" s="628"/>
      <c r="M82" s="630"/>
      <c r="N82" s="624">
        <f>SUMIF('Change Control Summary'!$Q$25:$Q$39,'GMP COST DATA'!$I82,'Change Control Summary'!U$25:U$39)</f>
        <v>0</v>
      </c>
      <c r="O82" s="625">
        <f t="shared" si="23"/>
        <v>0</v>
      </c>
      <c r="P82" s="624">
        <f>SUMIF('Change Control Summary'!$Q$25:$Q$39,'GMP COST DATA'!$I82,'Change Control Summary'!V$25:V$39)</f>
        <v>0</v>
      </c>
      <c r="Q82" s="625">
        <f t="shared" si="24"/>
        <v>0</v>
      </c>
      <c r="R82" s="278"/>
      <c r="T82" s="279">
        <f t="shared" si="25"/>
        <v>0</v>
      </c>
      <c r="U82" s="203"/>
      <c r="V82" s="339" t="s">
        <v>721</v>
      </c>
      <c r="W82" s="340" t="s">
        <v>604</v>
      </c>
      <c r="X82" s="341" t="s">
        <v>722</v>
      </c>
      <c r="Y82" s="319"/>
      <c r="AB82" s="321" t="s">
        <v>588</v>
      </c>
      <c r="AC82" s="322" t="s">
        <v>313</v>
      </c>
    </row>
    <row r="83" spans="2:29" ht="16" thickBot="1">
      <c r="B83" s="237" t="s">
        <v>604</v>
      </c>
      <c r="C83" s="350" t="s">
        <v>723</v>
      </c>
      <c r="D83" s="345">
        <f t="shared" si="20"/>
        <v>0</v>
      </c>
      <c r="E83" s="345">
        <f t="shared" si="21"/>
        <v>0</v>
      </c>
      <c r="F83" s="345"/>
      <c r="G83" s="207"/>
      <c r="H83" s="727"/>
      <c r="I83" s="14" t="s">
        <v>1094</v>
      </c>
      <c r="J83" s="275" t="s">
        <v>597</v>
      </c>
      <c r="K83" s="37" t="s">
        <v>214</v>
      </c>
      <c r="L83" s="628"/>
      <c r="M83" s="630"/>
      <c r="N83" s="624">
        <f>SUMIF('Change Control Summary'!$Q$25:$Q$39,'GMP COST DATA'!$I83,'Change Control Summary'!U$25:U$39)</f>
        <v>0</v>
      </c>
      <c r="O83" s="625">
        <f t="shared" si="23"/>
        <v>0</v>
      </c>
      <c r="P83" s="624">
        <f>SUMIF('Change Control Summary'!$Q$25:$Q$39,'GMP COST DATA'!$I83,'Change Control Summary'!V$25:V$39)</f>
        <v>0</v>
      </c>
      <c r="Q83" s="625">
        <f t="shared" si="24"/>
        <v>0</v>
      </c>
      <c r="R83" s="278"/>
      <c r="T83" s="279">
        <f t="shared" si="25"/>
        <v>0</v>
      </c>
      <c r="U83" s="203"/>
      <c r="V83" s="346">
        <v>2.5</v>
      </c>
      <c r="W83" s="347" t="s">
        <v>621</v>
      </c>
      <c r="X83" s="348" t="s">
        <v>724</v>
      </c>
      <c r="Y83" s="349">
        <f>SUM(Y84:Y85)</f>
        <v>0</v>
      </c>
      <c r="AB83" s="237" t="s">
        <v>589</v>
      </c>
      <c r="AC83" s="238" t="s">
        <v>103</v>
      </c>
    </row>
    <row r="84" spans="2:29" ht="15" thickBot="1">
      <c r="B84" s="759" t="s">
        <v>725</v>
      </c>
      <c r="C84" s="760"/>
      <c r="D84" s="337">
        <f t="shared" ref="D84:F84" si="26">SUM(D85:D86)</f>
        <v>0</v>
      </c>
      <c r="E84" s="337">
        <f t="shared" si="26"/>
        <v>0</v>
      </c>
      <c r="F84" s="337">
        <f t="shared" si="26"/>
        <v>0</v>
      </c>
      <c r="G84" s="207"/>
      <c r="H84" s="727"/>
      <c r="I84" s="25" t="s">
        <v>20</v>
      </c>
      <c r="J84" s="283"/>
      <c r="K84" s="136"/>
      <c r="L84" s="632">
        <f>L78+L49+L34</f>
        <v>0</v>
      </c>
      <c r="M84" s="633"/>
      <c r="N84" s="632">
        <f t="shared" ref="N84:P84" si="27">N78+N49+N34</f>
        <v>0</v>
      </c>
      <c r="O84" s="632">
        <f t="shared" si="27"/>
        <v>0</v>
      </c>
      <c r="P84" s="632">
        <f t="shared" si="27"/>
        <v>0</v>
      </c>
      <c r="Q84" s="632">
        <f>Q78+Q49+Q34</f>
        <v>0</v>
      </c>
      <c r="R84" s="135"/>
      <c r="T84" s="285">
        <f>SUM(T34:T83)</f>
        <v>0</v>
      </c>
      <c r="U84" s="203"/>
      <c r="V84" s="339" t="s">
        <v>726</v>
      </c>
      <c r="W84" s="340" t="s">
        <v>556</v>
      </c>
      <c r="X84" s="359" t="s">
        <v>727</v>
      </c>
      <c r="Y84" s="319"/>
      <c r="AB84" s="237" t="s">
        <v>728</v>
      </c>
      <c r="AC84" s="238"/>
    </row>
    <row r="85" spans="2:29" ht="9.75" customHeight="1" thickBot="1">
      <c r="B85" s="237" t="s">
        <v>556</v>
      </c>
      <c r="C85" s="350" t="s">
        <v>727</v>
      </c>
      <c r="D85" s="351">
        <f t="shared" ref="D85:D86" si="28">SUM(E85:F85)</f>
        <v>0</v>
      </c>
      <c r="E85" s="351">
        <f>Y84</f>
        <v>0</v>
      </c>
      <c r="F85" s="351">
        <f>L66</f>
        <v>0</v>
      </c>
      <c r="G85" s="207"/>
      <c r="H85" s="727"/>
      <c r="I85" s="360"/>
      <c r="J85" s="361"/>
      <c r="K85" s="362"/>
      <c r="L85" s="363"/>
      <c r="M85" s="363"/>
      <c r="N85" s="363"/>
      <c r="O85" s="363"/>
      <c r="P85" s="363"/>
      <c r="Q85" s="363"/>
      <c r="R85" s="364"/>
      <c r="T85" s="365"/>
      <c r="U85" s="203"/>
      <c r="V85" s="339" t="s">
        <v>729</v>
      </c>
      <c r="W85" s="340" t="s">
        <v>606</v>
      </c>
      <c r="X85" s="341" t="s">
        <v>730</v>
      </c>
      <c r="Y85" s="319"/>
      <c r="AB85" s="237" t="s">
        <v>600</v>
      </c>
      <c r="AC85" s="238" t="s">
        <v>104</v>
      </c>
    </row>
    <row r="86" spans="2:29" ht="16" thickBot="1">
      <c r="B86" s="237" t="s">
        <v>606</v>
      </c>
      <c r="C86" s="350" t="s">
        <v>730</v>
      </c>
      <c r="D86" s="351">
        <f t="shared" si="28"/>
        <v>0</v>
      </c>
      <c r="E86" s="351">
        <f>Y85+Y139</f>
        <v>0</v>
      </c>
      <c r="F86" s="351">
        <f>L74</f>
        <v>0</v>
      </c>
      <c r="G86" s="207"/>
      <c r="H86" s="727"/>
      <c r="I86" s="26" t="s">
        <v>26</v>
      </c>
      <c r="J86" s="291"/>
      <c r="K86" s="27"/>
      <c r="L86" s="366"/>
      <c r="M86" s="724" t="s">
        <v>568</v>
      </c>
      <c r="N86" s="724"/>
      <c r="O86" s="724"/>
      <c r="P86" s="724"/>
      <c r="Q86" s="724"/>
      <c r="R86" s="367"/>
      <c r="T86" s="368" t="s">
        <v>37</v>
      </c>
      <c r="U86" s="203"/>
      <c r="V86" s="346">
        <v>2.6</v>
      </c>
      <c r="W86" s="347" t="s">
        <v>621</v>
      </c>
      <c r="X86" s="348" t="s">
        <v>731</v>
      </c>
      <c r="Y86" s="349">
        <f>SUM(Y87:Y96)</f>
        <v>0</v>
      </c>
      <c r="AB86" s="237" t="s">
        <v>603</v>
      </c>
      <c r="AC86" s="238"/>
    </row>
    <row r="87" spans="2:29" ht="15" thickBot="1">
      <c r="B87" s="759" t="s">
        <v>732</v>
      </c>
      <c r="C87" s="760"/>
      <c r="D87" s="337">
        <f t="shared" ref="D87:F87" si="29">SUM(D88:D97)</f>
        <v>0</v>
      </c>
      <c r="E87" s="337">
        <f t="shared" si="29"/>
        <v>0</v>
      </c>
      <c r="F87" s="337">
        <f t="shared" si="29"/>
        <v>0</v>
      </c>
      <c r="G87" s="207"/>
      <c r="H87" s="727"/>
      <c r="I87" s="14" t="s">
        <v>1095</v>
      </c>
      <c r="J87" s="275" t="s">
        <v>597</v>
      </c>
      <c r="K87" s="37" t="s">
        <v>62</v>
      </c>
      <c r="L87" s="628"/>
      <c r="M87" s="630"/>
      <c r="N87" s="624">
        <f>SUMIF('Change Control Summary'!$Q68:$Q76,'GMP COST DATA'!$I87,'Change Control Summary'!U68:U76)</f>
        <v>0</v>
      </c>
      <c r="O87" s="625">
        <f t="shared" ref="O87:O93" si="30">N87+L87</f>
        <v>0</v>
      </c>
      <c r="P87" s="624">
        <f>SUMIF('Change Control Summary'!$Q$25:$Q$39,'GMP COST DATA'!$I87,'Change Control Summary'!V$25:V$39)</f>
        <v>0</v>
      </c>
      <c r="Q87" s="625">
        <f t="shared" ref="Q87:Q93" si="31">P87+O87</f>
        <v>0</v>
      </c>
      <c r="R87" s="278"/>
      <c r="T87" s="279">
        <f>L87/$T$23</f>
        <v>0</v>
      </c>
      <c r="U87" s="203"/>
      <c r="V87" s="339" t="s">
        <v>733</v>
      </c>
      <c r="W87" s="340" t="s">
        <v>610</v>
      </c>
      <c r="X87" s="341" t="s">
        <v>734</v>
      </c>
      <c r="Y87" s="319"/>
      <c r="AB87" s="369" t="s">
        <v>597</v>
      </c>
      <c r="AC87" s="370" t="s">
        <v>95</v>
      </c>
    </row>
    <row r="88" spans="2:29" ht="14.5">
      <c r="B88" s="321" t="s">
        <v>610</v>
      </c>
      <c r="C88" s="371" t="s">
        <v>734</v>
      </c>
      <c r="D88" s="351">
        <f t="shared" ref="D88:D97" si="32">SUM(E88:F88)</f>
        <v>0</v>
      </c>
      <c r="E88" s="351">
        <f>Y87</f>
        <v>0</v>
      </c>
      <c r="F88" s="351"/>
      <c r="G88" s="206"/>
      <c r="H88" s="727"/>
      <c r="I88" s="14" t="s">
        <v>1096</v>
      </c>
      <c r="J88" s="275" t="s">
        <v>728</v>
      </c>
      <c r="K88" s="37" t="s">
        <v>57</v>
      </c>
      <c r="L88" s="628"/>
      <c r="M88" s="630"/>
      <c r="N88" s="624">
        <f>SUMIF('Change Control Summary'!$Q69:$Q77,'GMP COST DATA'!$I88,'Change Control Summary'!U69:U77)</f>
        <v>0</v>
      </c>
      <c r="O88" s="625">
        <f t="shared" si="30"/>
        <v>0</v>
      </c>
      <c r="P88" s="624">
        <f>SUMIF('Change Control Summary'!$Q$25:$Q$39,'GMP COST DATA'!$I88,'Change Control Summary'!V$25:V$39)</f>
        <v>0</v>
      </c>
      <c r="Q88" s="625">
        <f t="shared" si="31"/>
        <v>0</v>
      </c>
      <c r="R88" s="278"/>
      <c r="T88" s="279">
        <f t="shared" ref="T88:T93" si="33">L88/$T$23</f>
        <v>0</v>
      </c>
      <c r="U88" s="203"/>
      <c r="V88" s="339" t="s">
        <v>735</v>
      </c>
      <c r="W88" s="340" t="s">
        <v>571</v>
      </c>
      <c r="X88" s="341" t="s">
        <v>736</v>
      </c>
      <c r="Y88" s="319"/>
    </row>
    <row r="89" spans="2:29" ht="14.5">
      <c r="B89" s="321" t="s">
        <v>571</v>
      </c>
      <c r="C89" s="371" t="s">
        <v>736</v>
      </c>
      <c r="D89" s="351">
        <f t="shared" si="32"/>
        <v>0</v>
      </c>
      <c r="E89" s="351">
        <f t="shared" ref="E89:E97" si="34">Y88</f>
        <v>0</v>
      </c>
      <c r="F89" s="351">
        <f>L69</f>
        <v>0</v>
      </c>
      <c r="G89" s="207"/>
      <c r="H89" s="727"/>
      <c r="I89" s="14" t="s">
        <v>1097</v>
      </c>
      <c r="J89" s="275" t="s">
        <v>597</v>
      </c>
      <c r="K89" s="37" t="s">
        <v>35</v>
      </c>
      <c r="L89" s="628"/>
      <c r="M89" s="630"/>
      <c r="N89" s="624">
        <f>SUMIF('Change Control Summary'!$Q70:$Q78,'GMP COST DATA'!$I89,'Change Control Summary'!U70:U78)</f>
        <v>0</v>
      </c>
      <c r="O89" s="625">
        <f t="shared" si="30"/>
        <v>0</v>
      </c>
      <c r="P89" s="624">
        <f>SUMIF('Change Control Summary'!$Q$25:$Q$39,'GMP COST DATA'!$I89,'Change Control Summary'!V$25:V$39)</f>
        <v>0</v>
      </c>
      <c r="Q89" s="625">
        <f t="shared" si="31"/>
        <v>0</v>
      </c>
      <c r="R89" s="278"/>
      <c r="T89" s="279">
        <f t="shared" si="33"/>
        <v>0</v>
      </c>
      <c r="U89" s="203"/>
      <c r="V89" s="339" t="s">
        <v>737</v>
      </c>
      <c r="W89" s="340" t="s">
        <v>613</v>
      </c>
      <c r="X89" s="341" t="s">
        <v>738</v>
      </c>
      <c r="Y89" s="319"/>
    </row>
    <row r="90" spans="2:29" ht="14.5">
      <c r="B90" s="321" t="s">
        <v>613</v>
      </c>
      <c r="C90" s="371" t="s">
        <v>738</v>
      </c>
      <c r="D90" s="351">
        <f t="shared" si="32"/>
        <v>0</v>
      </c>
      <c r="E90" s="351">
        <f t="shared" si="34"/>
        <v>0</v>
      </c>
      <c r="F90" s="351"/>
      <c r="G90" s="207"/>
      <c r="H90" s="727"/>
      <c r="I90" s="14" t="s">
        <v>1098</v>
      </c>
      <c r="J90" s="275" t="s">
        <v>597</v>
      </c>
      <c r="K90" s="37" t="s">
        <v>9</v>
      </c>
      <c r="L90" s="628"/>
      <c r="M90" s="630"/>
      <c r="N90" s="624">
        <f>SUMIF('Change Control Summary'!$Q71:$Q79,'GMP COST DATA'!$I90,'Change Control Summary'!U71:U79)</f>
        <v>0</v>
      </c>
      <c r="O90" s="625">
        <f t="shared" si="30"/>
        <v>0</v>
      </c>
      <c r="P90" s="624">
        <f>SUMIF('Change Control Summary'!$Q$25:$Q$39,'GMP COST DATA'!$I90,'Change Control Summary'!V$25:V$39)</f>
        <v>0</v>
      </c>
      <c r="Q90" s="625">
        <f t="shared" si="31"/>
        <v>0</v>
      </c>
      <c r="R90" s="278"/>
      <c r="T90" s="279">
        <f t="shared" si="33"/>
        <v>0</v>
      </c>
      <c r="U90" s="203"/>
      <c r="V90" s="339" t="s">
        <v>739</v>
      </c>
      <c r="W90" s="340" t="s">
        <v>616</v>
      </c>
      <c r="X90" s="341" t="s">
        <v>740</v>
      </c>
      <c r="Y90" s="319"/>
    </row>
    <row r="91" spans="2:29" ht="14.5">
      <c r="B91" s="321" t="s">
        <v>616</v>
      </c>
      <c r="C91" s="371" t="s">
        <v>740</v>
      </c>
      <c r="D91" s="351">
        <f t="shared" si="32"/>
        <v>0</v>
      </c>
      <c r="E91" s="351">
        <f t="shared" si="34"/>
        <v>0</v>
      </c>
      <c r="F91" s="351"/>
      <c r="G91" s="207"/>
      <c r="H91" s="727"/>
      <c r="I91" s="14" t="s">
        <v>1099</v>
      </c>
      <c r="J91" s="275" t="s">
        <v>597</v>
      </c>
      <c r="K91" s="37" t="s">
        <v>741</v>
      </c>
      <c r="L91" s="628"/>
      <c r="M91" s="630"/>
      <c r="N91" s="624">
        <f>SUMIF('Change Control Summary'!$Q72:$Q80,'GMP COST DATA'!$I91,'Change Control Summary'!U72:U80)</f>
        <v>0</v>
      </c>
      <c r="O91" s="625">
        <f t="shared" si="30"/>
        <v>0</v>
      </c>
      <c r="P91" s="624">
        <f>SUMIF('Change Control Summary'!$Q$25:$Q$39,'GMP COST DATA'!$I91,'Change Control Summary'!V$25:V$39)</f>
        <v>0</v>
      </c>
      <c r="Q91" s="625">
        <f t="shared" si="31"/>
        <v>0</v>
      </c>
      <c r="R91" s="278"/>
      <c r="T91" s="279">
        <f t="shared" si="33"/>
        <v>0</v>
      </c>
      <c r="U91" s="203"/>
      <c r="V91" s="339" t="s">
        <v>742</v>
      </c>
      <c r="W91" s="340" t="s">
        <v>617</v>
      </c>
      <c r="X91" s="341" t="s">
        <v>743</v>
      </c>
      <c r="Y91" s="319"/>
    </row>
    <row r="92" spans="2:29" ht="14.5">
      <c r="B92" s="321" t="s">
        <v>617</v>
      </c>
      <c r="C92" s="371" t="s">
        <v>743</v>
      </c>
      <c r="D92" s="351">
        <f t="shared" si="32"/>
        <v>0</v>
      </c>
      <c r="E92" s="351">
        <f t="shared" si="34"/>
        <v>0</v>
      </c>
      <c r="F92" s="351"/>
      <c r="G92" s="207"/>
      <c r="H92" s="727"/>
      <c r="I92" s="14" t="s">
        <v>1100</v>
      </c>
      <c r="J92" s="275" t="s">
        <v>597</v>
      </c>
      <c r="K92" s="37" t="s">
        <v>11</v>
      </c>
      <c r="L92" s="628"/>
      <c r="M92" s="630"/>
      <c r="N92" s="624">
        <f>SUMIF('Change Control Summary'!$Q73:$Q81,'GMP COST DATA'!$I92,'Change Control Summary'!U73:U81)</f>
        <v>0</v>
      </c>
      <c r="O92" s="625">
        <f t="shared" si="30"/>
        <v>0</v>
      </c>
      <c r="P92" s="624">
        <f>SUMIF('Change Control Summary'!$Q$25:$Q$39,'GMP COST DATA'!$I92,'Change Control Summary'!V$25:V$39)</f>
        <v>0</v>
      </c>
      <c r="Q92" s="625">
        <f t="shared" si="31"/>
        <v>0</v>
      </c>
      <c r="R92" s="278"/>
      <c r="T92" s="279">
        <f t="shared" si="33"/>
        <v>0</v>
      </c>
      <c r="U92" s="203"/>
      <c r="V92" s="339" t="s">
        <v>744</v>
      </c>
      <c r="W92" s="340" t="s">
        <v>573</v>
      </c>
      <c r="X92" s="341" t="s">
        <v>4</v>
      </c>
      <c r="Y92" s="319"/>
    </row>
    <row r="93" spans="2:29" ht="15" thickBot="1">
      <c r="B93" s="321" t="s">
        <v>573</v>
      </c>
      <c r="C93" s="371" t="s">
        <v>4</v>
      </c>
      <c r="D93" s="351">
        <f t="shared" si="32"/>
        <v>0</v>
      </c>
      <c r="E93" s="351">
        <f t="shared" si="34"/>
        <v>0</v>
      </c>
      <c r="F93" s="351">
        <f>L70</f>
        <v>0</v>
      </c>
      <c r="G93" s="207"/>
      <c r="H93" s="727"/>
      <c r="I93" s="14" t="s">
        <v>1101</v>
      </c>
      <c r="J93" s="275" t="s">
        <v>597</v>
      </c>
      <c r="K93" s="37" t="s">
        <v>12</v>
      </c>
      <c r="L93" s="628"/>
      <c r="M93" s="631"/>
      <c r="N93" s="624">
        <f>SUMIF('Change Control Summary'!$Q74:$Q82,'GMP COST DATA'!$I93,'Change Control Summary'!U74:U82)</f>
        <v>0</v>
      </c>
      <c r="O93" s="625">
        <f t="shared" si="30"/>
        <v>0</v>
      </c>
      <c r="P93" s="624">
        <f>SUMIF('Change Control Summary'!$Q$25:$Q$39,'GMP COST DATA'!$I93,'Change Control Summary'!V$25:V$39)</f>
        <v>0</v>
      </c>
      <c r="Q93" s="625">
        <f t="shared" si="31"/>
        <v>0</v>
      </c>
      <c r="R93" s="372"/>
      <c r="T93" s="279">
        <f t="shared" si="33"/>
        <v>0</v>
      </c>
      <c r="U93" s="203"/>
      <c r="V93" s="339" t="s">
        <v>745</v>
      </c>
      <c r="W93" s="340" t="s">
        <v>559</v>
      </c>
      <c r="X93" s="341" t="s">
        <v>746</v>
      </c>
      <c r="Y93" s="319"/>
    </row>
    <row r="94" spans="2:29" ht="15" thickBot="1">
      <c r="B94" s="321" t="s">
        <v>559</v>
      </c>
      <c r="C94" s="371" t="s">
        <v>746</v>
      </c>
      <c r="D94" s="351">
        <f t="shared" si="32"/>
        <v>0</v>
      </c>
      <c r="E94" s="351">
        <f t="shared" si="34"/>
        <v>0</v>
      </c>
      <c r="F94" s="351">
        <f>L67</f>
        <v>0</v>
      </c>
      <c r="G94" s="373"/>
      <c r="H94" s="727"/>
      <c r="I94" s="25" t="s">
        <v>21</v>
      </c>
      <c r="J94" s="283"/>
      <c r="K94" s="136"/>
      <c r="L94" s="13">
        <f>SUM(L87:L93)</f>
        <v>0</v>
      </c>
      <c r="M94" s="284"/>
      <c r="N94" s="13">
        <f t="shared" ref="N94:P94" si="35">SUM(N87:N93)</f>
        <v>0</v>
      </c>
      <c r="O94" s="13">
        <f t="shared" si="35"/>
        <v>0</v>
      </c>
      <c r="P94" s="13">
        <f t="shared" si="35"/>
        <v>0</v>
      </c>
      <c r="Q94" s="13">
        <f>SUM(Q87:Q93)</f>
        <v>0</v>
      </c>
      <c r="R94" s="135"/>
      <c r="T94" s="285">
        <f>SUM(T87:T93)</f>
        <v>0</v>
      </c>
      <c r="U94" s="203"/>
      <c r="V94" s="339" t="s">
        <v>747</v>
      </c>
      <c r="W94" s="340" t="s">
        <v>625</v>
      </c>
      <c r="X94" s="341" t="s">
        <v>748</v>
      </c>
      <c r="Y94" s="319"/>
    </row>
    <row r="95" spans="2:29" ht="8.25" customHeight="1" thickBot="1">
      <c r="B95" s="321" t="s">
        <v>625</v>
      </c>
      <c r="C95" s="371" t="s">
        <v>748</v>
      </c>
      <c r="D95" s="351">
        <f t="shared" si="32"/>
        <v>0</v>
      </c>
      <c r="E95" s="351">
        <f t="shared" si="34"/>
        <v>0</v>
      </c>
      <c r="F95" s="351"/>
      <c r="H95" s="727"/>
      <c r="I95" s="360"/>
      <c r="J95" s="361"/>
      <c r="K95" s="362"/>
      <c r="L95" s="363"/>
      <c r="M95" s="363"/>
      <c r="N95" s="363"/>
      <c r="O95" s="363"/>
      <c r="P95" s="363"/>
      <c r="Q95" s="363"/>
      <c r="R95" s="364"/>
      <c r="T95" s="365"/>
      <c r="U95" s="203"/>
      <c r="V95" s="339" t="s">
        <v>749</v>
      </c>
      <c r="W95" s="340" t="s">
        <v>629</v>
      </c>
      <c r="X95" s="341" t="s">
        <v>750</v>
      </c>
      <c r="Y95" s="319"/>
    </row>
    <row r="96" spans="2:29" ht="14.5">
      <c r="B96" s="321" t="s">
        <v>629</v>
      </c>
      <c r="C96" s="371" t="s">
        <v>750</v>
      </c>
      <c r="D96" s="351">
        <f t="shared" si="32"/>
        <v>0</v>
      </c>
      <c r="E96" s="351">
        <f t="shared" si="34"/>
        <v>0</v>
      </c>
      <c r="F96" s="351"/>
      <c r="H96" s="727"/>
      <c r="I96" s="26" t="s">
        <v>27</v>
      </c>
      <c r="J96" s="291"/>
      <c r="K96" s="27"/>
      <c r="L96" s="366"/>
      <c r="M96" s="724" t="s">
        <v>568</v>
      </c>
      <c r="N96" s="724"/>
      <c r="O96" s="724"/>
      <c r="P96" s="724"/>
      <c r="Q96" s="724"/>
      <c r="R96" s="367"/>
      <c r="T96" s="368" t="s">
        <v>37</v>
      </c>
      <c r="U96" s="203"/>
      <c r="V96" s="339" t="s">
        <v>751</v>
      </c>
      <c r="W96" s="340" t="s">
        <v>632</v>
      </c>
      <c r="X96" s="341" t="s">
        <v>752</v>
      </c>
      <c r="Y96" s="319"/>
    </row>
    <row r="97" spans="2:34" ht="16" thickBot="1">
      <c r="B97" s="321" t="s">
        <v>632</v>
      </c>
      <c r="C97" s="371" t="s">
        <v>753</v>
      </c>
      <c r="D97" s="345">
        <f t="shared" si="32"/>
        <v>0</v>
      </c>
      <c r="E97" s="345">
        <f t="shared" si="34"/>
        <v>0</v>
      </c>
      <c r="F97" s="345"/>
      <c r="H97" s="727"/>
      <c r="I97" s="14" t="s">
        <v>1103</v>
      </c>
      <c r="J97" s="275" t="s">
        <v>603</v>
      </c>
      <c r="K97" s="22" t="s">
        <v>13</v>
      </c>
      <c r="L97" s="628"/>
      <c r="M97" s="630"/>
      <c r="N97" s="624">
        <f>SUMIF('Change Control Summary'!$Q78:$Q86,'GMP COST DATA'!$I97,'Change Control Summary'!U78:U86)</f>
        <v>0</v>
      </c>
      <c r="O97" s="625">
        <f t="shared" ref="O97:O99" si="36">N97+L97</f>
        <v>0</v>
      </c>
      <c r="P97" s="624">
        <f>SUMIF('Change Control Summary'!$Q$25:$Q$39,'GMP COST DATA'!$I97,'Change Control Summary'!V$25:V$39)</f>
        <v>0</v>
      </c>
      <c r="Q97" s="625">
        <f t="shared" ref="Q97:Q99" si="37">P97+O97</f>
        <v>0</v>
      </c>
      <c r="R97" s="278"/>
      <c r="T97" s="279">
        <f>L97/$T$23</f>
        <v>0</v>
      </c>
      <c r="U97" s="203"/>
      <c r="V97" s="346">
        <v>2.7</v>
      </c>
      <c r="W97" s="347" t="s">
        <v>621</v>
      </c>
      <c r="X97" s="348" t="s">
        <v>5</v>
      </c>
      <c r="Y97" s="349">
        <f>SUM(Y98:Y105)</f>
        <v>0</v>
      </c>
    </row>
    <row r="98" spans="2:34" ht="15" thickBot="1">
      <c r="B98" s="759" t="s">
        <v>754</v>
      </c>
      <c r="C98" s="760"/>
      <c r="D98" s="337">
        <f t="shared" ref="D98:F98" si="38">SUM(D99:D106)</f>
        <v>0</v>
      </c>
      <c r="E98" s="337">
        <f t="shared" si="38"/>
        <v>0</v>
      </c>
      <c r="F98" s="337">
        <f t="shared" si="38"/>
        <v>0</v>
      </c>
      <c r="H98" s="727"/>
      <c r="I98" s="14" t="s">
        <v>1102</v>
      </c>
      <c r="J98" s="275" t="s">
        <v>603</v>
      </c>
      <c r="K98" s="22" t="s">
        <v>19</v>
      </c>
      <c r="L98" s="628"/>
      <c r="M98" s="630"/>
      <c r="N98" s="624">
        <f>SUMIF('Change Control Summary'!$Q79:$Q87,'GMP COST DATA'!$I98,'Change Control Summary'!U79:U87)</f>
        <v>0</v>
      </c>
      <c r="O98" s="625">
        <f t="shared" si="36"/>
        <v>0</v>
      </c>
      <c r="P98" s="624">
        <f>SUMIF('Change Control Summary'!$Q$25:$Q$39,'GMP COST DATA'!$I98,'Change Control Summary'!V$25:V$39)</f>
        <v>0</v>
      </c>
      <c r="Q98" s="625">
        <f t="shared" si="37"/>
        <v>0</v>
      </c>
      <c r="R98" s="278"/>
      <c r="T98" s="279">
        <f t="shared" ref="T98:T99" si="39">L98/$T$23</f>
        <v>0</v>
      </c>
      <c r="U98" s="203"/>
      <c r="V98" s="339" t="s">
        <v>755</v>
      </c>
      <c r="W98" s="340" t="s">
        <v>635</v>
      </c>
      <c r="X98" s="341" t="s">
        <v>734</v>
      </c>
      <c r="Y98" s="319"/>
    </row>
    <row r="99" spans="2:34" ht="15" thickBot="1">
      <c r="B99" s="237" t="s">
        <v>635</v>
      </c>
      <c r="C99" s="350" t="s">
        <v>734</v>
      </c>
      <c r="D99" s="351">
        <f t="shared" ref="D99:D138" si="40">SUM(E99:F99)</f>
        <v>0</v>
      </c>
      <c r="E99" s="351">
        <f>Y98</f>
        <v>0</v>
      </c>
      <c r="F99" s="351"/>
      <c r="H99" s="727"/>
      <c r="I99" s="14" t="s">
        <v>1104</v>
      </c>
      <c r="J99" s="275" t="s">
        <v>603</v>
      </c>
      <c r="K99" s="22" t="s">
        <v>14</v>
      </c>
      <c r="L99" s="628"/>
      <c r="M99" s="631"/>
      <c r="N99" s="624">
        <f>SUMIF('Change Control Summary'!$Q80:$Q88,'GMP COST DATA'!$I99,'Change Control Summary'!U80:U88)</f>
        <v>0</v>
      </c>
      <c r="O99" s="625">
        <f t="shared" si="36"/>
        <v>0</v>
      </c>
      <c r="P99" s="624">
        <f>SUMIF('Change Control Summary'!$Q$25:$Q$39,'GMP COST DATA'!$I99,'Change Control Summary'!V$25:V$39)</f>
        <v>0</v>
      </c>
      <c r="Q99" s="625">
        <f t="shared" si="37"/>
        <v>0</v>
      </c>
      <c r="R99" s="372"/>
      <c r="T99" s="279">
        <f t="shared" si="39"/>
        <v>0</v>
      </c>
      <c r="U99" s="203"/>
      <c r="V99" s="339" t="s">
        <v>756</v>
      </c>
      <c r="W99" s="340" t="s">
        <v>583</v>
      </c>
      <c r="X99" s="341" t="s">
        <v>757</v>
      </c>
      <c r="Y99" s="319"/>
      <c r="AF99" s="167"/>
    </row>
    <row r="100" spans="2:34" ht="15" thickBot="1">
      <c r="B100" s="237" t="s">
        <v>583</v>
      </c>
      <c r="C100" s="350" t="s">
        <v>757</v>
      </c>
      <c r="D100" s="351">
        <f t="shared" si="40"/>
        <v>0</v>
      </c>
      <c r="E100" s="351">
        <f t="shared" ref="E100:E106" si="41">Y99</f>
        <v>0</v>
      </c>
      <c r="F100" s="351">
        <f>L53</f>
        <v>0</v>
      </c>
      <c r="H100" s="727"/>
      <c r="I100" s="25" t="s">
        <v>22</v>
      </c>
      <c r="J100" s="283"/>
      <c r="K100" s="136"/>
      <c r="L100" s="13">
        <f>SUM(L97:L99)</f>
        <v>0</v>
      </c>
      <c r="M100" s="284"/>
      <c r="N100" s="284"/>
      <c r="O100" s="13">
        <f>SUM(O97:O99)</f>
        <v>0</v>
      </c>
      <c r="P100" s="284"/>
      <c r="Q100" s="13">
        <f>SUM(Q97:Q99)</f>
        <v>0</v>
      </c>
      <c r="R100" s="135"/>
      <c r="T100" s="285">
        <f>SUM(T97:T99)</f>
        <v>0</v>
      </c>
      <c r="U100" s="203"/>
      <c r="V100" s="339" t="s">
        <v>758</v>
      </c>
      <c r="W100" s="340" t="s">
        <v>641</v>
      </c>
      <c r="X100" s="341" t="s">
        <v>759</v>
      </c>
      <c r="Y100" s="319"/>
      <c r="AF100" s="167"/>
    </row>
    <row r="101" spans="2:34" ht="8.25" customHeight="1" thickBot="1">
      <c r="B101" s="237" t="s">
        <v>641</v>
      </c>
      <c r="C101" s="350" t="s">
        <v>759</v>
      </c>
      <c r="D101" s="351">
        <f t="shared" si="40"/>
        <v>0</v>
      </c>
      <c r="E101" s="351">
        <f t="shared" si="41"/>
        <v>0</v>
      </c>
      <c r="F101" s="351"/>
      <c r="H101" s="727"/>
      <c r="I101" s="360"/>
      <c r="J101" s="361"/>
      <c r="K101" s="362"/>
      <c r="L101" s="363"/>
      <c r="M101" s="363"/>
      <c r="N101" s="363"/>
      <c r="O101" s="363"/>
      <c r="P101" s="363"/>
      <c r="Q101" s="363"/>
      <c r="R101" s="364"/>
      <c r="T101" s="365"/>
      <c r="U101" s="203"/>
      <c r="V101" s="339" t="s">
        <v>760</v>
      </c>
      <c r="W101" s="340" t="s">
        <v>576</v>
      </c>
      <c r="X101" s="341" t="s">
        <v>5</v>
      </c>
      <c r="Y101" s="319"/>
      <c r="AF101" s="167"/>
    </row>
    <row r="102" spans="2:34" ht="15" thickBot="1">
      <c r="B102" s="237" t="s">
        <v>576</v>
      </c>
      <c r="C102" s="350" t="s">
        <v>5</v>
      </c>
      <c r="D102" s="351">
        <f t="shared" si="40"/>
        <v>0</v>
      </c>
      <c r="E102" s="351">
        <f t="shared" si="41"/>
        <v>0</v>
      </c>
      <c r="F102" s="351">
        <f>L71</f>
        <v>0</v>
      </c>
      <c r="H102" s="727"/>
      <c r="I102" s="374" t="s">
        <v>1105</v>
      </c>
      <c r="J102" s="375"/>
      <c r="K102" s="376" t="s">
        <v>59</v>
      </c>
      <c r="L102" s="628">
        <v>0</v>
      </c>
      <c r="M102" s="630"/>
      <c r="N102" s="731">
        <f>SUMIF('Change Control Summary'!$Q83:$Q91,'GMP COST DATA'!$I102,'Change Control Summary'!U83:U91)</f>
        <v>0</v>
      </c>
      <c r="O102" s="625">
        <f t="shared" ref="O102:O104" si="42">N102+L102</f>
        <v>0</v>
      </c>
      <c r="P102" s="731">
        <f>SUMIF('Change Control Summary'!$Q$25:$Q$39,'GMP COST DATA'!$I102,'Change Control Summary'!V$25:V$39)</f>
        <v>0</v>
      </c>
      <c r="Q102" s="625">
        <f t="shared" ref="Q102:Q104" si="43">P102+O102</f>
        <v>0</v>
      </c>
      <c r="R102" s="278"/>
      <c r="T102" s="377">
        <f>L102/$T$23</f>
        <v>0</v>
      </c>
      <c r="U102" s="203"/>
      <c r="V102" s="339" t="s">
        <v>761</v>
      </c>
      <c r="W102" s="340" t="s">
        <v>646</v>
      </c>
      <c r="X102" s="341" t="s">
        <v>762</v>
      </c>
      <c r="Y102" s="319"/>
      <c r="AF102" s="167"/>
    </row>
    <row r="103" spans="2:34" ht="15" thickBot="1">
      <c r="B103" s="237" t="s">
        <v>646</v>
      </c>
      <c r="C103" s="350" t="s">
        <v>762</v>
      </c>
      <c r="D103" s="351">
        <f t="shared" si="40"/>
        <v>0</v>
      </c>
      <c r="E103" s="351">
        <f t="shared" si="41"/>
        <v>0</v>
      </c>
      <c r="F103" s="351"/>
      <c r="H103" s="727"/>
      <c r="I103" s="374" t="s">
        <v>1106</v>
      </c>
      <c r="J103" s="375"/>
      <c r="K103" s="376" t="s">
        <v>1064</v>
      </c>
      <c r="L103" s="628">
        <v>0</v>
      </c>
      <c r="M103" s="630"/>
      <c r="N103" s="731">
        <f>SUMIF('Change Control Summary'!$Q84:$Q92,'GMP COST DATA'!$I103,'Change Control Summary'!U84:U92)</f>
        <v>0</v>
      </c>
      <c r="O103" s="625">
        <f t="shared" si="42"/>
        <v>0</v>
      </c>
      <c r="P103" s="731">
        <f>SUMIF('Change Control Summary'!$Q$25:$Q$39,'GMP COST DATA'!$I103,'Change Control Summary'!V$25:V$39)</f>
        <v>0</v>
      </c>
      <c r="Q103" s="625">
        <f t="shared" si="43"/>
        <v>0</v>
      </c>
      <c r="R103" s="278"/>
      <c r="T103" s="378">
        <f>L103/$T$23</f>
        <v>0</v>
      </c>
      <c r="U103" s="203"/>
      <c r="V103" s="339" t="s">
        <v>763</v>
      </c>
      <c r="W103" s="340" t="s">
        <v>578</v>
      </c>
      <c r="X103" s="341" t="s">
        <v>764</v>
      </c>
      <c r="Y103" s="319"/>
    </row>
    <row r="104" spans="2:34" ht="15" thickBot="1">
      <c r="B104" s="237" t="s">
        <v>578</v>
      </c>
      <c r="C104" s="350" t="s">
        <v>764</v>
      </c>
      <c r="D104" s="351">
        <f t="shared" si="40"/>
        <v>0</v>
      </c>
      <c r="E104" s="351">
        <f t="shared" si="41"/>
        <v>0</v>
      </c>
      <c r="F104" s="351">
        <f>L72</f>
        <v>0</v>
      </c>
      <c r="H104" s="727"/>
      <c r="I104" s="374" t="s">
        <v>1107</v>
      </c>
      <c r="J104" s="375"/>
      <c r="K104" s="376" t="s">
        <v>315</v>
      </c>
      <c r="L104" s="628">
        <v>0</v>
      </c>
      <c r="M104" s="630"/>
      <c r="N104" s="731">
        <f>SUMIF('Change Control Summary'!$Q85:$Q93,'GMP COST DATA'!$I104,'Change Control Summary'!U85:U93)</f>
        <v>0</v>
      </c>
      <c r="O104" s="625">
        <f t="shared" si="42"/>
        <v>0</v>
      </c>
      <c r="P104" s="731">
        <f>SUMIF('Change Control Summary'!$Q$25:$Q$39,'GMP COST DATA'!$I104,'Change Control Summary'!V$25:V$39)</f>
        <v>0</v>
      </c>
      <c r="Q104" s="625">
        <f t="shared" si="43"/>
        <v>0</v>
      </c>
      <c r="R104" s="278"/>
      <c r="S104" s="167"/>
      <c r="T104" s="378">
        <f>L104/$T$23</f>
        <v>0</v>
      </c>
      <c r="U104" s="203"/>
      <c r="V104" s="339" t="s">
        <v>765</v>
      </c>
      <c r="W104" s="340" t="s">
        <v>651</v>
      </c>
      <c r="X104" s="341" t="s">
        <v>766</v>
      </c>
      <c r="Y104" s="319"/>
    </row>
    <row r="105" spans="2:34" ht="15" thickBot="1">
      <c r="B105" s="237" t="s">
        <v>651</v>
      </c>
      <c r="C105" s="350" t="s">
        <v>766</v>
      </c>
      <c r="D105" s="351">
        <f t="shared" si="40"/>
        <v>0</v>
      </c>
      <c r="E105" s="351">
        <f t="shared" si="41"/>
        <v>0</v>
      </c>
      <c r="F105" s="351"/>
      <c r="H105" s="727"/>
      <c r="I105" s="25" t="s">
        <v>23</v>
      </c>
      <c r="J105" s="283"/>
      <c r="K105" s="136"/>
      <c r="L105" s="632">
        <f>L102+L100+L94+L84+L31+L103+L104</f>
        <v>0</v>
      </c>
      <c r="M105" s="633"/>
      <c r="N105" s="632">
        <f t="shared" ref="N105:P105" si="44">N102+N100+N94+N84+N31+N103+N104</f>
        <v>0</v>
      </c>
      <c r="O105" s="632">
        <f t="shared" si="44"/>
        <v>0</v>
      </c>
      <c r="P105" s="632">
        <f t="shared" si="44"/>
        <v>0</v>
      </c>
      <c r="Q105" s="632">
        <f>Q102+Q100+Q94+Q84+Q31+Q103+Q104</f>
        <v>0</v>
      </c>
      <c r="R105" s="135"/>
      <c r="S105" s="169"/>
      <c r="T105" s="285">
        <f>T102+T100+T94+T84+T31+T103+T104</f>
        <v>0</v>
      </c>
      <c r="U105" s="203"/>
      <c r="V105" s="339" t="s">
        <v>767</v>
      </c>
      <c r="W105" s="340" t="s">
        <v>655</v>
      </c>
      <c r="X105" s="341" t="s">
        <v>768</v>
      </c>
      <c r="Y105" s="319"/>
    </row>
    <row r="106" spans="2:34" s="167" customFormat="1" ht="6.75" customHeight="1" thickBot="1">
      <c r="B106" s="237" t="s">
        <v>655</v>
      </c>
      <c r="C106" s="350" t="s">
        <v>769</v>
      </c>
      <c r="D106" s="345">
        <f t="shared" si="40"/>
        <v>0</v>
      </c>
      <c r="E106" s="345">
        <f t="shared" si="41"/>
        <v>0</v>
      </c>
      <c r="F106" s="345"/>
      <c r="G106" s="379"/>
      <c r="H106" s="728"/>
      <c r="I106" s="360"/>
      <c r="J106" s="361"/>
      <c r="K106" s="362"/>
      <c r="L106" s="363"/>
      <c r="M106" s="363"/>
      <c r="N106" s="363"/>
      <c r="O106" s="363"/>
      <c r="P106" s="363"/>
      <c r="Q106" s="363"/>
      <c r="R106" s="364"/>
      <c r="U106" s="379"/>
      <c r="V106" s="346">
        <v>2.8</v>
      </c>
      <c r="W106" s="347" t="s">
        <v>621</v>
      </c>
      <c r="X106" s="348" t="s">
        <v>770</v>
      </c>
      <c r="Y106" s="349">
        <f>SUM(Y107:Y109)</f>
        <v>0</v>
      </c>
      <c r="AE106" s="24"/>
      <c r="AF106" s="24"/>
      <c r="AG106" s="24"/>
      <c r="AH106" s="24"/>
    </row>
    <row r="107" spans="2:34" s="167" customFormat="1" ht="15" thickBot="1">
      <c r="B107" s="759" t="s">
        <v>771</v>
      </c>
      <c r="C107" s="760"/>
      <c r="D107" s="337">
        <f t="shared" ref="D107:F107" si="45">SUM(D108:D110)</f>
        <v>0</v>
      </c>
      <c r="E107" s="337">
        <f t="shared" si="45"/>
        <v>0</v>
      </c>
      <c r="F107" s="337">
        <f t="shared" si="45"/>
        <v>0</v>
      </c>
      <c r="G107" s="379"/>
      <c r="H107" s="728"/>
      <c r="I107" s="25" t="s">
        <v>96</v>
      </c>
      <c r="J107" s="283"/>
      <c r="K107" s="136"/>
      <c r="L107" s="136"/>
      <c r="M107" s="136"/>
      <c r="N107" s="136"/>
      <c r="O107" s="136"/>
      <c r="P107" s="136"/>
      <c r="Q107" s="136"/>
      <c r="R107" s="136"/>
      <c r="U107" s="379"/>
      <c r="V107" s="339" t="s">
        <v>772</v>
      </c>
      <c r="W107" s="340" t="s">
        <v>567</v>
      </c>
      <c r="X107" s="341" t="s">
        <v>773</v>
      </c>
      <c r="Y107" s="319"/>
      <c r="AE107" s="24"/>
      <c r="AF107" s="24"/>
      <c r="AG107" s="24"/>
      <c r="AH107" s="24"/>
    </row>
    <row r="108" spans="2:34" s="167" customFormat="1" ht="15" thickBot="1">
      <c r="B108" s="237" t="s">
        <v>567</v>
      </c>
      <c r="C108" s="350" t="s">
        <v>773</v>
      </c>
      <c r="D108" s="351">
        <f t="shared" si="40"/>
        <v>0</v>
      </c>
      <c r="E108" s="351">
        <f>Y107</f>
        <v>0</v>
      </c>
      <c r="F108" s="351">
        <f>L68</f>
        <v>0</v>
      </c>
      <c r="G108" s="379"/>
      <c r="H108" s="727"/>
      <c r="I108" s="376" t="s">
        <v>1108</v>
      </c>
      <c r="J108" s="376"/>
      <c r="K108" s="376" t="s">
        <v>1065</v>
      </c>
      <c r="L108" s="628"/>
      <c r="M108" s="630"/>
      <c r="N108" s="731">
        <f>SUMIF('Change Control Summary'!$Q89:$Q97,'GMP COST DATA'!$I108,'Change Control Summary'!U89:U97)</f>
        <v>0</v>
      </c>
      <c r="O108" s="625">
        <f t="shared" ref="O108:O110" si="46">N108+L108</f>
        <v>0</v>
      </c>
      <c r="P108" s="731">
        <f>SUMIF('Change Control Summary'!$Q$25:$Q$39,'GMP COST DATA'!$I108,'Change Control Summary'!V$25:V$39)</f>
        <v>0</v>
      </c>
      <c r="Q108" s="625">
        <f t="shared" ref="Q108:Q110" si="47">P108+O108</f>
        <v>0</v>
      </c>
      <c r="R108" s="278"/>
      <c r="U108" s="379"/>
      <c r="V108" s="339" t="s">
        <v>774</v>
      </c>
      <c r="W108" s="340" t="s">
        <v>662</v>
      </c>
      <c r="X108" s="341" t="s">
        <v>775</v>
      </c>
      <c r="Y108" s="319"/>
      <c r="AE108" s="24"/>
      <c r="AF108" s="24"/>
      <c r="AG108" s="24"/>
      <c r="AH108" s="24"/>
    </row>
    <row r="109" spans="2:34" s="167" customFormat="1" ht="15" thickBot="1">
      <c r="B109" s="237" t="s">
        <v>662</v>
      </c>
      <c r="C109" s="350" t="s">
        <v>775</v>
      </c>
      <c r="D109" s="351">
        <f t="shared" si="40"/>
        <v>0</v>
      </c>
      <c r="E109" s="351">
        <f t="shared" ref="E109:E110" si="48">Y108</f>
        <v>0</v>
      </c>
      <c r="F109" s="351"/>
      <c r="G109" s="379"/>
      <c r="H109" s="727"/>
      <c r="I109" s="376" t="s">
        <v>1109</v>
      </c>
      <c r="J109" s="376"/>
      <c r="K109" s="376" t="s">
        <v>1066</v>
      </c>
      <c r="L109" s="628"/>
      <c r="M109" s="630"/>
      <c r="N109" s="731">
        <f>SUMIF('Change Control Summary'!$Q90:$Q98,'GMP COST DATA'!$I109,'Change Control Summary'!U90:U98)</f>
        <v>0</v>
      </c>
      <c r="O109" s="625">
        <f t="shared" si="46"/>
        <v>0</v>
      </c>
      <c r="P109" s="731">
        <f>SUMIF('Change Control Summary'!$Q$25:$Q$39,'GMP COST DATA'!$I109,'Change Control Summary'!V$25:V$39)</f>
        <v>0</v>
      </c>
      <c r="Q109" s="625">
        <f t="shared" si="47"/>
        <v>0</v>
      </c>
      <c r="R109" s="278"/>
      <c r="U109" s="379"/>
      <c r="V109" s="339" t="s">
        <v>776</v>
      </c>
      <c r="W109" s="340" t="s">
        <v>665</v>
      </c>
      <c r="X109" s="341" t="s">
        <v>777</v>
      </c>
      <c r="Y109" s="319"/>
      <c r="AE109" s="24"/>
      <c r="AF109" s="24"/>
      <c r="AG109" s="24"/>
      <c r="AH109" s="24"/>
    </row>
    <row r="110" spans="2:34" ht="16" thickBot="1">
      <c r="B110" s="237" t="s">
        <v>665</v>
      </c>
      <c r="C110" s="350" t="s">
        <v>778</v>
      </c>
      <c r="D110" s="345">
        <f t="shared" si="40"/>
        <v>0</v>
      </c>
      <c r="E110" s="345">
        <f t="shared" si="48"/>
        <v>0</v>
      </c>
      <c r="F110" s="345"/>
      <c r="H110" s="727"/>
      <c r="I110" s="376" t="s">
        <v>1110</v>
      </c>
      <c r="J110" s="376"/>
      <c r="K110" s="376" t="s">
        <v>1067</v>
      </c>
      <c r="L110" s="628"/>
      <c r="M110" s="630"/>
      <c r="N110" s="731">
        <f>SUMIF('Change Control Summary'!$Q91:$Q99,'GMP COST DATA'!$I110,'Change Control Summary'!U91:U99)</f>
        <v>0</v>
      </c>
      <c r="O110" s="625">
        <f t="shared" si="46"/>
        <v>0</v>
      </c>
      <c r="P110" s="731">
        <f>SUMIF('Change Control Summary'!$Q$25:$Q$39,'GMP COST DATA'!$I110,'Change Control Summary'!V$25:V$39)</f>
        <v>0</v>
      </c>
      <c r="Q110" s="625">
        <f t="shared" si="47"/>
        <v>0</v>
      </c>
      <c r="R110" s="278"/>
      <c r="U110" s="203"/>
      <c r="V110" s="346">
        <v>2.9</v>
      </c>
      <c r="W110" s="347" t="s">
        <v>621</v>
      </c>
      <c r="X110" s="348" t="s">
        <v>779</v>
      </c>
      <c r="Y110" s="349">
        <f>SUM(Y111:Y112)</f>
        <v>0</v>
      </c>
    </row>
    <row r="111" spans="2:34" ht="15" thickBot="1">
      <c r="B111" s="759" t="s">
        <v>780</v>
      </c>
      <c r="C111" s="760"/>
      <c r="D111" s="337">
        <f t="shared" ref="D111:F111" si="49">SUM(D112:D113)</f>
        <v>0</v>
      </c>
      <c r="E111" s="337">
        <f t="shared" si="49"/>
        <v>0</v>
      </c>
      <c r="F111" s="337">
        <f t="shared" si="49"/>
        <v>0</v>
      </c>
      <c r="H111" s="727"/>
      <c r="I111" s="25" t="s">
        <v>101</v>
      </c>
      <c r="J111" s="283"/>
      <c r="K111" s="136"/>
      <c r="L111" s="632">
        <f>L108+L109+L110</f>
        <v>0</v>
      </c>
      <c r="M111" s="633"/>
      <c r="N111" s="632">
        <f t="shared" ref="N111:P111" si="50">N108+N109+N110</f>
        <v>0</v>
      </c>
      <c r="O111" s="632">
        <f t="shared" si="50"/>
        <v>0</v>
      </c>
      <c r="P111" s="632">
        <f t="shared" si="50"/>
        <v>0</v>
      </c>
      <c r="Q111" s="632">
        <f>Q108+Q109+Q110</f>
        <v>0</v>
      </c>
      <c r="R111" s="135"/>
      <c r="U111" s="203"/>
      <c r="V111" s="339" t="s">
        <v>781</v>
      </c>
      <c r="W111" s="340" t="s">
        <v>669</v>
      </c>
      <c r="X111" s="341" t="s">
        <v>779</v>
      </c>
      <c r="Y111" s="319"/>
    </row>
    <row r="112" spans="2:34" ht="15" thickBot="1">
      <c r="B112" s="237" t="s">
        <v>669</v>
      </c>
      <c r="C112" s="350" t="s">
        <v>782</v>
      </c>
      <c r="D112" s="351">
        <f t="shared" si="40"/>
        <v>0</v>
      </c>
      <c r="E112" s="351">
        <f>Y111</f>
        <v>0</v>
      </c>
      <c r="F112" s="351"/>
      <c r="H112" s="727"/>
      <c r="I112" s="675"/>
      <c r="K112" s="675"/>
      <c r="L112" s="203"/>
      <c r="M112" s="203"/>
      <c r="N112" s="203"/>
      <c r="O112" s="203"/>
      <c r="P112" s="203"/>
      <c r="Q112" s="203"/>
      <c r="R112" s="203"/>
      <c r="U112" s="203"/>
      <c r="V112" s="339" t="s">
        <v>783</v>
      </c>
      <c r="W112" s="340" t="s">
        <v>672</v>
      </c>
      <c r="X112" s="341" t="s">
        <v>784</v>
      </c>
      <c r="Y112" s="319"/>
    </row>
    <row r="113" spans="2:25" ht="16" thickBot="1">
      <c r="B113" s="237" t="s">
        <v>672</v>
      </c>
      <c r="C113" s="350" t="s">
        <v>785</v>
      </c>
      <c r="D113" s="345">
        <f t="shared" si="40"/>
        <v>0</v>
      </c>
      <c r="E113" s="345">
        <f>Y112</f>
        <v>0</v>
      </c>
      <c r="F113" s="345"/>
      <c r="H113" s="727"/>
      <c r="I113" s="25" t="s">
        <v>102</v>
      </c>
      <c r="J113" s="283"/>
      <c r="K113" s="136"/>
      <c r="L113" s="136"/>
      <c r="M113" s="136"/>
      <c r="N113" s="136"/>
      <c r="O113" s="136"/>
      <c r="P113" s="136"/>
      <c r="Q113" s="136"/>
      <c r="R113" s="676"/>
      <c r="U113" s="203"/>
      <c r="V113" s="346" t="s">
        <v>786</v>
      </c>
      <c r="W113" s="347" t="s">
        <v>621</v>
      </c>
      <c r="X113" s="348" t="s">
        <v>787</v>
      </c>
      <c r="Y113" s="349">
        <f>SUM(Y114:Y119)</f>
        <v>0</v>
      </c>
    </row>
    <row r="114" spans="2:25" ht="15" thickBot="1">
      <c r="B114" s="759" t="s">
        <v>788</v>
      </c>
      <c r="C114" s="760"/>
      <c r="D114" s="337">
        <f t="shared" ref="D114:F114" si="51">SUM(D115:D120)</f>
        <v>0</v>
      </c>
      <c r="E114" s="337">
        <f t="shared" si="51"/>
        <v>0</v>
      </c>
      <c r="F114" s="337">
        <f t="shared" si="51"/>
        <v>0</v>
      </c>
      <c r="H114" s="727"/>
      <c r="I114" s="204"/>
      <c r="J114" s="204"/>
      <c r="K114" s="203"/>
      <c r="L114" s="203"/>
      <c r="M114" s="203"/>
      <c r="N114" s="203"/>
      <c r="O114" s="203"/>
      <c r="P114" s="203"/>
      <c r="Q114" s="203"/>
      <c r="R114" s="203"/>
      <c r="U114" s="203"/>
      <c r="V114" s="339" t="s">
        <v>789</v>
      </c>
      <c r="W114" s="340" t="s">
        <v>581</v>
      </c>
      <c r="X114" s="341" t="s">
        <v>790</v>
      </c>
      <c r="Y114" s="319"/>
    </row>
    <row r="115" spans="2:25" ht="14.5">
      <c r="B115" s="237" t="s">
        <v>581</v>
      </c>
      <c r="C115" s="350" t="s">
        <v>791</v>
      </c>
      <c r="D115" s="351">
        <f t="shared" si="40"/>
        <v>0</v>
      </c>
      <c r="E115" s="351">
        <f>Y114</f>
        <v>0</v>
      </c>
      <c r="F115" s="351">
        <f>L52</f>
        <v>0</v>
      </c>
      <c r="H115" s="727"/>
      <c r="I115" s="204"/>
      <c r="J115" s="204"/>
      <c r="K115" s="203"/>
      <c r="L115" s="203"/>
      <c r="M115" s="203"/>
      <c r="N115" s="203"/>
      <c r="O115" s="203"/>
      <c r="P115" s="203"/>
      <c r="Q115" s="203"/>
      <c r="R115" s="203"/>
      <c r="U115" s="203"/>
      <c r="V115" s="339" t="s">
        <v>792</v>
      </c>
      <c r="W115" s="340" t="s">
        <v>678</v>
      </c>
      <c r="X115" s="341" t="s">
        <v>793</v>
      </c>
      <c r="Y115" s="319"/>
    </row>
    <row r="116" spans="2:25" ht="14.5">
      <c r="B116" s="237" t="s">
        <v>678</v>
      </c>
      <c r="C116" s="350" t="s">
        <v>793</v>
      </c>
      <c r="D116" s="351">
        <f t="shared" si="40"/>
        <v>0</v>
      </c>
      <c r="E116" s="351">
        <f t="shared" ref="E116:E120" si="52">Y115</f>
        <v>0</v>
      </c>
      <c r="F116" s="351"/>
      <c r="H116" s="727"/>
      <c r="I116" s="204"/>
      <c r="J116" s="204"/>
      <c r="K116" s="203"/>
      <c r="L116" s="203"/>
      <c r="M116" s="203"/>
      <c r="N116" s="203"/>
      <c r="O116" s="203"/>
      <c r="P116" s="203"/>
      <c r="Q116" s="203"/>
      <c r="R116" s="203"/>
      <c r="U116" s="203"/>
      <c r="V116" s="339" t="s">
        <v>794</v>
      </c>
      <c r="W116" s="340" t="s">
        <v>682</v>
      </c>
      <c r="X116" s="341" t="s">
        <v>795</v>
      </c>
      <c r="Y116" s="319"/>
    </row>
    <row r="117" spans="2:25" ht="14.5">
      <c r="B117" s="237" t="s">
        <v>682</v>
      </c>
      <c r="C117" s="350" t="s">
        <v>795</v>
      </c>
      <c r="D117" s="351">
        <f t="shared" si="40"/>
        <v>0</v>
      </c>
      <c r="E117" s="351">
        <f t="shared" si="52"/>
        <v>0</v>
      </c>
      <c r="F117" s="351"/>
      <c r="H117" s="727"/>
      <c r="I117" s="204"/>
      <c r="J117" s="204"/>
      <c r="K117" s="203"/>
      <c r="L117" s="203"/>
      <c r="M117" s="203"/>
      <c r="N117" s="203"/>
      <c r="O117" s="203"/>
      <c r="P117" s="203"/>
      <c r="Q117" s="203"/>
      <c r="R117" s="203"/>
      <c r="U117" s="203"/>
      <c r="V117" s="339" t="s">
        <v>796</v>
      </c>
      <c r="W117" s="340" t="s">
        <v>685</v>
      </c>
      <c r="X117" s="341" t="s">
        <v>797</v>
      </c>
      <c r="Y117" s="319"/>
    </row>
    <row r="118" spans="2:25" ht="14.5">
      <c r="B118" s="237" t="s">
        <v>685</v>
      </c>
      <c r="C118" s="350" t="s">
        <v>797</v>
      </c>
      <c r="D118" s="351">
        <f t="shared" si="40"/>
        <v>0</v>
      </c>
      <c r="E118" s="351">
        <f t="shared" si="52"/>
        <v>0</v>
      </c>
      <c r="F118" s="351"/>
      <c r="H118" s="727"/>
      <c r="I118" s="204"/>
      <c r="J118" s="204"/>
      <c r="K118" s="203"/>
      <c r="L118" s="203"/>
      <c r="M118" s="203"/>
      <c r="N118" s="203"/>
      <c r="O118" s="203"/>
      <c r="P118" s="203"/>
      <c r="Q118" s="203"/>
      <c r="R118" s="203"/>
      <c r="U118" s="203"/>
      <c r="V118" s="339" t="s">
        <v>798</v>
      </c>
      <c r="W118" s="340" t="s">
        <v>688</v>
      </c>
      <c r="X118" s="341" t="s">
        <v>645</v>
      </c>
      <c r="Y118" s="319"/>
    </row>
    <row r="119" spans="2:25" ht="14.5">
      <c r="B119" s="237" t="s">
        <v>688</v>
      </c>
      <c r="C119" s="350" t="s">
        <v>799</v>
      </c>
      <c r="D119" s="351">
        <f t="shared" si="40"/>
        <v>0</v>
      </c>
      <c r="E119" s="351">
        <f t="shared" si="52"/>
        <v>0</v>
      </c>
      <c r="F119" s="351"/>
      <c r="H119" s="727"/>
      <c r="I119" s="204"/>
      <c r="J119" s="204"/>
      <c r="K119" s="203"/>
      <c r="L119" s="203"/>
      <c r="M119" s="203"/>
      <c r="N119" s="203"/>
      <c r="O119" s="203"/>
      <c r="P119" s="203"/>
      <c r="Q119" s="203"/>
      <c r="R119" s="203"/>
      <c r="U119" s="203"/>
      <c r="V119" s="339" t="s">
        <v>800</v>
      </c>
      <c r="W119" s="340" t="s">
        <v>692</v>
      </c>
      <c r="X119" s="341" t="s">
        <v>801</v>
      </c>
      <c r="Y119" s="319"/>
    </row>
    <row r="120" spans="2:25" ht="16" thickBot="1">
      <c r="B120" s="237" t="s">
        <v>692</v>
      </c>
      <c r="C120" s="350" t="s">
        <v>802</v>
      </c>
      <c r="D120" s="345">
        <f t="shared" si="40"/>
        <v>0</v>
      </c>
      <c r="E120" s="345">
        <f t="shared" si="52"/>
        <v>0</v>
      </c>
      <c r="F120" s="345"/>
      <c r="H120" s="727"/>
      <c r="I120" s="204"/>
      <c r="J120" s="204"/>
      <c r="K120" s="203"/>
      <c r="L120" s="203"/>
      <c r="M120" s="203"/>
      <c r="N120" s="203"/>
      <c r="O120" s="203"/>
      <c r="P120" s="203"/>
      <c r="Q120" s="203"/>
      <c r="R120" s="203"/>
      <c r="U120" s="203"/>
      <c r="V120" s="346">
        <v>2.11</v>
      </c>
      <c r="W120" s="347" t="s">
        <v>621</v>
      </c>
      <c r="X120" s="348" t="s">
        <v>803</v>
      </c>
      <c r="Y120" s="349">
        <f>SUM(Y121:Y131,Y133:Y138)</f>
        <v>0</v>
      </c>
    </row>
    <row r="121" spans="2:25" ht="15" thickBot="1">
      <c r="B121" s="759" t="s">
        <v>804</v>
      </c>
      <c r="C121" s="760"/>
      <c r="D121" s="337">
        <f t="shared" ref="D121:F121" si="53">SUM(D122:D132)</f>
        <v>0</v>
      </c>
      <c r="E121" s="337">
        <f t="shared" si="53"/>
        <v>0</v>
      </c>
      <c r="F121" s="337">
        <f t="shared" si="53"/>
        <v>0</v>
      </c>
      <c r="H121" s="727"/>
      <c r="I121" s="204"/>
      <c r="J121" s="204"/>
      <c r="K121" s="203"/>
      <c r="L121" s="203"/>
      <c r="M121" s="203"/>
      <c r="N121" s="203"/>
      <c r="O121" s="203"/>
      <c r="P121" s="203"/>
      <c r="Q121" s="203"/>
      <c r="R121" s="203"/>
      <c r="U121" s="203"/>
      <c r="V121" s="339" t="s">
        <v>805</v>
      </c>
      <c r="W121" s="340" t="s">
        <v>518</v>
      </c>
      <c r="X121" s="341" t="s">
        <v>806</v>
      </c>
      <c r="Y121" s="319"/>
    </row>
    <row r="122" spans="2:25" ht="14.5">
      <c r="B122" s="321" t="s">
        <v>518</v>
      </c>
      <c r="C122" s="350" t="s">
        <v>806</v>
      </c>
      <c r="D122" s="351">
        <f t="shared" si="40"/>
        <v>0</v>
      </c>
      <c r="E122" s="351">
        <f>Y121</f>
        <v>0</v>
      </c>
      <c r="F122" s="351">
        <f>L54</f>
        <v>0</v>
      </c>
      <c r="H122" s="727"/>
      <c r="I122" s="204"/>
      <c r="J122" s="204"/>
      <c r="K122" s="203"/>
      <c r="L122" s="203"/>
      <c r="M122" s="203"/>
      <c r="N122" s="203"/>
      <c r="O122" s="203"/>
      <c r="P122" s="203"/>
      <c r="Q122" s="203"/>
      <c r="R122" s="203"/>
      <c r="U122" s="203"/>
      <c r="V122" s="339" t="s">
        <v>807</v>
      </c>
      <c r="W122" s="340" t="s">
        <v>698</v>
      </c>
      <c r="X122" s="341" t="s">
        <v>808</v>
      </c>
      <c r="Y122" s="319"/>
    </row>
    <row r="123" spans="2:25" ht="14.5">
      <c r="B123" s="321" t="s">
        <v>698</v>
      </c>
      <c r="C123" s="350" t="s">
        <v>808</v>
      </c>
      <c r="D123" s="351">
        <f t="shared" si="40"/>
        <v>0</v>
      </c>
      <c r="E123" s="351">
        <f t="shared" ref="E123:E132" si="54">Y122</f>
        <v>0</v>
      </c>
      <c r="F123" s="351"/>
      <c r="H123" s="727"/>
      <c r="I123" s="204"/>
      <c r="J123" s="204"/>
      <c r="K123" s="203"/>
      <c r="L123" s="203"/>
      <c r="M123" s="203"/>
      <c r="N123" s="203"/>
      <c r="O123" s="203"/>
      <c r="P123" s="203"/>
      <c r="Q123" s="203"/>
      <c r="R123" s="203"/>
      <c r="U123" s="203"/>
      <c r="V123" s="339" t="s">
        <v>809</v>
      </c>
      <c r="W123" s="340" t="s">
        <v>701</v>
      </c>
      <c r="X123" s="341" t="s">
        <v>810</v>
      </c>
      <c r="Y123" s="319"/>
    </row>
    <row r="124" spans="2:25" ht="14.5">
      <c r="B124" s="321" t="s">
        <v>701</v>
      </c>
      <c r="C124" s="350" t="s">
        <v>810</v>
      </c>
      <c r="D124" s="351">
        <f t="shared" si="40"/>
        <v>0</v>
      </c>
      <c r="E124" s="351">
        <f t="shared" si="54"/>
        <v>0</v>
      </c>
      <c r="F124" s="351"/>
      <c r="H124" s="727"/>
      <c r="I124" s="204"/>
      <c r="J124" s="204"/>
      <c r="K124" s="203"/>
      <c r="L124" s="203"/>
      <c r="M124" s="203"/>
      <c r="N124" s="203"/>
      <c r="O124" s="203"/>
      <c r="P124" s="203"/>
      <c r="Q124" s="203"/>
      <c r="R124" s="203"/>
      <c r="U124" s="203"/>
      <c r="V124" s="339" t="s">
        <v>811</v>
      </c>
      <c r="W124" s="340" t="s">
        <v>704</v>
      </c>
      <c r="X124" s="341" t="s">
        <v>812</v>
      </c>
      <c r="Y124" s="319"/>
    </row>
    <row r="125" spans="2:25" ht="14.5">
      <c r="B125" s="321" t="s">
        <v>704</v>
      </c>
      <c r="C125" s="350" t="s">
        <v>812</v>
      </c>
      <c r="D125" s="351">
        <f t="shared" si="40"/>
        <v>0</v>
      </c>
      <c r="E125" s="351">
        <f t="shared" si="54"/>
        <v>0</v>
      </c>
      <c r="F125" s="351"/>
      <c r="H125" s="727"/>
      <c r="I125" s="204"/>
      <c r="J125" s="204"/>
      <c r="K125" s="203"/>
      <c r="L125" s="203"/>
      <c r="M125" s="203"/>
      <c r="N125" s="203"/>
      <c r="O125" s="203"/>
      <c r="P125" s="203"/>
      <c r="Q125" s="203"/>
      <c r="R125" s="203"/>
      <c r="U125" s="203"/>
      <c r="V125" s="339" t="s">
        <v>813</v>
      </c>
      <c r="W125" s="340" t="s">
        <v>708</v>
      </c>
      <c r="X125" s="341" t="s">
        <v>814</v>
      </c>
      <c r="Y125" s="319"/>
    </row>
    <row r="126" spans="2:25" ht="14.5">
      <c r="B126" s="321" t="s">
        <v>708</v>
      </c>
      <c r="C126" s="350" t="s">
        <v>814</v>
      </c>
      <c r="D126" s="351">
        <f t="shared" si="40"/>
        <v>0</v>
      </c>
      <c r="E126" s="351">
        <f t="shared" si="54"/>
        <v>0</v>
      </c>
      <c r="F126" s="351"/>
      <c r="H126" s="727"/>
      <c r="I126" s="204"/>
      <c r="J126" s="204"/>
      <c r="K126" s="203"/>
      <c r="L126" s="203"/>
      <c r="M126" s="203"/>
      <c r="N126" s="203"/>
      <c r="O126" s="203"/>
      <c r="P126" s="203"/>
      <c r="Q126" s="203"/>
      <c r="R126" s="203"/>
      <c r="U126" s="203"/>
      <c r="V126" s="339" t="s">
        <v>815</v>
      </c>
      <c r="W126" s="340" t="s">
        <v>595</v>
      </c>
      <c r="X126" s="341" t="s">
        <v>816</v>
      </c>
      <c r="Y126" s="319"/>
    </row>
    <row r="127" spans="2:25" ht="14.5">
      <c r="B127" s="321" t="s">
        <v>595</v>
      </c>
      <c r="C127" s="350" t="s">
        <v>816</v>
      </c>
      <c r="D127" s="351">
        <f t="shared" si="40"/>
        <v>0</v>
      </c>
      <c r="E127" s="351">
        <f t="shared" si="54"/>
        <v>0</v>
      </c>
      <c r="F127" s="351">
        <f>L76</f>
        <v>0</v>
      </c>
      <c r="H127" s="727"/>
      <c r="I127" s="204"/>
      <c r="J127" s="204"/>
      <c r="K127" s="203"/>
      <c r="L127" s="203"/>
      <c r="M127" s="203"/>
      <c r="N127" s="203"/>
      <c r="O127" s="203"/>
      <c r="P127" s="203"/>
      <c r="Q127" s="203"/>
      <c r="R127" s="203"/>
      <c r="U127" s="203"/>
      <c r="V127" s="339" t="s">
        <v>817</v>
      </c>
      <c r="W127" s="340" t="s">
        <v>713</v>
      </c>
      <c r="X127" s="341" t="s">
        <v>818</v>
      </c>
      <c r="Y127" s="319"/>
    </row>
    <row r="128" spans="2:25" ht="14.5">
      <c r="B128" s="321" t="s">
        <v>713</v>
      </c>
      <c r="C128" s="350" t="s">
        <v>818</v>
      </c>
      <c r="D128" s="351">
        <f t="shared" si="40"/>
        <v>0</v>
      </c>
      <c r="E128" s="351">
        <f t="shared" si="54"/>
        <v>0</v>
      </c>
      <c r="F128" s="351"/>
      <c r="H128" s="727"/>
      <c r="I128" s="204"/>
      <c r="J128" s="204"/>
      <c r="K128" s="203"/>
      <c r="L128" s="203"/>
      <c r="M128" s="203"/>
      <c r="N128" s="203"/>
      <c r="O128" s="203"/>
      <c r="P128" s="203"/>
      <c r="Q128" s="203"/>
      <c r="R128" s="203"/>
      <c r="U128" s="203"/>
      <c r="V128" s="339" t="s">
        <v>819</v>
      </c>
      <c r="W128" s="340" t="s">
        <v>716</v>
      </c>
      <c r="X128" s="341" t="s">
        <v>35</v>
      </c>
      <c r="Y128" s="319"/>
    </row>
    <row r="129" spans="2:26" ht="14.5">
      <c r="B129" s="321" t="s">
        <v>716</v>
      </c>
      <c r="C129" s="350" t="s">
        <v>35</v>
      </c>
      <c r="D129" s="351">
        <f t="shared" si="40"/>
        <v>0</v>
      </c>
      <c r="E129" s="351">
        <f t="shared" si="54"/>
        <v>0</v>
      </c>
      <c r="F129" s="351"/>
      <c r="H129" s="727"/>
      <c r="I129" s="204"/>
      <c r="J129" s="204"/>
      <c r="K129" s="203"/>
      <c r="L129" s="203"/>
      <c r="M129" s="203"/>
      <c r="N129" s="203"/>
      <c r="O129" s="203"/>
      <c r="P129" s="203"/>
      <c r="Q129" s="203"/>
      <c r="R129" s="203"/>
      <c r="U129" s="203"/>
      <c r="V129" s="339" t="s">
        <v>820</v>
      </c>
      <c r="W129" s="340" t="s">
        <v>719</v>
      </c>
      <c r="X129" s="341" t="s">
        <v>821</v>
      </c>
      <c r="Y129" s="319"/>
    </row>
    <row r="130" spans="2:26" ht="14.5">
      <c r="B130" s="321" t="s">
        <v>719</v>
      </c>
      <c r="C130" s="350" t="s">
        <v>821</v>
      </c>
      <c r="D130" s="351">
        <f t="shared" si="40"/>
        <v>0</v>
      </c>
      <c r="E130" s="351">
        <f t="shared" si="54"/>
        <v>0</v>
      </c>
      <c r="F130" s="351"/>
      <c r="H130" s="727"/>
      <c r="I130" s="204"/>
      <c r="J130" s="204"/>
      <c r="K130" s="203"/>
      <c r="L130" s="203"/>
      <c r="M130" s="203"/>
      <c r="N130" s="203"/>
      <c r="O130" s="203"/>
      <c r="P130" s="203"/>
      <c r="Q130" s="203"/>
      <c r="R130" s="203"/>
      <c r="U130" s="203"/>
      <c r="V130" s="339" t="s">
        <v>822</v>
      </c>
      <c r="W130" s="340" t="s">
        <v>696</v>
      </c>
      <c r="X130" s="341" t="s">
        <v>823</v>
      </c>
      <c r="Y130" s="319"/>
    </row>
    <row r="131" spans="2:26" ht="14.5">
      <c r="B131" s="321" t="s">
        <v>696</v>
      </c>
      <c r="C131" s="350" t="s">
        <v>823</v>
      </c>
      <c r="D131" s="351">
        <f t="shared" si="40"/>
        <v>0</v>
      </c>
      <c r="E131" s="351">
        <f>Y130+Y138+Y137</f>
        <v>0</v>
      </c>
      <c r="F131" s="351">
        <f>L73</f>
        <v>0</v>
      </c>
      <c r="H131" s="727"/>
      <c r="I131" s="204"/>
      <c r="J131" s="204"/>
      <c r="K131" s="203"/>
      <c r="L131" s="203"/>
      <c r="M131" s="203"/>
      <c r="N131" s="203"/>
      <c r="O131" s="203"/>
      <c r="P131" s="203"/>
      <c r="Q131" s="203"/>
      <c r="R131" s="203"/>
      <c r="U131" s="203"/>
      <c r="V131" s="339" t="s">
        <v>824</v>
      </c>
      <c r="W131" s="340" t="s">
        <v>588</v>
      </c>
      <c r="X131" s="341" t="s">
        <v>825</v>
      </c>
      <c r="Y131" s="319"/>
    </row>
    <row r="132" spans="2:26" ht="16" thickBot="1">
      <c r="B132" s="321" t="s">
        <v>588</v>
      </c>
      <c r="C132" s="350" t="s">
        <v>825</v>
      </c>
      <c r="D132" s="351">
        <f t="shared" si="40"/>
        <v>0</v>
      </c>
      <c r="E132" s="351">
        <f t="shared" si="54"/>
        <v>0</v>
      </c>
      <c r="F132" s="351">
        <f>L75</f>
        <v>0</v>
      </c>
      <c r="H132" s="727"/>
      <c r="I132" s="204"/>
      <c r="J132" s="204"/>
      <c r="K132" s="203"/>
      <c r="L132" s="203"/>
      <c r="M132" s="203"/>
      <c r="N132" s="203"/>
      <c r="O132" s="203"/>
      <c r="P132" s="203"/>
      <c r="Q132" s="203"/>
      <c r="R132" s="203"/>
      <c r="U132" s="203"/>
      <c r="V132" s="380">
        <v>2.12</v>
      </c>
      <c r="W132" s="347" t="s">
        <v>621</v>
      </c>
      <c r="X132" s="381" t="s">
        <v>826</v>
      </c>
      <c r="Y132" s="349">
        <f>SUM(Y133:Y136)</f>
        <v>0</v>
      </c>
    </row>
    <row r="133" spans="2:26" ht="15" thickBot="1">
      <c r="B133" s="759" t="s">
        <v>827</v>
      </c>
      <c r="C133" s="760"/>
      <c r="D133" s="337">
        <f t="shared" ref="D133:F133" si="55">SUM(D134:D138)</f>
        <v>0</v>
      </c>
      <c r="E133" s="337">
        <f t="shared" si="55"/>
        <v>0</v>
      </c>
      <c r="F133" s="337">
        <f t="shared" si="55"/>
        <v>0</v>
      </c>
      <c r="H133" s="727"/>
      <c r="I133" s="204"/>
      <c r="J133" s="204"/>
      <c r="K133" s="203"/>
      <c r="L133" s="203"/>
      <c r="M133" s="203"/>
      <c r="N133" s="203"/>
      <c r="O133" s="203"/>
      <c r="P133" s="203"/>
      <c r="Q133" s="203"/>
      <c r="R133" s="203"/>
      <c r="U133" s="203"/>
      <c r="V133" s="339" t="s">
        <v>805</v>
      </c>
      <c r="W133" s="340" t="s">
        <v>728</v>
      </c>
      <c r="X133" s="341" t="s">
        <v>828</v>
      </c>
      <c r="Y133" s="319"/>
    </row>
    <row r="134" spans="2:26" ht="14.5">
      <c r="B134" s="237" t="s">
        <v>589</v>
      </c>
      <c r="C134" s="350" t="s">
        <v>829</v>
      </c>
      <c r="D134" s="351">
        <f t="shared" si="40"/>
        <v>0</v>
      </c>
      <c r="E134" s="351">
        <f>SUM(Y191:Y198)</f>
        <v>0</v>
      </c>
      <c r="F134" s="351">
        <f>SUM(L35:L47)</f>
        <v>0</v>
      </c>
      <c r="H134" s="727"/>
      <c r="I134" s="204"/>
      <c r="J134" s="204"/>
      <c r="K134" s="203"/>
      <c r="L134" s="203"/>
      <c r="M134" s="203"/>
      <c r="N134" s="203"/>
      <c r="O134" s="203"/>
      <c r="P134" s="203"/>
      <c r="Q134" s="203"/>
      <c r="R134" s="203"/>
      <c r="U134" s="203"/>
      <c r="V134" s="339" t="s">
        <v>807</v>
      </c>
      <c r="W134" s="340" t="s">
        <v>728</v>
      </c>
      <c r="X134" s="341" t="s">
        <v>830</v>
      </c>
      <c r="Y134" s="319"/>
    </row>
    <row r="135" spans="2:26" ht="14.5">
      <c r="B135" s="237" t="s">
        <v>728</v>
      </c>
      <c r="C135" s="350" t="s">
        <v>831</v>
      </c>
      <c r="D135" s="351">
        <f t="shared" si="40"/>
        <v>0</v>
      </c>
      <c r="E135" s="351">
        <f>Y134+Y135+Y133</f>
        <v>0</v>
      </c>
      <c r="F135" s="351">
        <f>L88</f>
        <v>0</v>
      </c>
      <c r="H135" s="727"/>
      <c r="I135" s="204"/>
      <c r="J135" s="204"/>
      <c r="K135" s="203"/>
      <c r="L135" s="203"/>
      <c r="M135" s="203"/>
      <c r="N135" s="203"/>
      <c r="O135" s="203"/>
      <c r="P135" s="203"/>
      <c r="Q135" s="203"/>
      <c r="R135" s="203"/>
      <c r="U135" s="203"/>
      <c r="V135" s="339" t="s">
        <v>809</v>
      </c>
      <c r="W135" s="340" t="s">
        <v>728</v>
      </c>
      <c r="X135" s="341" t="s">
        <v>832</v>
      </c>
      <c r="Y135" s="319"/>
    </row>
    <row r="136" spans="2:26" ht="14.5">
      <c r="B136" s="237" t="s">
        <v>600</v>
      </c>
      <c r="C136" s="350" t="s">
        <v>833</v>
      </c>
      <c r="D136" s="351">
        <f t="shared" si="40"/>
        <v>0</v>
      </c>
      <c r="E136" s="351">
        <f>Y143+Y144</f>
        <v>0</v>
      </c>
      <c r="F136" s="351">
        <f>SUM(L79:L82)+L77</f>
        <v>0</v>
      </c>
      <c r="H136" s="727"/>
      <c r="I136" s="204"/>
      <c r="J136" s="204"/>
      <c r="K136" s="203"/>
      <c r="L136" s="203"/>
      <c r="M136" s="203"/>
      <c r="N136" s="203"/>
      <c r="O136" s="203"/>
      <c r="P136" s="203"/>
      <c r="Q136" s="203"/>
      <c r="R136" s="203"/>
      <c r="U136" s="203"/>
      <c r="V136" s="339" t="s">
        <v>811</v>
      </c>
      <c r="W136" s="340" t="s">
        <v>603</v>
      </c>
      <c r="X136" s="341" t="s">
        <v>834</v>
      </c>
      <c r="Y136" s="319"/>
    </row>
    <row r="137" spans="2:26" ht="14.5">
      <c r="B137" s="237" t="s">
        <v>603</v>
      </c>
      <c r="C137" s="350" t="s">
        <v>835</v>
      </c>
      <c r="D137" s="351">
        <f t="shared" si="40"/>
        <v>0</v>
      </c>
      <c r="E137" s="351">
        <f>Y136</f>
        <v>0</v>
      </c>
      <c r="F137" s="351">
        <f>L97+L98+L99</f>
        <v>0</v>
      </c>
      <c r="H137" s="727"/>
      <c r="I137" s="204"/>
      <c r="J137" s="204"/>
      <c r="K137" s="203"/>
      <c r="L137" s="203"/>
      <c r="M137" s="203"/>
      <c r="N137" s="203"/>
      <c r="O137" s="203"/>
      <c r="P137" s="203"/>
      <c r="Q137" s="203"/>
      <c r="R137" s="203"/>
      <c r="U137" s="203"/>
      <c r="V137" s="382" t="s">
        <v>836</v>
      </c>
      <c r="W137" s="383" t="s">
        <v>696</v>
      </c>
      <c r="X137" s="384" t="s">
        <v>837</v>
      </c>
      <c r="Y137" s="319"/>
    </row>
    <row r="138" spans="2:26" ht="15" thickBot="1">
      <c r="B138" s="237" t="s">
        <v>597</v>
      </c>
      <c r="C138" s="385" t="s">
        <v>838</v>
      </c>
      <c r="D138" s="351">
        <f t="shared" si="40"/>
        <v>0</v>
      </c>
      <c r="E138" s="351">
        <f>SUM(Y148:Y164)+Y169+Y174-Y159</f>
        <v>0</v>
      </c>
      <c r="F138" s="351">
        <f>L83+L87+L89+L90+L91+L92+L93</f>
        <v>0</v>
      </c>
      <c r="H138" s="727"/>
      <c r="I138" s="204"/>
      <c r="J138" s="204"/>
      <c r="K138" s="203"/>
      <c r="L138" s="203"/>
      <c r="M138" s="203"/>
      <c r="N138" s="203"/>
      <c r="O138" s="203"/>
      <c r="P138" s="203"/>
      <c r="Q138" s="203"/>
      <c r="R138" s="203"/>
      <c r="U138" s="203"/>
      <c r="V138" s="382" t="s">
        <v>839</v>
      </c>
      <c r="W138" s="383" t="s">
        <v>696</v>
      </c>
      <c r="X138" s="384" t="s">
        <v>840</v>
      </c>
      <c r="Y138" s="319"/>
    </row>
    <row r="139" spans="2:26" ht="15" thickBot="1">
      <c r="B139" s="761" t="s">
        <v>841</v>
      </c>
      <c r="C139" s="762"/>
      <c r="D139" s="386">
        <f t="shared" ref="D139:F139" si="56">SUM(D133,D121,D114,D111,D107,D98,D87,D84,D71,D60,D54,D50)</f>
        <v>0</v>
      </c>
      <c r="E139" s="386">
        <f t="shared" si="56"/>
        <v>0</v>
      </c>
      <c r="F139" s="386">
        <f t="shared" si="56"/>
        <v>0</v>
      </c>
      <c r="H139" s="727"/>
      <c r="I139" s="204"/>
      <c r="J139" s="204"/>
      <c r="K139" s="203"/>
      <c r="L139" s="203"/>
      <c r="M139" s="203"/>
      <c r="N139" s="203"/>
      <c r="O139" s="203"/>
      <c r="P139" s="203"/>
      <c r="Q139" s="203"/>
      <c r="R139" s="203"/>
      <c r="U139" s="203"/>
      <c r="V139" s="387" t="s">
        <v>842</v>
      </c>
      <c r="W139" s="388" t="s">
        <v>606</v>
      </c>
      <c r="X139" s="389" t="s">
        <v>843</v>
      </c>
      <c r="Y139" s="327"/>
    </row>
    <row r="140" spans="2:26" ht="15" thickBot="1">
      <c r="H140" s="727"/>
      <c r="I140" s="204"/>
      <c r="J140" s="204"/>
      <c r="K140" s="203"/>
      <c r="L140" s="203"/>
      <c r="M140" s="203"/>
      <c r="N140" s="203"/>
      <c r="O140" s="203"/>
      <c r="P140" s="203"/>
      <c r="Q140" s="203"/>
      <c r="R140" s="203"/>
      <c r="U140" s="203"/>
      <c r="V140" s="390" t="s">
        <v>844</v>
      </c>
      <c r="W140" s="391"/>
      <c r="X140" s="392" t="s">
        <v>845</v>
      </c>
      <c r="Y140" s="328">
        <f>Y139+Y120+Y113+Y106+Y97+Y86+Y83+Y70+Y59+Y53+Y49+Y110</f>
        <v>0</v>
      </c>
    </row>
    <row r="141" spans="2:26" ht="15" thickBot="1">
      <c r="E141" s="393"/>
      <c r="H141" s="727"/>
      <c r="I141" s="204"/>
      <c r="J141" s="204"/>
      <c r="K141" s="203"/>
      <c r="L141" s="203"/>
      <c r="M141" s="203"/>
      <c r="N141" s="203"/>
      <c r="O141" s="203"/>
      <c r="P141" s="203"/>
      <c r="Q141" s="203"/>
      <c r="R141" s="203"/>
      <c r="U141" s="203"/>
      <c r="V141" s="394"/>
      <c r="W141" s="394"/>
      <c r="X141" s="395"/>
      <c r="Y141" s="396"/>
    </row>
    <row r="142" spans="2:26" ht="15" thickBot="1">
      <c r="E142" s="397"/>
      <c r="H142" s="727"/>
      <c r="I142" s="204"/>
      <c r="J142" s="204"/>
      <c r="K142" s="203"/>
      <c r="L142" s="203"/>
      <c r="M142" s="203"/>
      <c r="N142" s="203"/>
      <c r="O142" s="203"/>
      <c r="P142" s="203"/>
      <c r="Q142" s="203"/>
      <c r="R142" s="203"/>
      <c r="U142" s="203"/>
      <c r="V142" s="308">
        <v>3</v>
      </c>
      <c r="W142" s="309"/>
      <c r="X142" s="310" t="s">
        <v>846</v>
      </c>
      <c r="Y142" s="311"/>
      <c r="Z142" s="101" t="s">
        <v>568</v>
      </c>
    </row>
    <row r="143" spans="2:26" ht="14.5">
      <c r="H143" s="727"/>
      <c r="I143" s="204"/>
      <c r="J143" s="204"/>
      <c r="K143" s="203"/>
      <c r="L143" s="203"/>
      <c r="M143" s="203"/>
      <c r="N143" s="203"/>
      <c r="O143" s="203"/>
      <c r="P143" s="203"/>
      <c r="Q143" s="203"/>
      <c r="R143" s="203"/>
      <c r="U143" s="203"/>
      <c r="V143" s="312">
        <v>3.1</v>
      </c>
      <c r="W143" s="313" t="s">
        <v>600</v>
      </c>
      <c r="X143" s="314" t="s">
        <v>847</v>
      </c>
      <c r="Y143" s="315"/>
    </row>
    <row r="144" spans="2:26" ht="15" thickBot="1">
      <c r="H144" s="727"/>
      <c r="I144" s="204"/>
      <c r="J144" s="204"/>
      <c r="K144" s="203"/>
      <c r="L144" s="203"/>
      <c r="M144" s="203"/>
      <c r="N144" s="203"/>
      <c r="O144" s="203"/>
      <c r="P144" s="203"/>
      <c r="Q144" s="203"/>
      <c r="R144" s="203"/>
      <c r="U144" s="203"/>
      <c r="V144" s="324">
        <v>3.2</v>
      </c>
      <c r="W144" s="325" t="s">
        <v>600</v>
      </c>
      <c r="X144" s="326" t="s">
        <v>848</v>
      </c>
      <c r="Y144" s="327"/>
    </row>
    <row r="145" spans="2:34" ht="15" thickBot="1">
      <c r="H145" s="727"/>
      <c r="I145" s="204"/>
      <c r="J145" s="204"/>
      <c r="K145" s="203"/>
      <c r="L145" s="203"/>
      <c r="M145" s="203"/>
      <c r="N145" s="203"/>
      <c r="O145" s="203"/>
      <c r="P145" s="203"/>
      <c r="Q145" s="203"/>
      <c r="R145" s="203"/>
      <c r="U145" s="203"/>
      <c r="V145" s="390" t="s">
        <v>849</v>
      </c>
      <c r="W145" s="391"/>
      <c r="X145" s="392" t="s">
        <v>850</v>
      </c>
      <c r="Y145" s="328">
        <f>SUM(Y143:Y144)</f>
        <v>0</v>
      </c>
    </row>
    <row r="146" spans="2:34" ht="15" thickBot="1">
      <c r="H146" s="727"/>
      <c r="I146" s="204"/>
      <c r="J146" s="204"/>
      <c r="K146" s="203"/>
      <c r="L146" s="203"/>
      <c r="M146" s="203"/>
      <c r="N146" s="203"/>
      <c r="O146" s="203"/>
      <c r="P146" s="203"/>
      <c r="Q146" s="203"/>
      <c r="R146" s="203"/>
      <c r="U146" s="203"/>
      <c r="V146" s="394"/>
      <c r="W146" s="394"/>
      <c r="X146" s="305"/>
      <c r="Y146" s="305"/>
    </row>
    <row r="147" spans="2:34" ht="15" thickBot="1">
      <c r="H147" s="727"/>
      <c r="I147" s="204"/>
      <c r="J147" s="204"/>
      <c r="K147" s="203"/>
      <c r="L147" s="203"/>
      <c r="M147" s="203"/>
      <c r="N147" s="203"/>
      <c r="O147" s="203"/>
      <c r="P147" s="203"/>
      <c r="Q147" s="203"/>
      <c r="R147" s="203"/>
      <c r="U147" s="203"/>
      <c r="V147" s="308">
        <v>4</v>
      </c>
      <c r="W147" s="309"/>
      <c r="X147" s="310" t="s">
        <v>851</v>
      </c>
      <c r="Y147" s="311"/>
      <c r="Z147" s="101" t="s">
        <v>568</v>
      </c>
    </row>
    <row r="148" spans="2:34" ht="14.5">
      <c r="H148" s="727"/>
      <c r="I148" s="204"/>
      <c r="J148" s="204"/>
      <c r="K148" s="203"/>
      <c r="L148" s="203"/>
      <c r="M148" s="203"/>
      <c r="N148" s="203"/>
      <c r="O148" s="203"/>
      <c r="P148" s="203"/>
      <c r="Q148" s="203"/>
      <c r="R148" s="203"/>
      <c r="U148" s="203"/>
      <c r="V148" s="312">
        <v>4.0999999999999996</v>
      </c>
      <c r="W148" s="313" t="s">
        <v>597</v>
      </c>
      <c r="X148" s="314" t="s">
        <v>852</v>
      </c>
      <c r="Y148" s="315"/>
      <c r="AG148" s="167"/>
      <c r="AH148" s="167"/>
    </row>
    <row r="149" spans="2:34" ht="14.5">
      <c r="H149" s="727"/>
      <c r="I149" s="204"/>
      <c r="J149" s="204"/>
      <c r="K149" s="203"/>
      <c r="L149" s="203"/>
      <c r="M149" s="203"/>
      <c r="N149" s="203"/>
      <c r="O149" s="203"/>
      <c r="P149" s="203"/>
      <c r="Q149" s="203"/>
      <c r="R149" s="203"/>
      <c r="U149" s="203"/>
      <c r="V149" s="316">
        <v>4.2</v>
      </c>
      <c r="W149" s="317" t="s">
        <v>597</v>
      </c>
      <c r="X149" s="318" t="s">
        <v>853</v>
      </c>
      <c r="Y149" s="319"/>
      <c r="AG149" s="167"/>
      <c r="AH149" s="167"/>
    </row>
    <row r="150" spans="2:34" ht="14.5">
      <c r="H150" s="727"/>
      <c r="I150" s="204"/>
      <c r="J150" s="204"/>
      <c r="K150" s="203"/>
      <c r="L150" s="203"/>
      <c r="M150" s="203"/>
      <c r="N150" s="203"/>
      <c r="O150" s="203"/>
      <c r="P150" s="203"/>
      <c r="Q150" s="203"/>
      <c r="R150" s="203"/>
      <c r="U150" s="203"/>
      <c r="V150" s="316">
        <v>4.3</v>
      </c>
      <c r="W150" s="317" t="s">
        <v>597</v>
      </c>
      <c r="X150" s="318" t="s">
        <v>854</v>
      </c>
      <c r="Y150" s="319"/>
      <c r="AG150" s="167"/>
      <c r="AH150" s="167"/>
    </row>
    <row r="151" spans="2:34" ht="14.5">
      <c r="B151" s="167"/>
      <c r="C151" s="167"/>
      <c r="D151" s="167"/>
      <c r="E151" s="167"/>
      <c r="F151" s="167"/>
      <c r="H151" s="727"/>
      <c r="I151" s="204"/>
      <c r="J151" s="204"/>
      <c r="K151" s="203"/>
      <c r="L151" s="203"/>
      <c r="M151" s="203"/>
      <c r="N151" s="203"/>
      <c r="O151" s="203"/>
      <c r="P151" s="203"/>
      <c r="Q151" s="203"/>
      <c r="R151" s="203"/>
      <c r="U151" s="203"/>
      <c r="V151" s="316">
        <v>4.4000000000000004</v>
      </c>
      <c r="W151" s="317" t="s">
        <v>597</v>
      </c>
      <c r="X151" s="318" t="s">
        <v>855</v>
      </c>
      <c r="Y151" s="319"/>
      <c r="AB151" s="167"/>
      <c r="AG151" s="167"/>
      <c r="AH151" s="167"/>
    </row>
    <row r="152" spans="2:34" ht="14.5">
      <c r="B152" s="167"/>
      <c r="C152" s="167"/>
      <c r="D152" s="167"/>
      <c r="E152" s="167"/>
      <c r="F152" s="167"/>
      <c r="H152" s="727"/>
      <c r="I152" s="204"/>
      <c r="J152" s="204"/>
      <c r="K152" s="203"/>
      <c r="L152" s="203"/>
      <c r="M152" s="203"/>
      <c r="N152" s="203"/>
      <c r="O152" s="203"/>
      <c r="P152" s="203"/>
      <c r="Q152" s="203"/>
      <c r="R152" s="203"/>
      <c r="U152" s="203"/>
      <c r="V152" s="316">
        <v>4.5</v>
      </c>
      <c r="W152" s="317" t="s">
        <v>597</v>
      </c>
      <c r="X152" s="318" t="s">
        <v>856</v>
      </c>
      <c r="Y152" s="319"/>
      <c r="AB152" s="167"/>
    </row>
    <row r="153" spans="2:34" ht="14.5">
      <c r="B153" s="167"/>
      <c r="C153" s="167"/>
      <c r="D153" s="167"/>
      <c r="E153" s="167"/>
      <c r="F153" s="167"/>
      <c r="H153" s="727"/>
      <c r="I153" s="204"/>
      <c r="J153" s="204"/>
      <c r="K153" s="203"/>
      <c r="L153" s="203"/>
      <c r="M153" s="203"/>
      <c r="N153" s="203"/>
      <c r="O153" s="203"/>
      <c r="P153" s="203"/>
      <c r="Q153" s="203"/>
      <c r="R153" s="203"/>
      <c r="U153" s="203"/>
      <c r="V153" s="316">
        <v>4.5999999999999996</v>
      </c>
      <c r="W153" s="317" t="s">
        <v>597</v>
      </c>
      <c r="X153" s="323" t="s">
        <v>857</v>
      </c>
      <c r="Y153" s="319"/>
      <c r="AB153" s="167"/>
    </row>
    <row r="154" spans="2:34" ht="14.5">
      <c r="B154" s="167"/>
      <c r="C154" s="167"/>
      <c r="D154" s="167"/>
      <c r="E154" s="167"/>
      <c r="F154" s="167"/>
      <c r="H154" s="727"/>
      <c r="I154" s="204"/>
      <c r="J154" s="204"/>
      <c r="K154" s="203"/>
      <c r="L154" s="203"/>
      <c r="M154" s="203"/>
      <c r="N154" s="203"/>
      <c r="O154" s="203"/>
      <c r="P154" s="203"/>
      <c r="Q154" s="203"/>
      <c r="R154" s="203"/>
      <c r="U154" s="203"/>
      <c r="V154" s="316">
        <v>4.7</v>
      </c>
      <c r="W154" s="317" t="s">
        <v>597</v>
      </c>
      <c r="X154" s="323" t="s">
        <v>858</v>
      </c>
      <c r="Y154" s="319"/>
      <c r="AB154" s="167"/>
    </row>
    <row r="155" spans="2:34" ht="14.5">
      <c r="H155" s="727"/>
      <c r="I155" s="204"/>
      <c r="J155" s="204"/>
      <c r="K155" s="203"/>
      <c r="L155" s="203"/>
      <c r="M155" s="203"/>
      <c r="N155" s="203"/>
      <c r="O155" s="203"/>
      <c r="P155" s="203"/>
      <c r="Q155" s="203"/>
      <c r="R155" s="203"/>
      <c r="U155" s="203"/>
      <c r="V155" s="316">
        <v>4.8</v>
      </c>
      <c r="W155" s="317" t="s">
        <v>597</v>
      </c>
      <c r="X155" s="318" t="s">
        <v>859</v>
      </c>
      <c r="Y155" s="319"/>
    </row>
    <row r="156" spans="2:34" ht="14.5">
      <c r="H156" s="727"/>
      <c r="I156" s="204"/>
      <c r="J156" s="204"/>
      <c r="K156" s="203"/>
      <c r="L156" s="203"/>
      <c r="M156" s="203"/>
      <c r="N156" s="203"/>
      <c r="O156" s="203"/>
      <c r="P156" s="203"/>
      <c r="Q156" s="203"/>
      <c r="R156" s="203"/>
      <c r="U156" s="203"/>
      <c r="V156" s="316">
        <v>4.9000000000000004</v>
      </c>
      <c r="W156" s="317" t="s">
        <v>597</v>
      </c>
      <c r="X156" s="323" t="s">
        <v>860</v>
      </c>
      <c r="Y156" s="319"/>
    </row>
    <row r="157" spans="2:34" ht="14.5">
      <c r="H157" s="727"/>
      <c r="I157" s="204"/>
      <c r="J157" s="204"/>
      <c r="K157" s="203"/>
      <c r="L157" s="203"/>
      <c r="M157" s="203"/>
      <c r="N157" s="203"/>
      <c r="O157" s="203"/>
      <c r="P157" s="203"/>
      <c r="Q157" s="203"/>
      <c r="R157" s="203"/>
      <c r="U157" s="203"/>
      <c r="V157" s="398">
        <v>4.1100000000000003</v>
      </c>
      <c r="W157" s="317" t="s">
        <v>597</v>
      </c>
      <c r="X157" s="318" t="s">
        <v>861</v>
      </c>
      <c r="Y157" s="319"/>
    </row>
    <row r="158" spans="2:34" ht="14.5">
      <c r="H158" s="727"/>
      <c r="I158" s="204"/>
      <c r="J158" s="204"/>
      <c r="K158" s="203"/>
      <c r="L158" s="203"/>
      <c r="M158" s="203"/>
      <c r="N158" s="203"/>
      <c r="O158" s="203"/>
      <c r="P158" s="203"/>
      <c r="Q158" s="203"/>
      <c r="R158" s="203"/>
      <c r="U158" s="203"/>
      <c r="V158" s="399">
        <v>4.12</v>
      </c>
      <c r="W158" s="400" t="s">
        <v>597</v>
      </c>
      <c r="X158" s="323" t="s">
        <v>862</v>
      </c>
      <c r="Y158" s="319"/>
    </row>
    <row r="159" spans="2:34" ht="15.5">
      <c r="H159" s="727"/>
      <c r="I159" s="204"/>
      <c r="J159" s="204"/>
      <c r="K159" s="203"/>
      <c r="L159" s="203"/>
      <c r="M159" s="203"/>
      <c r="N159" s="203"/>
      <c r="O159" s="203"/>
      <c r="P159" s="203"/>
      <c r="Q159" s="203"/>
      <c r="R159" s="203"/>
      <c r="U159" s="203"/>
      <c r="V159" s="401">
        <v>4.13</v>
      </c>
      <c r="W159" s="347" t="s">
        <v>621</v>
      </c>
      <c r="X159" s="348" t="s">
        <v>863</v>
      </c>
      <c r="Y159" s="349">
        <f>SUM(Y160:Y163)</f>
        <v>0</v>
      </c>
    </row>
    <row r="160" spans="2:34" ht="14.5">
      <c r="H160" s="727"/>
      <c r="I160" s="204"/>
      <c r="J160" s="204"/>
      <c r="K160" s="203"/>
      <c r="L160" s="203"/>
      <c r="M160" s="203"/>
      <c r="N160" s="203"/>
      <c r="O160" s="203"/>
      <c r="P160" s="203"/>
      <c r="Q160" s="203"/>
      <c r="R160" s="203"/>
      <c r="U160" s="203"/>
      <c r="V160" s="339" t="s">
        <v>864</v>
      </c>
      <c r="W160" s="400" t="s">
        <v>597</v>
      </c>
      <c r="X160" s="341" t="s">
        <v>865</v>
      </c>
      <c r="Y160" s="319"/>
    </row>
    <row r="161" spans="8:26" ht="14.5">
      <c r="H161" s="727"/>
      <c r="I161" s="204"/>
      <c r="J161" s="204"/>
      <c r="K161" s="203"/>
      <c r="L161" s="203"/>
      <c r="M161" s="203"/>
      <c r="N161" s="203"/>
      <c r="O161" s="203"/>
      <c r="P161" s="203"/>
      <c r="Q161" s="203"/>
      <c r="R161" s="203"/>
      <c r="U161" s="203"/>
      <c r="V161" s="339" t="s">
        <v>866</v>
      </c>
      <c r="W161" s="400" t="s">
        <v>597</v>
      </c>
      <c r="X161" s="341" t="s">
        <v>867</v>
      </c>
      <c r="Y161" s="319"/>
    </row>
    <row r="162" spans="8:26" ht="14.5">
      <c r="H162" s="727"/>
      <c r="I162" s="204"/>
      <c r="J162" s="204"/>
      <c r="K162" s="203"/>
      <c r="L162" s="203"/>
      <c r="M162" s="203"/>
      <c r="N162" s="203"/>
      <c r="O162" s="203"/>
      <c r="P162" s="203"/>
      <c r="Q162" s="203"/>
      <c r="R162" s="203"/>
      <c r="U162" s="203"/>
      <c r="V162" s="339" t="s">
        <v>868</v>
      </c>
      <c r="W162" s="400" t="s">
        <v>597</v>
      </c>
      <c r="X162" s="341" t="s">
        <v>869</v>
      </c>
      <c r="Y162" s="319"/>
    </row>
    <row r="163" spans="8:26" ht="14.5">
      <c r="H163" s="727"/>
      <c r="I163" s="204"/>
      <c r="J163" s="204"/>
      <c r="K163" s="203"/>
      <c r="L163" s="203"/>
      <c r="M163" s="203"/>
      <c r="N163" s="203"/>
      <c r="O163" s="203"/>
      <c r="P163" s="203"/>
      <c r="Q163" s="203"/>
      <c r="R163" s="203"/>
      <c r="U163" s="203"/>
      <c r="V163" s="339" t="s">
        <v>870</v>
      </c>
      <c r="W163" s="400" t="s">
        <v>597</v>
      </c>
      <c r="X163" s="341" t="s">
        <v>823</v>
      </c>
      <c r="Y163" s="319"/>
    </row>
    <row r="164" spans="8:26" ht="15" thickBot="1">
      <c r="H164" s="727"/>
      <c r="I164" s="204"/>
      <c r="J164" s="204"/>
      <c r="K164" s="203"/>
      <c r="L164" s="203"/>
      <c r="M164" s="203"/>
      <c r="N164" s="203"/>
      <c r="O164" s="203"/>
      <c r="P164" s="203"/>
      <c r="Q164" s="203"/>
      <c r="R164" s="203"/>
      <c r="U164" s="203"/>
      <c r="V164" s="402">
        <v>4.1399999999999997</v>
      </c>
      <c r="W164" s="403" t="s">
        <v>597</v>
      </c>
      <c r="X164" s="404" t="s">
        <v>77</v>
      </c>
      <c r="Y164" s="327"/>
    </row>
    <row r="165" spans="8:26" ht="15" thickBot="1">
      <c r="H165" s="727"/>
      <c r="I165" s="204"/>
      <c r="J165" s="204"/>
      <c r="K165" s="203"/>
      <c r="L165" s="203"/>
      <c r="M165" s="203"/>
      <c r="N165" s="203"/>
      <c r="O165" s="203"/>
      <c r="P165" s="203"/>
      <c r="Q165" s="203"/>
      <c r="R165" s="203"/>
      <c r="U165" s="203"/>
      <c r="V165" s="390" t="s">
        <v>871</v>
      </c>
      <c r="W165" s="391"/>
      <c r="X165" s="392" t="s">
        <v>872</v>
      </c>
      <c r="Y165" s="328">
        <f>SUM(Y160:Y164,Y148:Y158)</f>
        <v>0</v>
      </c>
    </row>
    <row r="166" spans="8:26" ht="15" thickBot="1">
      <c r="H166" s="727"/>
      <c r="I166" s="204"/>
      <c r="J166" s="204"/>
      <c r="K166" s="203"/>
      <c r="L166" s="203"/>
      <c r="M166" s="203"/>
      <c r="N166" s="203"/>
      <c r="O166" s="203"/>
      <c r="P166" s="203"/>
      <c r="Q166" s="203"/>
      <c r="R166" s="203"/>
      <c r="U166" s="203"/>
      <c r="V166" s="405"/>
      <c r="W166" s="405"/>
      <c r="X166" s="406"/>
      <c r="Y166" s="407"/>
    </row>
    <row r="167" spans="8:26" ht="14.5">
      <c r="H167" s="727"/>
      <c r="I167" s="204"/>
      <c r="J167" s="204"/>
      <c r="K167" s="203"/>
      <c r="L167" s="203"/>
      <c r="M167" s="203"/>
      <c r="N167" s="203"/>
      <c r="O167" s="203"/>
      <c r="P167" s="203"/>
      <c r="Q167" s="203"/>
      <c r="R167" s="203"/>
      <c r="U167" s="203"/>
      <c r="V167" s="408">
        <v>5</v>
      </c>
      <c r="W167" s="409"/>
      <c r="X167" s="410" t="s">
        <v>873</v>
      </c>
      <c r="Y167" s="411"/>
      <c r="Z167" s="101" t="s">
        <v>568</v>
      </c>
    </row>
    <row r="168" spans="8:26" ht="14.5">
      <c r="H168" s="727"/>
      <c r="I168" s="204"/>
      <c r="J168" s="204"/>
      <c r="K168" s="203"/>
      <c r="L168" s="203"/>
      <c r="M168" s="203"/>
      <c r="N168" s="203"/>
      <c r="O168" s="203"/>
      <c r="P168" s="203"/>
      <c r="Q168" s="203"/>
      <c r="R168" s="203"/>
      <c r="U168" s="203"/>
      <c r="V168" s="412">
        <v>5.0999999999999996</v>
      </c>
      <c r="W168" s="413"/>
      <c r="X168" s="414" t="s">
        <v>874</v>
      </c>
      <c r="Y168" s="415">
        <v>0</v>
      </c>
    </row>
    <row r="169" spans="8:26" ht="15" thickBot="1">
      <c r="H169" s="727"/>
      <c r="I169" s="204"/>
      <c r="J169" s="204"/>
      <c r="K169" s="203"/>
      <c r="L169" s="203"/>
      <c r="M169" s="203"/>
      <c r="N169" s="203"/>
      <c r="O169" s="203"/>
      <c r="P169" s="203"/>
      <c r="Q169" s="203"/>
      <c r="R169" s="203"/>
      <c r="U169" s="203"/>
      <c r="V169" s="416">
        <v>5.2</v>
      </c>
      <c r="W169" s="403" t="s">
        <v>597</v>
      </c>
      <c r="X169" s="417" t="s">
        <v>873</v>
      </c>
      <c r="Y169" s="418"/>
    </row>
    <row r="170" spans="8:26" ht="15" thickBot="1">
      <c r="H170" s="727"/>
      <c r="I170" s="204"/>
      <c r="J170" s="204"/>
      <c r="K170" s="203"/>
      <c r="L170" s="203"/>
      <c r="M170" s="203"/>
      <c r="N170" s="203"/>
      <c r="O170" s="203"/>
      <c r="P170" s="203"/>
      <c r="Q170" s="203"/>
      <c r="R170" s="203"/>
      <c r="U170" s="203"/>
      <c r="V170" s="419" t="s">
        <v>875</v>
      </c>
      <c r="W170" s="420"/>
      <c r="X170" s="392" t="s">
        <v>876</v>
      </c>
      <c r="Y170" s="328">
        <f>Y169</f>
        <v>0</v>
      </c>
    </row>
    <row r="171" spans="8:26" ht="15" thickBot="1">
      <c r="H171" s="727"/>
      <c r="I171" s="204"/>
      <c r="J171" s="204"/>
      <c r="K171" s="203"/>
      <c r="L171" s="203"/>
      <c r="M171" s="203"/>
      <c r="N171" s="203"/>
      <c r="O171" s="203"/>
      <c r="P171" s="203"/>
      <c r="Q171" s="203"/>
      <c r="R171" s="203"/>
      <c r="U171" s="203"/>
      <c r="V171" s="305"/>
      <c r="W171" s="305"/>
      <c r="X171" s="305"/>
      <c r="Y171" s="329"/>
    </row>
    <row r="172" spans="8:26" ht="15" thickBot="1">
      <c r="H172" s="727"/>
      <c r="I172" s="204"/>
      <c r="J172" s="204"/>
      <c r="K172" s="203"/>
      <c r="L172" s="203"/>
      <c r="M172" s="203"/>
      <c r="N172" s="203"/>
      <c r="O172" s="203"/>
      <c r="P172" s="203"/>
      <c r="Q172" s="203"/>
      <c r="R172" s="203"/>
      <c r="U172" s="203"/>
      <c r="V172" s="308">
        <v>6</v>
      </c>
      <c r="W172" s="309"/>
      <c r="X172" s="310" t="s">
        <v>877</v>
      </c>
      <c r="Y172" s="311"/>
      <c r="Z172" s="101" t="s">
        <v>568</v>
      </c>
    </row>
    <row r="173" spans="8:26" ht="14.5">
      <c r="H173" s="727"/>
      <c r="I173" s="204"/>
      <c r="J173" s="204"/>
      <c r="K173" s="203"/>
      <c r="L173" s="203"/>
      <c r="M173" s="203"/>
      <c r="N173" s="203"/>
      <c r="O173" s="203"/>
      <c r="P173" s="203"/>
      <c r="Q173" s="203"/>
      <c r="R173" s="203"/>
      <c r="U173" s="203"/>
      <c r="V173" s="312">
        <v>6.1</v>
      </c>
      <c r="W173" s="313"/>
      <c r="X173" s="314" t="s">
        <v>878</v>
      </c>
      <c r="Y173" s="421">
        <v>0</v>
      </c>
    </row>
    <row r="174" spans="8:26" ht="15" thickBot="1">
      <c r="H174" s="727"/>
      <c r="I174" s="204"/>
      <c r="J174" s="204"/>
      <c r="K174" s="203"/>
      <c r="L174" s="203"/>
      <c r="M174" s="203"/>
      <c r="N174" s="203"/>
      <c r="O174" s="203"/>
      <c r="P174" s="203"/>
      <c r="Q174" s="203"/>
      <c r="R174" s="203"/>
      <c r="U174" s="203"/>
      <c r="V174" s="324">
        <v>6.2</v>
      </c>
      <c r="W174" s="325" t="s">
        <v>597</v>
      </c>
      <c r="X174" s="404" t="s">
        <v>879</v>
      </c>
      <c r="Y174" s="418"/>
    </row>
    <row r="175" spans="8:26" ht="15" thickBot="1">
      <c r="H175" s="727"/>
      <c r="I175" s="204"/>
      <c r="J175" s="204"/>
      <c r="K175" s="203"/>
      <c r="L175" s="203"/>
      <c r="M175" s="203"/>
      <c r="N175" s="203"/>
      <c r="O175" s="203"/>
      <c r="P175" s="203"/>
      <c r="Q175" s="203"/>
      <c r="R175" s="203"/>
      <c r="U175" s="203"/>
      <c r="V175" s="419" t="s">
        <v>880</v>
      </c>
      <c r="W175" s="420"/>
      <c r="X175" s="392" t="s">
        <v>881</v>
      </c>
      <c r="Y175" s="328">
        <f>Y174</f>
        <v>0</v>
      </c>
    </row>
    <row r="176" spans="8:26" ht="15" thickBot="1">
      <c r="H176" s="727"/>
      <c r="I176" s="204"/>
      <c r="J176" s="204"/>
      <c r="K176" s="203"/>
      <c r="L176" s="203"/>
      <c r="M176" s="203"/>
      <c r="N176" s="203"/>
      <c r="O176" s="203"/>
      <c r="P176" s="203"/>
      <c r="Q176" s="203"/>
      <c r="R176" s="203"/>
      <c r="U176" s="203"/>
      <c r="V176" s="422"/>
      <c r="W176" s="422"/>
      <c r="X176" s="395"/>
      <c r="Y176" s="396"/>
    </row>
    <row r="177" spans="8:26" ht="15" thickBot="1">
      <c r="H177" s="727"/>
      <c r="I177" s="204"/>
      <c r="J177" s="204"/>
      <c r="K177" s="203"/>
      <c r="L177" s="203"/>
      <c r="M177" s="203"/>
      <c r="N177" s="203"/>
      <c r="O177" s="203"/>
      <c r="P177" s="203"/>
      <c r="Q177" s="203"/>
      <c r="R177" s="203"/>
      <c r="U177" s="203"/>
      <c r="V177" s="423">
        <v>10</v>
      </c>
      <c r="W177" s="424"/>
      <c r="X177" s="392" t="s">
        <v>882</v>
      </c>
      <c r="Y177" s="328">
        <f>Y175+Y170+Y165+Y145+Y140+Y46</f>
        <v>0</v>
      </c>
    </row>
    <row r="178" spans="8:26" ht="15" thickBot="1">
      <c r="H178" s="727"/>
      <c r="I178" s="204"/>
      <c r="J178" s="204"/>
      <c r="K178" s="203"/>
      <c r="L178" s="203"/>
      <c r="M178" s="203"/>
      <c r="N178" s="203"/>
      <c r="O178" s="203"/>
      <c r="P178" s="203"/>
      <c r="Q178" s="203"/>
      <c r="R178" s="203"/>
      <c r="U178" s="203"/>
      <c r="V178" s="305"/>
      <c r="W178" s="305"/>
      <c r="X178" s="305"/>
      <c r="Y178" s="425"/>
    </row>
    <row r="179" spans="8:26" ht="15" thickBot="1">
      <c r="H179" s="727"/>
      <c r="I179" s="204"/>
      <c r="J179" s="204"/>
      <c r="K179" s="203"/>
      <c r="L179" s="203"/>
      <c r="M179" s="203"/>
      <c r="N179" s="203"/>
      <c r="O179" s="203"/>
      <c r="P179" s="203"/>
      <c r="Q179" s="203"/>
      <c r="R179" s="203"/>
      <c r="U179" s="203"/>
      <c r="V179" s="308">
        <v>9</v>
      </c>
      <c r="W179" s="309"/>
      <c r="X179" s="310" t="s">
        <v>883</v>
      </c>
      <c r="Y179" s="311"/>
      <c r="Z179" s="101" t="s">
        <v>568</v>
      </c>
    </row>
    <row r="180" spans="8:26" ht="14.5">
      <c r="H180" s="727"/>
      <c r="I180" s="204"/>
      <c r="J180" s="204"/>
      <c r="K180" s="203"/>
      <c r="L180" s="203"/>
      <c r="M180" s="203"/>
      <c r="N180" s="203"/>
      <c r="O180" s="203"/>
      <c r="P180" s="203"/>
      <c r="Q180" s="203"/>
      <c r="R180" s="203"/>
      <c r="U180" s="203"/>
      <c r="V180" s="312">
        <v>9.1</v>
      </c>
      <c r="W180" s="313"/>
      <c r="X180" s="426" t="s">
        <v>883</v>
      </c>
      <c r="Y180" s="427">
        <v>0</v>
      </c>
    </row>
    <row r="181" spans="8:26" ht="15" thickBot="1">
      <c r="H181" s="727"/>
      <c r="I181" s="204"/>
      <c r="J181" s="204"/>
      <c r="K181" s="203"/>
      <c r="L181" s="203"/>
      <c r="M181" s="203"/>
      <c r="N181" s="203"/>
      <c r="O181" s="203"/>
      <c r="P181" s="203"/>
      <c r="Q181" s="203"/>
      <c r="R181" s="203"/>
      <c r="U181" s="203"/>
      <c r="V181" s="324"/>
      <c r="W181" s="325"/>
      <c r="X181" s="428" t="s">
        <v>884</v>
      </c>
      <c r="Y181" s="429">
        <f>Y144</f>
        <v>0</v>
      </c>
    </row>
    <row r="182" spans="8:26" ht="15" thickBot="1">
      <c r="H182" s="727"/>
      <c r="I182" s="204"/>
      <c r="J182" s="204"/>
      <c r="K182" s="203"/>
      <c r="L182" s="203"/>
      <c r="M182" s="203"/>
      <c r="N182" s="203"/>
      <c r="O182" s="203"/>
      <c r="P182" s="203"/>
      <c r="Q182" s="203"/>
      <c r="R182" s="203"/>
      <c r="U182" s="203"/>
      <c r="V182" s="423">
        <v>9</v>
      </c>
      <c r="W182" s="424"/>
      <c r="X182" s="392" t="s">
        <v>885</v>
      </c>
      <c r="Y182" s="328">
        <f>SUM(Y180:Y181)</f>
        <v>0</v>
      </c>
    </row>
    <row r="183" spans="8:26" ht="15" thickBot="1">
      <c r="H183" s="727"/>
      <c r="I183" s="204"/>
      <c r="J183" s="204"/>
      <c r="K183" s="203"/>
      <c r="L183" s="203"/>
      <c r="M183" s="203"/>
      <c r="N183" s="203"/>
      <c r="O183" s="203"/>
      <c r="P183" s="203"/>
      <c r="Q183" s="203"/>
      <c r="R183" s="203"/>
      <c r="U183" s="203"/>
      <c r="V183" s="430"/>
      <c r="W183" s="430"/>
      <c r="X183" s="395"/>
      <c r="Y183" s="396"/>
    </row>
    <row r="184" spans="8:26" ht="15" thickBot="1">
      <c r="H184" s="727"/>
      <c r="I184" s="204"/>
      <c r="J184" s="204"/>
      <c r="K184" s="203"/>
      <c r="L184" s="203"/>
      <c r="M184" s="203"/>
      <c r="N184" s="203"/>
      <c r="O184" s="203"/>
      <c r="P184" s="203"/>
      <c r="Q184" s="203"/>
      <c r="R184" s="203"/>
      <c r="U184" s="203"/>
      <c r="V184" s="423">
        <v>11</v>
      </c>
      <c r="W184" s="424"/>
      <c r="X184" s="392" t="s">
        <v>886</v>
      </c>
      <c r="Y184" s="328">
        <f>Y177-Y182</f>
        <v>0</v>
      </c>
    </row>
    <row r="185" spans="8:26" ht="15" thickBot="1">
      <c r="H185" s="727"/>
      <c r="I185" s="204"/>
      <c r="J185" s="204"/>
      <c r="K185" s="203"/>
      <c r="L185" s="203"/>
      <c r="M185" s="203"/>
      <c r="N185" s="203"/>
      <c r="O185" s="203"/>
      <c r="P185" s="203"/>
      <c r="Q185" s="203"/>
      <c r="R185" s="203"/>
      <c r="U185" s="203"/>
      <c r="V185" s="305"/>
      <c r="W185" s="305"/>
      <c r="X185" s="431"/>
      <c r="Y185" s="432"/>
    </row>
    <row r="186" spans="8:26" ht="15" thickBot="1">
      <c r="H186" s="727"/>
      <c r="I186" s="204"/>
      <c r="J186" s="204"/>
      <c r="K186" s="203"/>
      <c r="L186" s="203"/>
      <c r="M186" s="203"/>
      <c r="N186" s="203"/>
      <c r="O186" s="203"/>
      <c r="P186" s="203"/>
      <c r="Q186" s="203"/>
      <c r="R186" s="203"/>
      <c r="U186" s="203"/>
      <c r="V186" s="308">
        <v>7</v>
      </c>
      <c r="W186" s="309"/>
      <c r="X186" s="310" t="s">
        <v>887</v>
      </c>
      <c r="Y186" s="311"/>
    </row>
    <row r="187" spans="8:26" ht="15" thickBot="1">
      <c r="H187" s="727"/>
      <c r="I187" s="204"/>
      <c r="J187" s="204"/>
      <c r="K187" s="203"/>
      <c r="L187" s="203"/>
      <c r="M187" s="203"/>
      <c r="N187" s="203"/>
      <c r="O187" s="203"/>
      <c r="P187" s="203"/>
      <c r="Q187" s="203"/>
      <c r="R187" s="203"/>
      <c r="U187" s="203"/>
      <c r="V187" s="433">
        <v>7.1</v>
      </c>
      <c r="W187" s="434"/>
      <c r="X187" s="435" t="s">
        <v>888</v>
      </c>
      <c r="Y187" s="436">
        <v>0</v>
      </c>
    </row>
    <row r="188" spans="8:26" ht="15" thickBot="1">
      <c r="H188" s="727"/>
      <c r="I188" s="204"/>
      <c r="J188" s="204"/>
      <c r="K188" s="203"/>
      <c r="L188" s="203"/>
      <c r="M188" s="203"/>
      <c r="N188" s="203"/>
      <c r="O188" s="203"/>
      <c r="P188" s="203"/>
      <c r="Q188" s="203"/>
      <c r="R188" s="203"/>
      <c r="U188" s="203"/>
      <c r="V188" s="419" t="s">
        <v>889</v>
      </c>
      <c r="W188" s="420"/>
      <c r="X188" s="392" t="s">
        <v>890</v>
      </c>
      <c r="Y188" s="328">
        <v>0</v>
      </c>
    </row>
    <row r="189" spans="8:26" ht="15" thickBot="1">
      <c r="H189" s="727"/>
      <c r="I189" s="204"/>
      <c r="J189" s="204"/>
      <c r="K189" s="203"/>
      <c r="L189" s="203"/>
      <c r="M189" s="203"/>
      <c r="N189" s="203"/>
      <c r="O189" s="203"/>
      <c r="P189" s="203"/>
      <c r="Q189" s="203"/>
      <c r="R189" s="203"/>
      <c r="U189" s="203"/>
      <c r="V189" s="305"/>
      <c r="W189" s="305"/>
      <c r="X189" s="305"/>
      <c r="Y189" s="306"/>
    </row>
    <row r="190" spans="8:26" ht="15" thickBot="1">
      <c r="H190" s="727"/>
      <c r="I190" s="204"/>
      <c r="J190" s="204"/>
      <c r="K190" s="203"/>
      <c r="L190" s="203"/>
      <c r="M190" s="203"/>
      <c r="N190" s="203"/>
      <c r="O190" s="203"/>
      <c r="P190" s="203"/>
      <c r="Q190" s="203"/>
      <c r="R190" s="203"/>
      <c r="U190" s="203"/>
      <c r="V190" s="308">
        <v>8</v>
      </c>
      <c r="W190" s="309"/>
      <c r="X190" s="310" t="s">
        <v>891</v>
      </c>
      <c r="Y190" s="311"/>
      <c r="Z190" s="101" t="s">
        <v>568</v>
      </c>
    </row>
    <row r="191" spans="8:26" ht="14.5">
      <c r="H191" s="727"/>
      <c r="I191" s="204"/>
      <c r="J191" s="204"/>
      <c r="K191" s="203"/>
      <c r="L191" s="203"/>
      <c r="M191" s="203"/>
      <c r="N191" s="203"/>
      <c r="O191" s="203"/>
      <c r="P191" s="203"/>
      <c r="Q191" s="203"/>
      <c r="R191" s="203"/>
      <c r="U191" s="203"/>
      <c r="V191" s="312">
        <v>8.1</v>
      </c>
      <c r="W191" s="313" t="s">
        <v>589</v>
      </c>
      <c r="X191" s="437" t="s">
        <v>892</v>
      </c>
      <c r="Y191" s="427"/>
    </row>
    <row r="192" spans="8:26" ht="14.5">
      <c r="H192" s="727"/>
      <c r="I192" s="204"/>
      <c r="J192" s="204"/>
      <c r="K192" s="203"/>
      <c r="L192" s="203"/>
      <c r="M192" s="203"/>
      <c r="N192" s="203"/>
      <c r="O192" s="203"/>
      <c r="P192" s="203"/>
      <c r="Q192" s="203"/>
      <c r="R192" s="203"/>
      <c r="U192" s="203"/>
      <c r="V192" s="316">
        <v>8.1999999999999993</v>
      </c>
      <c r="W192" s="317" t="s">
        <v>589</v>
      </c>
      <c r="X192" s="438" t="s">
        <v>893</v>
      </c>
      <c r="Y192" s="439"/>
    </row>
    <row r="193" spans="8:25" ht="14.5">
      <c r="H193" s="727"/>
      <c r="I193" s="204"/>
      <c r="J193" s="204"/>
      <c r="K193" s="203"/>
      <c r="L193" s="203"/>
      <c r="M193" s="203"/>
      <c r="N193" s="203"/>
      <c r="O193" s="203"/>
      <c r="P193" s="203"/>
      <c r="Q193" s="203"/>
      <c r="R193" s="203"/>
      <c r="U193" s="203"/>
      <c r="V193" s="316">
        <v>8.3000000000000007</v>
      </c>
      <c r="W193" s="317" t="s">
        <v>589</v>
      </c>
      <c r="X193" s="438" t="s">
        <v>894</v>
      </c>
      <c r="Y193" s="439"/>
    </row>
    <row r="194" spans="8:25" ht="14.5">
      <c r="H194" s="727"/>
      <c r="I194" s="204"/>
      <c r="J194" s="204"/>
      <c r="K194" s="203"/>
      <c r="L194" s="203"/>
      <c r="M194" s="203"/>
      <c r="N194" s="203"/>
      <c r="O194" s="203"/>
      <c r="P194" s="203"/>
      <c r="Q194" s="203"/>
      <c r="R194" s="203"/>
      <c r="U194" s="203"/>
      <c r="V194" s="316">
        <v>8.4</v>
      </c>
      <c r="W194" s="317" t="s">
        <v>589</v>
      </c>
      <c r="X194" s="438" t="s">
        <v>895</v>
      </c>
      <c r="Y194" s="439"/>
    </row>
    <row r="195" spans="8:25" ht="14.5">
      <c r="H195" s="727"/>
      <c r="I195" s="204"/>
      <c r="J195" s="204"/>
      <c r="K195" s="203"/>
      <c r="L195" s="203"/>
      <c r="M195" s="203"/>
      <c r="N195" s="203"/>
      <c r="O195" s="203"/>
      <c r="P195" s="203"/>
      <c r="Q195" s="203"/>
      <c r="R195" s="203"/>
      <c r="U195" s="203"/>
      <c r="V195" s="316">
        <v>8.5</v>
      </c>
      <c r="W195" s="317" t="s">
        <v>589</v>
      </c>
      <c r="X195" s="323" t="s">
        <v>896</v>
      </c>
      <c r="Y195" s="439"/>
    </row>
    <row r="196" spans="8:25" ht="14.5">
      <c r="H196" s="727"/>
      <c r="I196" s="204"/>
      <c r="J196" s="204"/>
      <c r="K196" s="203"/>
      <c r="L196" s="203"/>
      <c r="M196" s="203"/>
      <c r="N196" s="203"/>
      <c r="O196" s="203"/>
      <c r="P196" s="203"/>
      <c r="Q196" s="203"/>
      <c r="R196" s="203"/>
      <c r="U196" s="203"/>
      <c r="V196" s="316">
        <v>8.6</v>
      </c>
      <c r="W196" s="317" t="s">
        <v>589</v>
      </c>
      <c r="X196" s="440" t="s">
        <v>897</v>
      </c>
      <c r="Y196" s="439"/>
    </row>
    <row r="197" spans="8:25" ht="14.5">
      <c r="H197" s="727"/>
      <c r="I197" s="204"/>
      <c r="J197" s="204"/>
      <c r="K197" s="203"/>
      <c r="L197" s="203"/>
      <c r="M197" s="203"/>
      <c r="N197" s="203"/>
      <c r="O197" s="203"/>
      <c r="P197" s="203"/>
      <c r="Q197" s="203"/>
      <c r="R197" s="203"/>
      <c r="U197" s="203"/>
      <c r="V197" s="316">
        <v>8.6999999999999993</v>
      </c>
      <c r="W197" s="317" t="s">
        <v>589</v>
      </c>
      <c r="X197" s="440" t="s">
        <v>898</v>
      </c>
      <c r="Y197" s="441"/>
    </row>
    <row r="198" spans="8:25" ht="15" thickBot="1">
      <c r="H198" s="727"/>
      <c r="I198" s="204"/>
      <c r="J198" s="204"/>
      <c r="K198" s="203"/>
      <c r="L198" s="203"/>
      <c r="M198" s="203"/>
      <c r="N198" s="203"/>
      <c r="O198" s="203"/>
      <c r="P198" s="203"/>
      <c r="Q198" s="203"/>
      <c r="R198" s="203"/>
      <c r="U198" s="203"/>
      <c r="V198" s="324">
        <v>8.8000000000000007</v>
      </c>
      <c r="W198" s="325" t="s">
        <v>589</v>
      </c>
      <c r="X198" s="417" t="s">
        <v>899</v>
      </c>
      <c r="Y198" s="418"/>
    </row>
    <row r="199" spans="8:25" ht="15" thickBot="1">
      <c r="H199" s="727"/>
      <c r="I199" s="204"/>
      <c r="J199" s="204"/>
      <c r="K199" s="203"/>
      <c r="L199" s="203"/>
      <c r="M199" s="203"/>
      <c r="N199" s="203"/>
      <c r="O199" s="203"/>
      <c r="P199" s="203"/>
      <c r="Q199" s="203"/>
      <c r="R199" s="203"/>
      <c r="U199" s="203"/>
      <c r="V199" s="419" t="s">
        <v>900</v>
      </c>
      <c r="W199" s="420"/>
      <c r="X199" s="392" t="s">
        <v>901</v>
      </c>
      <c r="Y199" s="328">
        <f>SUM(Y191:Y198)</f>
        <v>0</v>
      </c>
    </row>
    <row r="201" spans="8:25">
      <c r="Y201" s="393">
        <f>Y177+Y199</f>
        <v>0</v>
      </c>
    </row>
  </sheetData>
  <sheetProtection algorithmName="SHA-512" hashValue="C7a2ClLNV1dOSogQCYLQfZQp+yxX8jIlWrZt2H+PwavlOiedL93hcIYleJ/dsmVy4ovRQ094V08AmmchO470ag==" saltValue="2qLXsNv0NxoXFUX8AmLbuA==" spinCount="100000" sheet="1" objects="1" scenarios="1"/>
  <mergeCells count="28">
    <mergeCell ref="O11:P11"/>
    <mergeCell ref="M15:P15"/>
    <mergeCell ref="M24:R24"/>
    <mergeCell ref="O8:P8"/>
    <mergeCell ref="R9:R13"/>
    <mergeCell ref="M12:P12"/>
    <mergeCell ref="R15:R19"/>
    <mergeCell ref="H2:R2"/>
    <mergeCell ref="V2:Y2"/>
    <mergeCell ref="AI2:AJ2"/>
    <mergeCell ref="I4:K4"/>
    <mergeCell ref="M4:P4"/>
    <mergeCell ref="R4:R7"/>
    <mergeCell ref="O5:P5"/>
    <mergeCell ref="O7:P7"/>
    <mergeCell ref="B50:C50"/>
    <mergeCell ref="B139:C139"/>
    <mergeCell ref="B54:C54"/>
    <mergeCell ref="B60:C60"/>
    <mergeCell ref="B71:C71"/>
    <mergeCell ref="B84:C84"/>
    <mergeCell ref="B87:C87"/>
    <mergeCell ref="B98:C98"/>
    <mergeCell ref="B107:C107"/>
    <mergeCell ref="B111:C111"/>
    <mergeCell ref="B114:C114"/>
    <mergeCell ref="B121:C121"/>
    <mergeCell ref="B133:C133"/>
  </mergeCells>
  <dataValidations xWindow="940" yWindow="483" count="5">
    <dataValidation type="date" allowBlank="1" showInputMessage="1" showErrorMessage="1" errorTitle="Date Format Incorrect" error="Please enter the date you are submitting the report, in the format MM/DD/YYYY" promptTitle="Date Required" prompt="Input date in DD/MM/YYYY Format" sqref="O11:P11" xr:uid="{5748B9A4-D434-4D1F-8DF5-5451A0625E63}">
      <formula1>43101</formula1>
      <formula2>47848</formula2>
    </dataValidation>
    <dataValidation type="list" allowBlank="1" showInputMessage="1" showErrorMessage="1" sqref="O5:P5" xr:uid="{928C518E-94D6-4F55-B82F-EE8710D1A089}">
      <formula1>"Build to Suit, Retrofit"</formula1>
    </dataValidation>
    <dataValidation type="list" allowBlank="1" showInputMessage="1" showErrorMessage="1" sqref="K17" xr:uid="{DBD61D10-6F8F-4C68-AFC5-A5F029B83813}">
      <formula1>$AI$3:$AI$13</formula1>
    </dataValidation>
    <dataValidation type="list" allowBlank="1" showInputMessage="1" showErrorMessage="1" sqref="P6" xr:uid="{24F99C32-B031-4AB0-9A8B-7D42F552DDFD}">
      <formula1>"1W1F DS, 2W1F DS, 1W 2F DS, 2W2F DS, Parking, Other"</formula1>
    </dataValidation>
    <dataValidation type="list" allowBlank="1" showInputMessage="1" showErrorMessage="1" sqref="O6" xr:uid="{B32703B7-4D17-4096-AA2A-F05D6FF104CB}">
      <formula1>"AMZL,GCF,GSF,TES"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940" yWindow="483" count="3">
        <x14:dataValidation type="list" allowBlank="1" showInputMessage="1" showErrorMessage="1" xr:uid="{FD2106E8-2F02-484C-AA73-63877B325B27}">
          <x14:formula1>
            <xm:f>'Drop Down Menus'!$V$2:$V$8</xm:f>
          </x14:formula1>
          <xm:sqref>P10</xm:sqref>
        </x14:dataValidation>
        <x14:dataValidation type="list" allowBlank="1" showInputMessage="1" showErrorMessage="1" xr:uid="{EEFF8B4F-4CDC-4608-BB35-45DCBAD53786}">
          <x14:formula1>
            <xm:f>'Drop Down Menus'!$T$2:$T$13</xm:f>
          </x14:formula1>
          <xm:sqref>O10</xm:sqref>
        </x14:dataValidation>
        <x14:dataValidation type="list" allowBlank="1" showInputMessage="1" showErrorMessage="1" xr:uid="{5D71438C-56B9-48A3-B12F-CD717D64DE67}">
          <x14:formula1>
            <xm:f>'C:\Users\fefontan\Desktop\REPORT\COST REPORT\DCE3\[DCE3 - Master Document - Cost Report - ECCF MENA Short Form v7.xlsm]Information'!#REF!</xm:f>
          </x14:formula1>
          <xm:sqref>K8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L165"/>
  <sheetViews>
    <sheetView showGridLines="0" zoomScale="70" zoomScaleNormal="70" workbookViewId="0">
      <selection activeCell="F180" sqref="F180"/>
    </sheetView>
  </sheetViews>
  <sheetFormatPr defaultColWidth="9.1796875" defaultRowHeight="14"/>
  <cols>
    <col min="1" max="1" width="2.81640625" style="24" customWidth="1"/>
    <col min="2" max="2" width="20" style="36" customWidth="1"/>
    <col min="3" max="3" width="56.81640625" style="24" customWidth="1"/>
    <col min="4" max="5" width="22.81640625" style="164" customWidth="1"/>
    <col min="6" max="6" width="22.54296875" style="164" bestFit="1" customWidth="1"/>
    <col min="7" max="7" width="28.1796875" style="24" bestFit="1" customWidth="1"/>
    <col min="8" max="8" width="21.1796875" style="24" customWidth="1"/>
    <col min="9" max="9" width="12.1796875" style="24" customWidth="1"/>
    <col min="10" max="10" width="5.81640625" style="24" customWidth="1"/>
    <col min="11" max="11" width="35.1796875" style="24" customWidth="1"/>
    <col min="12" max="12" width="4.1796875" style="24" customWidth="1"/>
    <col min="13" max="16384" width="9.1796875" style="24"/>
  </cols>
  <sheetData>
    <row r="1" spans="2:12">
      <c r="D1" s="24"/>
      <c r="E1" s="24"/>
      <c r="F1" s="24"/>
    </row>
    <row r="2" spans="2:12">
      <c r="B2" s="17" t="s">
        <v>83</v>
      </c>
      <c r="D2" s="24"/>
      <c r="E2" s="24"/>
      <c r="G2" s="164"/>
      <c r="H2" s="111" t="s">
        <v>1112</v>
      </c>
    </row>
    <row r="3" spans="2:12">
      <c r="B3" s="17" t="s">
        <v>285</v>
      </c>
      <c r="D3" s="24"/>
      <c r="E3" s="192" t="s">
        <v>476</v>
      </c>
      <c r="F3" s="619">
        <f>'GMP COST DATA'!M17</f>
        <v>0</v>
      </c>
      <c r="G3" s="619">
        <f>'GMP COST DATA'!M18</f>
        <v>0</v>
      </c>
      <c r="H3" s="193">
        <v>0</v>
      </c>
    </row>
    <row r="4" spans="2:12" ht="14.5" thickBot="1">
      <c r="B4" s="152"/>
      <c r="C4" s="151" t="str">
        <f ca="1">"THIS WILL REPORT FINANCIALS THROUGH " &amp; UPPER(TEXT(EDATE(startSummary,-1),"MMM")) &amp; " / " &amp; YEAR(EDATE(startSummary,-1))</f>
        <v>THIS WILL REPORT FINANCIALS THROUGH OCT / 2022</v>
      </c>
      <c r="D4" s="24"/>
      <c r="E4" s="24"/>
      <c r="F4" s="24"/>
    </row>
    <row r="5" spans="2:12" ht="17.25" customHeight="1" thickBot="1">
      <c r="B5" s="18" t="s">
        <v>78</v>
      </c>
      <c r="C5" s="653">
        <f ca="1">TODAY()</f>
        <v>44883</v>
      </c>
      <c r="D5" s="24"/>
      <c r="E5" s="792" t="s">
        <v>86</v>
      </c>
      <c r="F5" s="793"/>
      <c r="G5" s="794"/>
      <c r="H5" s="656">
        <f>'GMP COST DATA'!N14</f>
        <v>0</v>
      </c>
      <c r="J5" s="780" t="s">
        <v>221</v>
      </c>
      <c r="K5" s="781"/>
      <c r="L5" s="782"/>
    </row>
    <row r="6" spans="2:12" ht="17.25" customHeight="1">
      <c r="B6" s="153" t="s">
        <v>79</v>
      </c>
      <c r="C6" s="660">
        <f>'GMP COST DATA'!K6</f>
        <v>0</v>
      </c>
      <c r="D6" s="24"/>
      <c r="E6" s="795" t="s">
        <v>87</v>
      </c>
      <c r="F6" s="796"/>
      <c r="G6" s="797"/>
      <c r="H6" s="657">
        <f>'GMP COST DATA'!O14</f>
        <v>0</v>
      </c>
      <c r="J6" s="783"/>
      <c r="K6" s="784"/>
      <c r="L6" s="785"/>
    </row>
    <row r="7" spans="2:12" ht="14.5">
      <c r="B7" s="153" t="s">
        <v>124</v>
      </c>
      <c r="C7" s="659">
        <f>'GMP COST DATA'!K7</f>
        <v>0</v>
      </c>
      <c r="D7" s="24"/>
      <c r="E7" s="795" t="s">
        <v>88</v>
      </c>
      <c r="F7" s="796"/>
      <c r="G7" s="797"/>
      <c r="H7" s="657">
        <f>SUM('GMP COST DATA'!P17:P18)</f>
        <v>0</v>
      </c>
      <c r="J7" s="668"/>
      <c r="K7" s="664"/>
      <c r="L7" s="669"/>
    </row>
    <row r="8" spans="2:12" ht="14.5" customHeight="1">
      <c r="B8" s="19" t="s">
        <v>125</v>
      </c>
      <c r="C8" s="654"/>
      <c r="D8" s="24"/>
      <c r="E8" s="798" t="s">
        <v>89</v>
      </c>
      <c r="F8" s="799"/>
      <c r="G8" s="800"/>
      <c r="H8" s="97">
        <f>H5+H6+H7</f>
        <v>0</v>
      </c>
      <c r="J8" s="786" t="s">
        <v>478</v>
      </c>
      <c r="K8" s="787"/>
      <c r="L8" s="788"/>
    </row>
    <row r="9" spans="2:12" ht="14.5" customHeight="1">
      <c r="B9" s="19" t="s">
        <v>127</v>
      </c>
      <c r="C9" s="658">
        <f>'GMP COST DATA'!K9</f>
        <v>0</v>
      </c>
      <c r="D9" s="24"/>
      <c r="E9" s="801" t="s">
        <v>90</v>
      </c>
      <c r="F9" s="802"/>
      <c r="G9" s="803"/>
      <c r="H9" s="98">
        <f>'Change Control Summary'!AB8</f>
        <v>0</v>
      </c>
      <c r="J9" s="786"/>
      <c r="K9" s="787"/>
      <c r="L9" s="788"/>
    </row>
    <row r="10" spans="2:12" ht="14.5">
      <c r="B10" s="19" t="s">
        <v>129</v>
      </c>
      <c r="C10" s="658">
        <f>'GMP COST DATA'!K10</f>
        <v>0</v>
      </c>
      <c r="D10" s="24"/>
      <c r="E10" s="798" t="s">
        <v>91</v>
      </c>
      <c r="F10" s="799"/>
      <c r="G10" s="800"/>
      <c r="H10" s="98">
        <f>H8-H9</f>
        <v>0</v>
      </c>
      <c r="J10" s="670"/>
      <c r="K10" s="665"/>
      <c r="L10" s="671"/>
    </row>
    <row r="11" spans="2:12" ht="14.5">
      <c r="B11" s="19" t="s">
        <v>130</v>
      </c>
      <c r="C11" s="658">
        <f>'GMP COST DATA'!K11</f>
        <v>0</v>
      </c>
      <c r="D11" s="24"/>
      <c r="E11" s="798" t="s">
        <v>346</v>
      </c>
      <c r="F11" s="799"/>
      <c r="G11" s="800"/>
      <c r="H11" s="97">
        <f>'GMP COST DATA'!Q105</f>
        <v>0</v>
      </c>
      <c r="J11" s="670"/>
      <c r="K11" s="665"/>
      <c r="L11" s="671"/>
    </row>
    <row r="12" spans="2:12" ht="14.5">
      <c r="B12" s="19" t="s">
        <v>82</v>
      </c>
      <c r="C12" s="658">
        <f>'GMP COST DATA'!K12</f>
        <v>0</v>
      </c>
      <c r="D12" s="24"/>
      <c r="E12" s="798" t="s">
        <v>286</v>
      </c>
      <c r="F12" s="799"/>
      <c r="G12" s="800"/>
      <c r="H12" s="98">
        <f>'GMP COST DATA'!P105</f>
        <v>0</v>
      </c>
      <c r="J12" s="670"/>
      <c r="K12" s="665"/>
      <c r="L12" s="671"/>
    </row>
    <row r="13" spans="2:12" ht="15.5">
      <c r="B13" s="19" t="s">
        <v>80</v>
      </c>
      <c r="C13" s="658">
        <f>'GMP COST DATA'!K13</f>
        <v>0</v>
      </c>
      <c r="D13" s="24"/>
      <c r="E13" s="804" t="s">
        <v>345</v>
      </c>
      <c r="F13" s="805"/>
      <c r="G13" s="806"/>
      <c r="H13" s="99">
        <f>H8-H11</f>
        <v>0</v>
      </c>
      <c r="J13" s="670"/>
      <c r="K13" s="665"/>
      <c r="L13" s="671"/>
    </row>
    <row r="14" spans="2:12" ht="15" thickBot="1">
      <c r="B14" s="19" t="s">
        <v>81</v>
      </c>
      <c r="C14" s="658">
        <f>'GMP COST DATA'!K14</f>
        <v>0</v>
      </c>
      <c r="D14" s="24"/>
      <c r="E14" s="801" t="s">
        <v>92</v>
      </c>
      <c r="F14" s="802"/>
      <c r="G14" s="803"/>
      <c r="H14" s="680">
        <f>'Change Control Summary'!AB11</f>
        <v>0</v>
      </c>
      <c r="J14" s="672"/>
      <c r="K14" s="673"/>
      <c r="L14" s="674"/>
    </row>
    <row r="15" spans="2:12">
      <c r="B15" s="154" t="s">
        <v>213</v>
      </c>
      <c r="C15" s="681">
        <f>'GMP COST DATA'!K15</f>
        <v>0</v>
      </c>
      <c r="D15" s="24"/>
      <c r="E15" s="807" t="s">
        <v>477</v>
      </c>
      <c r="F15" s="808"/>
      <c r="G15" s="809"/>
      <c r="H15" s="636">
        <f>TotalAvailableBudget</f>
        <v>0</v>
      </c>
      <c r="J15" s="789"/>
      <c r="K15" s="789"/>
      <c r="L15" s="789"/>
    </row>
    <row r="16" spans="2:12" ht="14.5" thickBot="1">
      <c r="B16" s="35" t="s">
        <v>131</v>
      </c>
      <c r="C16" s="655">
        <f>'GMP COST DATA'!K16</f>
        <v>0</v>
      </c>
      <c r="D16" s="155"/>
      <c r="E16" s="810" t="s">
        <v>93</v>
      </c>
      <c r="F16" s="811"/>
      <c r="G16" s="812"/>
      <c r="H16" s="100">
        <f>H8-H15</f>
        <v>0</v>
      </c>
      <c r="J16" s="789"/>
      <c r="K16" s="789"/>
      <c r="L16" s="789"/>
    </row>
    <row r="17" spans="1:12" ht="14.5" thickBot="1">
      <c r="B17" s="197" t="s">
        <v>284</v>
      </c>
      <c r="C17" s="661">
        <f>'GMP COST DATA'!K17</f>
        <v>0</v>
      </c>
      <c r="D17" s="24"/>
      <c r="E17" s="24"/>
      <c r="F17" s="157"/>
      <c r="G17" s="157"/>
      <c r="H17" s="157"/>
      <c r="J17" s="819"/>
      <c r="K17" s="819"/>
      <c r="L17" s="819"/>
    </row>
    <row r="18" spans="1:12" ht="14.5" thickBot="1">
      <c r="B18" s="156" t="s">
        <v>283</v>
      </c>
      <c r="C18" s="661"/>
      <c r="D18" s="24"/>
      <c r="E18" s="24"/>
      <c r="F18" s="790" t="s">
        <v>94</v>
      </c>
      <c r="G18" s="791"/>
      <c r="H18" s="158" t="s">
        <v>1062</v>
      </c>
      <c r="I18" s="155"/>
      <c r="J18" s="666"/>
      <c r="K18" s="666"/>
      <c r="L18" s="666"/>
    </row>
    <row r="19" spans="1:12" ht="14.5">
      <c r="D19" s="159"/>
      <c r="E19" s="159"/>
      <c r="F19" s="159"/>
      <c r="G19" s="159"/>
      <c r="H19" s="159"/>
      <c r="J19" s="665"/>
      <c r="K19" s="665"/>
      <c r="L19" s="665"/>
    </row>
    <row r="20" spans="1:12" ht="14.5" hidden="1">
      <c r="B20" s="112" t="s">
        <v>287</v>
      </c>
      <c r="C20" s="113"/>
      <c r="D20" s="113"/>
      <c r="E20" s="113"/>
      <c r="F20" s="113"/>
      <c r="G20" s="113"/>
      <c r="H20" s="114"/>
      <c r="J20" s="665"/>
      <c r="K20" s="665"/>
      <c r="L20" s="665"/>
    </row>
    <row r="21" spans="1:12" ht="48" hidden="1" customHeight="1" thickBot="1">
      <c r="B21" s="137" t="s">
        <v>1</v>
      </c>
      <c r="C21" s="138"/>
      <c r="D21" s="139" t="s">
        <v>353</v>
      </c>
      <c r="E21" s="139" t="s">
        <v>288</v>
      </c>
      <c r="F21" s="139" t="s">
        <v>84</v>
      </c>
      <c r="G21" s="139" t="s">
        <v>2</v>
      </c>
      <c r="H21" s="140" t="s">
        <v>289</v>
      </c>
      <c r="J21" s="665"/>
      <c r="K21" s="665"/>
      <c r="L21" s="665"/>
    </row>
    <row r="22" spans="1:12" ht="17.25" hidden="1" customHeight="1">
      <c r="B22" s="20" t="s">
        <v>25</v>
      </c>
      <c r="C22" s="21"/>
      <c r="D22" s="816" t="s">
        <v>37</v>
      </c>
      <c r="E22" s="817"/>
      <c r="F22" s="817"/>
      <c r="G22" s="817"/>
      <c r="H22" s="818"/>
      <c r="J22" s="202"/>
      <c r="K22" s="623"/>
      <c r="L22" s="202"/>
    </row>
    <row r="23" spans="1:12" ht="15" hidden="1" customHeight="1">
      <c r="A23" s="159"/>
      <c r="B23" s="14" t="s">
        <v>95</v>
      </c>
      <c r="C23" s="22" t="s">
        <v>18</v>
      </c>
      <c r="D23" s="160">
        <v>0</v>
      </c>
      <c r="E23" s="160">
        <v>0</v>
      </c>
      <c r="F23" s="160">
        <v>0</v>
      </c>
      <c r="G23" s="160">
        <v>0</v>
      </c>
      <c r="H23" s="94">
        <f>G23-D23</f>
        <v>0</v>
      </c>
      <c r="J23" s="202"/>
      <c r="K23" s="623"/>
      <c r="L23" s="202"/>
    </row>
    <row r="24" spans="1:12" ht="15" hidden="1" customHeight="1">
      <c r="A24" s="159"/>
      <c r="B24" s="14" t="s">
        <v>95</v>
      </c>
      <c r="C24" s="22" t="s">
        <v>17</v>
      </c>
      <c r="D24" s="160">
        <v>0</v>
      </c>
      <c r="E24" s="160">
        <v>0</v>
      </c>
      <c r="F24" s="160">
        <v>0</v>
      </c>
      <c r="G24" s="160">
        <v>0</v>
      </c>
      <c r="H24" s="94">
        <f t="shared" ref="H24:H25" si="0">G24-D24</f>
        <v>0</v>
      </c>
      <c r="J24" s="202"/>
      <c r="K24" s="623"/>
      <c r="L24" s="202"/>
    </row>
    <row r="25" spans="1:12" ht="15" hidden="1" customHeight="1">
      <c r="A25" s="159"/>
      <c r="B25" s="14" t="s">
        <v>95</v>
      </c>
      <c r="C25" s="22" t="s">
        <v>16</v>
      </c>
      <c r="D25" s="160">
        <v>0</v>
      </c>
      <c r="E25" s="160">
        <v>0</v>
      </c>
      <c r="F25" s="160">
        <v>0</v>
      </c>
      <c r="G25" s="160">
        <v>0</v>
      </c>
      <c r="H25" s="94">
        <f t="shared" si="0"/>
        <v>0</v>
      </c>
      <c r="J25" s="202"/>
      <c r="K25" s="623"/>
      <c r="L25" s="202"/>
    </row>
    <row r="26" spans="1:12" ht="15" hidden="1" customHeight="1" thickBot="1">
      <c r="A26" s="159"/>
      <c r="B26" s="23" t="s">
        <v>95</v>
      </c>
      <c r="C26" s="24" t="s">
        <v>58</v>
      </c>
      <c r="D26" s="160">
        <v>0</v>
      </c>
      <c r="E26" s="160">
        <v>0</v>
      </c>
      <c r="F26" s="160">
        <v>0</v>
      </c>
      <c r="G26" s="160">
        <v>0</v>
      </c>
      <c r="H26" s="94">
        <f t="shared" ref="H26" si="1">G26-D26</f>
        <v>0</v>
      </c>
      <c r="J26" s="202"/>
      <c r="K26" s="623"/>
      <c r="L26" s="202"/>
    </row>
    <row r="27" spans="1:12" ht="15" hidden="1" customHeight="1" thickBot="1">
      <c r="A27" s="159"/>
      <c r="B27" s="25" t="s">
        <v>29</v>
      </c>
      <c r="C27" s="136"/>
      <c r="D27" s="13">
        <f>SUM(D23:D26)</f>
        <v>0</v>
      </c>
      <c r="E27" s="13">
        <f>SUM(E23:E26)</f>
        <v>0</v>
      </c>
      <c r="F27" s="13">
        <f>SUM(F23:F26)</f>
        <v>0</v>
      </c>
      <c r="G27" s="13">
        <f>SUM(G23:G26)</f>
        <v>0</v>
      </c>
      <c r="H27" s="135">
        <f>SUM(H23:H26)</f>
        <v>0</v>
      </c>
      <c r="J27" s="202"/>
      <c r="K27" s="623"/>
      <c r="L27" s="202"/>
    </row>
    <row r="28" spans="1:12" ht="8.25" hidden="1" customHeight="1" thickBot="1">
      <c r="A28" s="159"/>
      <c r="B28" s="161"/>
      <c r="C28" s="162"/>
      <c r="D28" s="163"/>
      <c r="E28" s="163"/>
      <c r="F28" s="163"/>
      <c r="G28" s="163"/>
      <c r="H28" s="163"/>
      <c r="J28" s="202"/>
      <c r="K28" s="623"/>
      <c r="L28" s="202"/>
    </row>
    <row r="29" spans="1:12" ht="15" hidden="1" customHeight="1">
      <c r="A29" s="159"/>
      <c r="B29" s="26" t="s">
        <v>24</v>
      </c>
      <c r="C29" s="27"/>
      <c r="D29" s="813"/>
      <c r="E29" s="814"/>
      <c r="F29" s="814"/>
      <c r="G29" s="814"/>
      <c r="H29" s="815"/>
      <c r="J29" s="202"/>
      <c r="K29" s="623"/>
      <c r="L29" s="202"/>
    </row>
    <row r="30" spans="1:12" ht="15" hidden="1" customHeight="1">
      <c r="A30" s="159"/>
      <c r="B30" s="194" t="s">
        <v>28</v>
      </c>
      <c r="C30" s="195"/>
      <c r="D30" s="816" t="s">
        <v>37</v>
      </c>
      <c r="E30" s="817"/>
      <c r="F30" s="817"/>
      <c r="G30" s="817"/>
      <c r="H30" s="818"/>
      <c r="J30" s="202"/>
      <c r="K30" s="623"/>
      <c r="L30" s="202"/>
    </row>
    <row r="31" spans="1:12" ht="15" hidden="1" customHeight="1">
      <c r="A31" s="159"/>
      <c r="B31" s="28" t="s">
        <v>103</v>
      </c>
      <c r="C31" s="39" t="s">
        <v>46</v>
      </c>
      <c r="D31" s="160">
        <v>0</v>
      </c>
      <c r="E31" s="160">
        <v>0</v>
      </c>
      <c r="F31" s="160">
        <v>0</v>
      </c>
      <c r="G31" s="160">
        <v>0</v>
      </c>
      <c r="H31" s="94">
        <f t="shared" ref="H31:H41" si="2">G31-D31</f>
        <v>0</v>
      </c>
      <c r="J31" s="202"/>
      <c r="K31" s="623"/>
      <c r="L31" s="202"/>
    </row>
    <row r="32" spans="1:12" ht="15" hidden="1" customHeight="1">
      <c r="A32" s="159"/>
      <c r="B32" s="28" t="s">
        <v>103</v>
      </c>
      <c r="C32" s="39" t="s">
        <v>47</v>
      </c>
      <c r="D32" s="160">
        <v>0</v>
      </c>
      <c r="E32" s="160">
        <v>0</v>
      </c>
      <c r="F32" s="160">
        <v>0</v>
      </c>
      <c r="G32" s="160">
        <v>0</v>
      </c>
      <c r="H32" s="94">
        <f t="shared" si="2"/>
        <v>0</v>
      </c>
      <c r="J32" s="202"/>
      <c r="K32" s="623"/>
      <c r="L32" s="202"/>
    </row>
    <row r="33" spans="1:12" ht="15" hidden="1" customHeight="1">
      <c r="A33" s="159"/>
      <c r="B33" s="28" t="s">
        <v>103</v>
      </c>
      <c r="C33" s="39" t="s">
        <v>48</v>
      </c>
      <c r="D33" s="160">
        <v>0</v>
      </c>
      <c r="E33" s="160">
        <v>0</v>
      </c>
      <c r="F33" s="160">
        <v>0</v>
      </c>
      <c r="G33" s="160">
        <v>0</v>
      </c>
      <c r="H33" s="94">
        <f t="shared" si="2"/>
        <v>0</v>
      </c>
      <c r="J33" s="202"/>
      <c r="K33" s="623"/>
      <c r="L33" s="202"/>
    </row>
    <row r="34" spans="1:12" ht="15" hidden="1" customHeight="1">
      <c r="A34" s="159"/>
      <c r="B34" s="28" t="s">
        <v>103</v>
      </c>
      <c r="C34" s="39" t="s">
        <v>49</v>
      </c>
      <c r="D34" s="160">
        <v>0</v>
      </c>
      <c r="E34" s="160">
        <v>0</v>
      </c>
      <c r="F34" s="160">
        <v>0</v>
      </c>
      <c r="G34" s="160">
        <v>0</v>
      </c>
      <c r="H34" s="94">
        <f t="shared" si="2"/>
        <v>0</v>
      </c>
      <c r="J34" s="202"/>
      <c r="K34" s="623"/>
      <c r="L34" s="202"/>
    </row>
    <row r="35" spans="1:12" ht="15" hidden="1" customHeight="1">
      <c r="A35" s="159"/>
      <c r="B35" s="28" t="s">
        <v>103</v>
      </c>
      <c r="C35" s="39" t="s">
        <v>71</v>
      </c>
      <c r="D35" s="160">
        <v>0</v>
      </c>
      <c r="E35" s="160">
        <v>0</v>
      </c>
      <c r="F35" s="160">
        <v>0</v>
      </c>
      <c r="G35" s="160">
        <v>0</v>
      </c>
      <c r="H35" s="94">
        <f t="shared" ref="H35:H36" si="3">G35-D35</f>
        <v>0</v>
      </c>
      <c r="I35" s="164"/>
      <c r="J35" s="202"/>
      <c r="K35" s="623"/>
      <c r="L35" s="202"/>
    </row>
    <row r="36" spans="1:12" ht="15" hidden="1" customHeight="1">
      <c r="A36" s="159"/>
      <c r="B36" s="28" t="s">
        <v>103</v>
      </c>
      <c r="C36" s="39" t="s">
        <v>72</v>
      </c>
      <c r="D36" s="160">
        <v>0</v>
      </c>
      <c r="E36" s="160">
        <v>0</v>
      </c>
      <c r="F36" s="160">
        <v>0</v>
      </c>
      <c r="G36" s="160">
        <v>0</v>
      </c>
      <c r="H36" s="94">
        <f t="shared" si="3"/>
        <v>0</v>
      </c>
      <c r="I36" s="164"/>
      <c r="J36" s="202"/>
      <c r="K36" s="623"/>
      <c r="L36" s="202"/>
    </row>
    <row r="37" spans="1:12" ht="15" hidden="1" customHeight="1">
      <c r="A37" s="159"/>
      <c r="B37" s="28" t="s">
        <v>103</v>
      </c>
      <c r="C37" s="39" t="s">
        <v>50</v>
      </c>
      <c r="D37" s="160">
        <v>0</v>
      </c>
      <c r="E37" s="160">
        <v>0</v>
      </c>
      <c r="F37" s="160">
        <v>0</v>
      </c>
      <c r="G37" s="160">
        <v>0</v>
      </c>
      <c r="H37" s="94">
        <f t="shared" si="2"/>
        <v>0</v>
      </c>
      <c r="I37" s="164"/>
      <c r="J37" s="202"/>
      <c r="K37" s="623"/>
      <c r="L37" s="202"/>
    </row>
    <row r="38" spans="1:12" ht="15" hidden="1" customHeight="1">
      <c r="A38" s="159"/>
      <c r="B38" s="28" t="s">
        <v>103</v>
      </c>
      <c r="C38" s="39" t="s">
        <v>51</v>
      </c>
      <c r="D38" s="160">
        <v>0</v>
      </c>
      <c r="E38" s="160">
        <v>0</v>
      </c>
      <c r="F38" s="160">
        <v>0</v>
      </c>
      <c r="G38" s="160">
        <v>0</v>
      </c>
      <c r="H38" s="94">
        <f t="shared" si="2"/>
        <v>0</v>
      </c>
      <c r="J38" s="202"/>
      <c r="K38" s="623"/>
      <c r="L38" s="202"/>
    </row>
    <row r="39" spans="1:12" ht="15" hidden="1" customHeight="1">
      <c r="A39" s="159"/>
      <c r="B39" s="28" t="s">
        <v>103</v>
      </c>
      <c r="C39" s="39" t="s">
        <v>52</v>
      </c>
      <c r="D39" s="160">
        <v>0</v>
      </c>
      <c r="E39" s="160">
        <v>0</v>
      </c>
      <c r="F39" s="160">
        <v>0</v>
      </c>
      <c r="G39" s="160">
        <v>0</v>
      </c>
      <c r="H39" s="94">
        <f t="shared" si="2"/>
        <v>0</v>
      </c>
      <c r="J39" s="202"/>
      <c r="K39" s="623"/>
      <c r="L39" s="202"/>
    </row>
    <row r="40" spans="1:12" ht="15" hidden="1" customHeight="1">
      <c r="A40" s="159"/>
      <c r="B40" s="28" t="s">
        <v>103</v>
      </c>
      <c r="C40" s="39" t="s">
        <v>53</v>
      </c>
      <c r="D40" s="160">
        <v>0</v>
      </c>
      <c r="E40" s="160">
        <v>0</v>
      </c>
      <c r="F40" s="160">
        <v>0</v>
      </c>
      <c r="G40" s="160">
        <v>0</v>
      </c>
      <c r="H40" s="94">
        <f t="shared" si="2"/>
        <v>0</v>
      </c>
      <c r="J40" s="202"/>
      <c r="K40" s="623"/>
      <c r="L40" s="202"/>
    </row>
    <row r="41" spans="1:12" ht="15" hidden="1" customHeight="1">
      <c r="A41" s="159"/>
      <c r="B41" s="28" t="s">
        <v>103</v>
      </c>
      <c r="C41" s="39" t="s">
        <v>54</v>
      </c>
      <c r="D41" s="160">
        <v>0</v>
      </c>
      <c r="E41" s="160">
        <v>0</v>
      </c>
      <c r="F41" s="160">
        <v>0</v>
      </c>
      <c r="G41" s="160">
        <v>0</v>
      </c>
      <c r="H41" s="94">
        <f t="shared" si="2"/>
        <v>0</v>
      </c>
      <c r="J41" s="202"/>
      <c r="K41" s="623"/>
      <c r="L41" s="202"/>
    </row>
    <row r="42" spans="1:12" ht="15" hidden="1" customHeight="1">
      <c r="A42" s="159"/>
      <c r="B42" s="28" t="s">
        <v>95</v>
      </c>
      <c r="C42" s="22" t="s">
        <v>30</v>
      </c>
      <c r="D42" s="160">
        <v>0</v>
      </c>
      <c r="E42" s="160">
        <v>0</v>
      </c>
      <c r="F42" s="160">
        <v>0</v>
      </c>
      <c r="G42" s="160">
        <v>0</v>
      </c>
      <c r="H42" s="94">
        <f>G42-D42</f>
        <v>0</v>
      </c>
      <c r="J42" s="202"/>
      <c r="K42" s="623"/>
      <c r="L42" s="202"/>
    </row>
    <row r="43" spans="1:12" ht="15" hidden="1" customHeight="1">
      <c r="A43" s="159"/>
      <c r="B43" s="28" t="s">
        <v>95</v>
      </c>
      <c r="C43" s="22" t="s">
        <v>55</v>
      </c>
      <c r="D43" s="160">
        <v>0</v>
      </c>
      <c r="E43" s="160">
        <v>0</v>
      </c>
      <c r="F43" s="160">
        <v>0</v>
      </c>
      <c r="G43" s="160">
        <v>0</v>
      </c>
      <c r="H43" s="94">
        <f t="shared" ref="H43:H44" si="4">G43-D43</f>
        <v>0</v>
      </c>
      <c r="J43" s="202"/>
      <c r="K43" s="623"/>
      <c r="L43" s="202"/>
    </row>
    <row r="44" spans="1:12" ht="15" hidden="1" customHeight="1">
      <c r="A44" s="159"/>
      <c r="B44" s="28" t="s">
        <v>95</v>
      </c>
      <c r="C44" s="22" t="s">
        <v>36</v>
      </c>
      <c r="D44" s="160">
        <v>0</v>
      </c>
      <c r="E44" s="160">
        <v>0</v>
      </c>
      <c r="F44" s="160">
        <v>0</v>
      </c>
      <c r="G44" s="160">
        <v>0</v>
      </c>
      <c r="H44" s="94">
        <f t="shared" si="4"/>
        <v>0</v>
      </c>
      <c r="J44" s="202"/>
      <c r="K44" s="623"/>
      <c r="L44" s="202"/>
    </row>
    <row r="45" spans="1:12" ht="15" hidden="1" customHeight="1">
      <c r="A45" s="159"/>
      <c r="B45" s="29" t="s">
        <v>15</v>
      </c>
      <c r="C45" s="30"/>
      <c r="D45" s="816" t="s">
        <v>37</v>
      </c>
      <c r="E45" s="817"/>
      <c r="F45" s="817"/>
      <c r="G45" s="817"/>
      <c r="H45" s="818"/>
      <c r="J45" s="202"/>
      <c r="K45" s="623"/>
      <c r="L45" s="202"/>
    </row>
    <row r="46" spans="1:12" ht="15" hidden="1" customHeight="1">
      <c r="A46" s="159"/>
      <c r="B46" s="14" t="s">
        <v>290</v>
      </c>
      <c r="C46" s="37" t="s">
        <v>31</v>
      </c>
      <c r="D46" s="637">
        <v>0</v>
      </c>
      <c r="E46" s="637">
        <v>0</v>
      </c>
      <c r="F46" s="637">
        <v>0</v>
      </c>
      <c r="G46" s="160">
        <v>0</v>
      </c>
      <c r="H46" s="94">
        <f>G46-D46</f>
        <v>0</v>
      </c>
      <c r="J46" s="202"/>
      <c r="K46" s="623"/>
      <c r="L46" s="202"/>
    </row>
    <row r="47" spans="1:12" ht="15" hidden="1" customHeight="1">
      <c r="A47" s="159"/>
      <c r="B47" s="14" t="s">
        <v>291</v>
      </c>
      <c r="C47" s="37" t="s">
        <v>60</v>
      </c>
      <c r="D47" s="637">
        <v>0</v>
      </c>
      <c r="E47" s="637">
        <v>0</v>
      </c>
      <c r="F47" s="637">
        <v>0</v>
      </c>
      <c r="G47" s="160">
        <v>0</v>
      </c>
      <c r="H47" s="94">
        <f t="shared" ref="H47:H74" si="5">G47-D47</f>
        <v>0</v>
      </c>
      <c r="J47" s="202"/>
      <c r="K47" s="623"/>
      <c r="L47" s="202"/>
    </row>
    <row r="48" spans="1:12" ht="15" hidden="1" customHeight="1">
      <c r="A48" s="159"/>
      <c r="B48" s="14" t="s">
        <v>292</v>
      </c>
      <c r="C48" s="37" t="s">
        <v>64</v>
      </c>
      <c r="D48" s="637">
        <v>0</v>
      </c>
      <c r="E48" s="637">
        <v>0</v>
      </c>
      <c r="F48" s="637">
        <v>0</v>
      </c>
      <c r="G48" s="160">
        <v>0</v>
      </c>
      <c r="H48" s="94">
        <f t="shared" si="5"/>
        <v>0</v>
      </c>
      <c r="J48" s="202"/>
      <c r="K48" s="623"/>
      <c r="L48" s="202"/>
    </row>
    <row r="49" spans="1:12" ht="15" hidden="1" customHeight="1">
      <c r="A49" s="159"/>
      <c r="B49" s="14" t="s">
        <v>293</v>
      </c>
      <c r="C49" s="37" t="s">
        <v>42</v>
      </c>
      <c r="D49" s="637">
        <v>0</v>
      </c>
      <c r="E49" s="637">
        <v>0</v>
      </c>
      <c r="F49" s="637">
        <v>0</v>
      </c>
      <c r="G49" s="160">
        <v>0</v>
      </c>
      <c r="H49" s="94">
        <f t="shared" si="5"/>
        <v>0</v>
      </c>
      <c r="J49" s="202"/>
      <c r="K49" s="623"/>
      <c r="L49" s="202"/>
    </row>
    <row r="50" spans="1:12" ht="15" hidden="1" customHeight="1">
      <c r="A50" s="159"/>
      <c r="B50" s="14" t="s">
        <v>294</v>
      </c>
      <c r="C50" s="37" t="s">
        <v>43</v>
      </c>
      <c r="D50" s="637">
        <v>0</v>
      </c>
      <c r="E50" s="637">
        <v>0</v>
      </c>
      <c r="F50" s="637">
        <v>0</v>
      </c>
      <c r="G50" s="160">
        <v>0</v>
      </c>
      <c r="H50" s="94">
        <f t="shared" si="5"/>
        <v>0</v>
      </c>
      <c r="J50" s="202"/>
      <c r="K50" s="623"/>
      <c r="L50" s="202"/>
    </row>
    <row r="51" spans="1:12" ht="15" hidden="1" customHeight="1">
      <c r="A51" s="159"/>
      <c r="B51" s="14" t="s">
        <v>295</v>
      </c>
      <c r="C51" s="37" t="s">
        <v>63</v>
      </c>
      <c r="D51" s="637">
        <v>0</v>
      </c>
      <c r="E51" s="637">
        <v>0</v>
      </c>
      <c r="F51" s="637">
        <v>0</v>
      </c>
      <c r="G51" s="160">
        <v>0</v>
      </c>
      <c r="H51" s="94">
        <f t="shared" si="5"/>
        <v>0</v>
      </c>
      <c r="J51" s="202"/>
      <c r="K51" s="623"/>
      <c r="L51" s="202"/>
    </row>
    <row r="52" spans="1:12" ht="15" hidden="1" customHeight="1">
      <c r="A52" s="159"/>
      <c r="B52" s="14" t="s">
        <v>296</v>
      </c>
      <c r="C52" s="37" t="s">
        <v>39</v>
      </c>
      <c r="D52" s="637">
        <v>0</v>
      </c>
      <c r="E52" s="637">
        <v>0</v>
      </c>
      <c r="F52" s="637">
        <v>0</v>
      </c>
      <c r="G52" s="160">
        <v>0</v>
      </c>
      <c r="H52" s="94">
        <f t="shared" si="5"/>
        <v>0</v>
      </c>
      <c r="J52" s="202"/>
      <c r="K52" s="623"/>
      <c r="L52" s="202"/>
    </row>
    <row r="53" spans="1:12" ht="15" hidden="1" customHeight="1">
      <c r="A53" s="159"/>
      <c r="B53" s="14" t="s">
        <v>297</v>
      </c>
      <c r="C53" s="37" t="s">
        <v>0</v>
      </c>
      <c r="D53" s="637">
        <v>0</v>
      </c>
      <c r="E53" s="637">
        <v>0</v>
      </c>
      <c r="F53" s="637">
        <v>0</v>
      </c>
      <c r="G53" s="160">
        <v>0</v>
      </c>
      <c r="H53" s="94">
        <f t="shared" si="5"/>
        <v>0</v>
      </c>
      <c r="J53" s="202"/>
      <c r="K53" s="623"/>
      <c r="L53" s="202"/>
    </row>
    <row r="54" spans="1:12" ht="15" hidden="1" customHeight="1">
      <c r="A54" s="159"/>
      <c r="B54" s="14" t="s">
        <v>298</v>
      </c>
      <c r="C54" s="37" t="s">
        <v>65</v>
      </c>
      <c r="D54" s="637">
        <v>0</v>
      </c>
      <c r="E54" s="637">
        <v>0</v>
      </c>
      <c r="F54" s="637">
        <v>0</v>
      </c>
      <c r="G54" s="160">
        <v>0</v>
      </c>
      <c r="H54" s="94">
        <f t="shared" si="5"/>
        <v>0</v>
      </c>
      <c r="J54" s="202"/>
      <c r="K54" s="623"/>
      <c r="L54" s="202"/>
    </row>
    <row r="55" spans="1:12" ht="15" hidden="1" customHeight="1">
      <c r="A55" s="159"/>
      <c r="B55" s="14" t="s">
        <v>299</v>
      </c>
      <c r="C55" s="37" t="s">
        <v>66</v>
      </c>
      <c r="D55" s="637">
        <v>0</v>
      </c>
      <c r="E55" s="637">
        <v>0</v>
      </c>
      <c r="F55" s="637">
        <v>0</v>
      </c>
      <c r="G55" s="160">
        <v>0</v>
      </c>
      <c r="H55" s="94">
        <f t="shared" si="5"/>
        <v>0</v>
      </c>
      <c r="J55" s="202"/>
      <c r="K55" s="623"/>
      <c r="L55" s="202"/>
    </row>
    <row r="56" spans="1:12" ht="15" hidden="1" customHeight="1">
      <c r="A56" s="159"/>
      <c r="B56" s="14" t="s">
        <v>300</v>
      </c>
      <c r="C56" s="37" t="s">
        <v>61</v>
      </c>
      <c r="D56" s="637">
        <v>0</v>
      </c>
      <c r="E56" s="637">
        <v>0</v>
      </c>
      <c r="F56" s="637">
        <v>0</v>
      </c>
      <c r="G56" s="160">
        <v>0</v>
      </c>
      <c r="H56" s="94">
        <f t="shared" si="5"/>
        <v>0</v>
      </c>
      <c r="J56" s="202"/>
      <c r="K56" s="623"/>
      <c r="L56" s="202"/>
    </row>
    <row r="57" spans="1:12" ht="14.9" hidden="1" customHeight="1">
      <c r="A57" s="159"/>
      <c r="B57" s="14" t="s">
        <v>301</v>
      </c>
      <c r="C57" s="37" t="s">
        <v>67</v>
      </c>
      <c r="D57" s="637">
        <v>0</v>
      </c>
      <c r="E57" s="637">
        <v>0</v>
      </c>
      <c r="F57" s="637">
        <v>0</v>
      </c>
      <c r="G57" s="160">
        <v>0</v>
      </c>
      <c r="H57" s="94">
        <f t="shared" si="5"/>
        <v>0</v>
      </c>
      <c r="J57" s="202"/>
      <c r="K57" s="623"/>
      <c r="L57" s="202"/>
    </row>
    <row r="58" spans="1:12" ht="14.9" hidden="1" customHeight="1">
      <c r="A58" s="159"/>
      <c r="B58" s="14" t="s">
        <v>302</v>
      </c>
      <c r="C58" s="37" t="s">
        <v>68</v>
      </c>
      <c r="D58" s="637">
        <v>0</v>
      </c>
      <c r="E58" s="637">
        <v>0</v>
      </c>
      <c r="F58" s="637">
        <v>0</v>
      </c>
      <c r="G58" s="160">
        <v>0</v>
      </c>
      <c r="H58" s="94">
        <f t="shared" si="5"/>
        <v>0</v>
      </c>
      <c r="J58" s="202"/>
      <c r="K58" s="623"/>
      <c r="L58" s="202"/>
    </row>
    <row r="59" spans="1:12" ht="14.9" hidden="1" customHeight="1">
      <c r="A59" s="159"/>
      <c r="B59" s="14" t="s">
        <v>303</v>
      </c>
      <c r="C59" s="37" t="s">
        <v>32</v>
      </c>
      <c r="D59" s="637">
        <v>0</v>
      </c>
      <c r="E59" s="637">
        <v>0</v>
      </c>
      <c r="F59" s="637">
        <v>0</v>
      </c>
      <c r="G59" s="160">
        <v>0</v>
      </c>
      <c r="H59" s="94">
        <f t="shared" si="5"/>
        <v>0</v>
      </c>
      <c r="J59" s="202"/>
      <c r="K59" s="623"/>
      <c r="L59" s="202"/>
    </row>
    <row r="60" spans="1:12" ht="14.9" hidden="1" customHeight="1">
      <c r="A60" s="159"/>
      <c r="B60" s="14" t="s">
        <v>304</v>
      </c>
      <c r="C60" s="37" t="s">
        <v>69</v>
      </c>
      <c r="D60" s="637">
        <v>0</v>
      </c>
      <c r="E60" s="637">
        <v>0</v>
      </c>
      <c r="F60" s="637">
        <v>0</v>
      </c>
      <c r="G60" s="160">
        <v>0</v>
      </c>
      <c r="H60" s="94">
        <f t="shared" si="5"/>
        <v>0</v>
      </c>
      <c r="J60" s="202"/>
      <c r="K60" s="623"/>
      <c r="L60" s="202"/>
    </row>
    <row r="61" spans="1:12" ht="14.9" hidden="1" customHeight="1">
      <c r="A61" s="159"/>
      <c r="B61" s="14" t="s">
        <v>305</v>
      </c>
      <c r="C61" s="37" t="s">
        <v>44</v>
      </c>
      <c r="D61" s="637">
        <v>0</v>
      </c>
      <c r="E61" s="637">
        <v>0</v>
      </c>
      <c r="F61" s="637">
        <v>0</v>
      </c>
      <c r="G61" s="160">
        <v>0</v>
      </c>
      <c r="H61" s="94">
        <f t="shared" si="5"/>
        <v>0</v>
      </c>
      <c r="J61" s="202"/>
      <c r="K61" s="623"/>
      <c r="L61" s="202"/>
    </row>
    <row r="62" spans="1:12" ht="14.9" hidden="1" customHeight="1">
      <c r="A62" s="159"/>
      <c r="B62" s="14" t="s">
        <v>306</v>
      </c>
      <c r="C62" s="37" t="s">
        <v>40</v>
      </c>
      <c r="D62" s="637">
        <v>0</v>
      </c>
      <c r="E62" s="637">
        <v>0</v>
      </c>
      <c r="F62" s="637">
        <v>0</v>
      </c>
      <c r="G62" s="160">
        <v>0</v>
      </c>
      <c r="H62" s="94">
        <f t="shared" si="5"/>
        <v>0</v>
      </c>
      <c r="J62" s="202"/>
      <c r="K62" s="623"/>
      <c r="L62" s="202"/>
    </row>
    <row r="63" spans="1:12" ht="14.9" hidden="1" customHeight="1">
      <c r="A63" s="159"/>
      <c r="B63" s="14" t="s">
        <v>307</v>
      </c>
      <c r="C63" s="37" t="s">
        <v>70</v>
      </c>
      <c r="D63" s="637">
        <v>0</v>
      </c>
      <c r="E63" s="637">
        <v>0</v>
      </c>
      <c r="F63" s="637">
        <v>0</v>
      </c>
      <c r="G63" s="160">
        <v>0</v>
      </c>
      <c r="H63" s="94">
        <f t="shared" si="5"/>
        <v>0</v>
      </c>
      <c r="J63" s="202"/>
      <c r="K63" s="623"/>
      <c r="L63" s="202"/>
    </row>
    <row r="64" spans="1:12" ht="14.9" hidden="1" customHeight="1">
      <c r="A64" s="159"/>
      <c r="B64" s="14" t="s">
        <v>308</v>
      </c>
      <c r="C64" s="37" t="s">
        <v>33</v>
      </c>
      <c r="D64" s="637">
        <v>0</v>
      </c>
      <c r="E64" s="637">
        <v>0</v>
      </c>
      <c r="F64" s="637">
        <v>0</v>
      </c>
      <c r="G64" s="160">
        <v>0</v>
      </c>
      <c r="H64" s="94">
        <f t="shared" si="5"/>
        <v>0</v>
      </c>
      <c r="J64" s="202"/>
      <c r="K64" s="623"/>
      <c r="L64" s="202"/>
    </row>
    <row r="65" spans="1:12" ht="14.9" hidden="1" customHeight="1">
      <c r="A65" s="159"/>
      <c r="B65" s="14" t="s">
        <v>309</v>
      </c>
      <c r="C65" s="37" t="s">
        <v>3</v>
      </c>
      <c r="D65" s="637">
        <v>0</v>
      </c>
      <c r="E65" s="637">
        <v>0</v>
      </c>
      <c r="F65" s="637">
        <v>0</v>
      </c>
      <c r="G65" s="160">
        <v>0</v>
      </c>
      <c r="H65" s="94">
        <f t="shared" si="5"/>
        <v>0</v>
      </c>
      <c r="J65" s="202"/>
      <c r="K65" s="623"/>
      <c r="L65" s="202"/>
    </row>
    <row r="66" spans="1:12" ht="14.9" hidden="1" customHeight="1">
      <c r="A66" s="159"/>
      <c r="B66" s="14" t="s">
        <v>310</v>
      </c>
      <c r="C66" s="37" t="s">
        <v>4</v>
      </c>
      <c r="D66" s="637">
        <v>0</v>
      </c>
      <c r="E66" s="637">
        <v>0</v>
      </c>
      <c r="F66" s="637">
        <v>0</v>
      </c>
      <c r="G66" s="160">
        <v>0</v>
      </c>
      <c r="H66" s="94">
        <f t="shared" si="5"/>
        <v>0</v>
      </c>
      <c r="J66" s="202"/>
      <c r="K66" s="623"/>
      <c r="L66" s="202"/>
    </row>
    <row r="67" spans="1:12" ht="14.9" hidden="1" customHeight="1">
      <c r="A67" s="159"/>
      <c r="B67" s="14" t="s">
        <v>311</v>
      </c>
      <c r="C67" s="37" t="s">
        <v>5</v>
      </c>
      <c r="D67" s="637">
        <v>0</v>
      </c>
      <c r="E67" s="637">
        <v>0</v>
      </c>
      <c r="F67" s="637">
        <v>0</v>
      </c>
      <c r="G67" s="160">
        <v>0</v>
      </c>
      <c r="H67" s="94">
        <f t="shared" si="5"/>
        <v>0</v>
      </c>
      <c r="J67" s="202"/>
      <c r="K67" s="623"/>
      <c r="L67" s="202"/>
    </row>
    <row r="68" spans="1:12" ht="14.9" hidden="1" customHeight="1">
      <c r="A68" s="159"/>
      <c r="B68" s="14" t="s">
        <v>312</v>
      </c>
      <c r="C68" s="37" t="s">
        <v>41</v>
      </c>
      <c r="D68" s="637">
        <v>0</v>
      </c>
      <c r="E68" s="637">
        <v>0</v>
      </c>
      <c r="F68" s="637">
        <v>0</v>
      </c>
      <c r="G68" s="160">
        <v>0</v>
      </c>
      <c r="H68" s="94">
        <f t="shared" si="5"/>
        <v>0</v>
      </c>
      <c r="J68" s="202"/>
      <c r="K68" s="623"/>
      <c r="L68" s="202"/>
    </row>
    <row r="69" spans="1:12" ht="14.9" hidden="1" customHeight="1">
      <c r="A69" s="159"/>
      <c r="B69" s="14" t="s">
        <v>313</v>
      </c>
      <c r="C69" s="37" t="s">
        <v>38</v>
      </c>
      <c r="D69" s="637">
        <v>0</v>
      </c>
      <c r="E69" s="637">
        <v>0</v>
      </c>
      <c r="F69" s="637">
        <v>0</v>
      </c>
      <c r="G69" s="160">
        <v>0</v>
      </c>
      <c r="H69" s="94">
        <f t="shared" si="5"/>
        <v>0</v>
      </c>
      <c r="J69" s="202"/>
      <c r="K69" s="623"/>
      <c r="L69" s="202"/>
    </row>
    <row r="70" spans="1:12" ht="14.9" hidden="1" customHeight="1">
      <c r="A70" s="159"/>
      <c r="B70" s="14" t="s">
        <v>313</v>
      </c>
      <c r="C70" s="37" t="s">
        <v>75</v>
      </c>
      <c r="D70" s="637">
        <v>0</v>
      </c>
      <c r="E70" s="637">
        <v>0</v>
      </c>
      <c r="F70" s="637">
        <v>0</v>
      </c>
      <c r="G70" s="160">
        <v>0</v>
      </c>
      <c r="H70" s="94">
        <f t="shared" si="5"/>
        <v>0</v>
      </c>
      <c r="J70" s="202"/>
      <c r="K70" s="623"/>
      <c r="L70" s="202"/>
    </row>
    <row r="71" spans="1:12" ht="14.9" hidden="1" customHeight="1">
      <c r="A71" s="159"/>
      <c r="B71" s="14" t="s">
        <v>313</v>
      </c>
      <c r="C71" s="37" t="s">
        <v>34</v>
      </c>
      <c r="D71" s="637">
        <v>0</v>
      </c>
      <c r="E71" s="637">
        <v>0</v>
      </c>
      <c r="F71" s="637">
        <v>0</v>
      </c>
      <c r="G71" s="160">
        <v>0</v>
      </c>
      <c r="H71" s="94">
        <f t="shared" si="5"/>
        <v>0</v>
      </c>
      <c r="J71" s="202"/>
      <c r="K71" s="623"/>
      <c r="L71" s="202"/>
    </row>
    <row r="72" spans="1:12" hidden="1">
      <c r="A72" s="159"/>
      <c r="B72" s="109" t="s">
        <v>313</v>
      </c>
      <c r="C72" s="110" t="s">
        <v>347</v>
      </c>
      <c r="D72" s="160">
        <v>0</v>
      </c>
      <c r="E72" s="160">
        <v>0</v>
      </c>
      <c r="F72" s="160">
        <v>0</v>
      </c>
      <c r="G72" s="160">
        <v>0</v>
      </c>
      <c r="H72" s="94">
        <f t="shared" si="5"/>
        <v>0</v>
      </c>
      <c r="J72" s="202"/>
      <c r="K72" s="623"/>
      <c r="L72" s="202"/>
    </row>
    <row r="73" spans="1:12" ht="14.9" hidden="1" customHeight="1">
      <c r="A73" s="159"/>
      <c r="B73" s="14" t="s">
        <v>95</v>
      </c>
      <c r="C73" s="37" t="s">
        <v>56</v>
      </c>
      <c r="D73" s="160">
        <v>0</v>
      </c>
      <c r="E73" s="160">
        <v>0</v>
      </c>
      <c r="F73" s="160">
        <v>0</v>
      </c>
      <c r="G73" s="160">
        <v>0</v>
      </c>
      <c r="H73" s="94">
        <f t="shared" ref="H73" si="6">G73-D73</f>
        <v>0</v>
      </c>
      <c r="J73" s="202"/>
      <c r="K73" s="623"/>
      <c r="L73" s="202"/>
    </row>
    <row r="74" spans="1:12" ht="14.9" hidden="1" customHeight="1">
      <c r="A74" s="159"/>
      <c r="B74" s="31" t="s">
        <v>104</v>
      </c>
      <c r="C74" s="22" t="s">
        <v>76</v>
      </c>
      <c r="D74" s="160">
        <v>0</v>
      </c>
      <c r="E74" s="160">
        <v>0</v>
      </c>
      <c r="F74" s="160">
        <v>0</v>
      </c>
      <c r="G74" s="160">
        <v>0</v>
      </c>
      <c r="H74" s="94">
        <f t="shared" si="5"/>
        <v>0</v>
      </c>
      <c r="J74" s="202"/>
      <c r="K74" s="623"/>
      <c r="L74" s="202"/>
    </row>
    <row r="75" spans="1:12" ht="14.9" hidden="1" customHeight="1">
      <c r="A75" s="159"/>
      <c r="B75" s="29" t="s">
        <v>77</v>
      </c>
      <c r="C75" s="30"/>
      <c r="D75" s="816" t="s">
        <v>37</v>
      </c>
      <c r="E75" s="817"/>
      <c r="F75" s="817"/>
      <c r="G75" s="817"/>
      <c r="H75" s="818"/>
      <c r="J75" s="202"/>
      <c r="K75" s="623"/>
      <c r="L75" s="202"/>
    </row>
    <row r="76" spans="1:12" ht="14.9" hidden="1" customHeight="1">
      <c r="A76" s="159"/>
      <c r="B76" s="14" t="s">
        <v>95</v>
      </c>
      <c r="C76" s="38" t="s">
        <v>85</v>
      </c>
      <c r="D76" s="160">
        <v>0</v>
      </c>
      <c r="E76" s="160">
        <v>0</v>
      </c>
      <c r="F76" s="160">
        <v>0</v>
      </c>
      <c r="G76" s="160">
        <v>0</v>
      </c>
      <c r="H76" s="94">
        <f t="shared" ref="H76" si="7">G76-D76</f>
        <v>0</v>
      </c>
      <c r="J76" s="202"/>
      <c r="K76" s="623"/>
      <c r="L76" s="202"/>
    </row>
    <row r="77" spans="1:12" hidden="1">
      <c r="A77" s="159"/>
      <c r="B77" s="32" t="s">
        <v>95</v>
      </c>
      <c r="C77" s="39" t="s">
        <v>73</v>
      </c>
      <c r="D77" s="160">
        <v>0</v>
      </c>
      <c r="E77" s="160">
        <v>0</v>
      </c>
      <c r="F77" s="160">
        <v>0</v>
      </c>
      <c r="G77" s="160">
        <v>0</v>
      </c>
      <c r="H77" s="94">
        <f t="shared" ref="H77:H80" si="8">G77-D77</f>
        <v>0</v>
      </c>
      <c r="J77" s="202"/>
      <c r="K77" s="623"/>
      <c r="L77" s="202"/>
    </row>
    <row r="78" spans="1:12" hidden="1">
      <c r="A78" s="159"/>
      <c r="B78" s="32" t="s">
        <v>95</v>
      </c>
      <c r="C78" s="39" t="s">
        <v>74</v>
      </c>
      <c r="D78" s="160">
        <v>0</v>
      </c>
      <c r="E78" s="160">
        <v>0</v>
      </c>
      <c r="F78" s="160">
        <v>0</v>
      </c>
      <c r="G78" s="160">
        <v>0</v>
      </c>
      <c r="H78" s="94">
        <f t="shared" si="8"/>
        <v>0</v>
      </c>
      <c r="J78" s="202"/>
      <c r="K78" s="623"/>
      <c r="L78" s="202"/>
    </row>
    <row r="79" spans="1:12" hidden="1">
      <c r="A79" s="159"/>
      <c r="B79" s="32" t="s">
        <v>95</v>
      </c>
      <c r="C79" s="39" t="s">
        <v>123</v>
      </c>
      <c r="D79" s="160">
        <v>0</v>
      </c>
      <c r="E79" s="160">
        <v>0</v>
      </c>
      <c r="F79" s="160">
        <v>0</v>
      </c>
      <c r="G79" s="160">
        <v>0</v>
      </c>
      <c r="H79" s="94">
        <f t="shared" ref="H79" si="9">G79-D79</f>
        <v>0</v>
      </c>
      <c r="J79" s="202"/>
      <c r="K79" s="623"/>
      <c r="L79" s="202"/>
    </row>
    <row r="80" spans="1:12" hidden="1">
      <c r="A80" s="159"/>
      <c r="B80" s="32" t="s">
        <v>95</v>
      </c>
      <c r="C80" s="39" t="s">
        <v>214</v>
      </c>
      <c r="D80" s="160">
        <v>0</v>
      </c>
      <c r="E80" s="160">
        <v>0</v>
      </c>
      <c r="F80" s="160">
        <v>0</v>
      </c>
      <c r="G80" s="160">
        <v>0</v>
      </c>
      <c r="H80" s="94">
        <f t="shared" si="8"/>
        <v>0</v>
      </c>
      <c r="J80" s="202"/>
      <c r="K80" s="623"/>
      <c r="L80" s="202"/>
    </row>
    <row r="81" spans="1:12" ht="14.5" hidden="1" thickBot="1">
      <c r="A81" s="159"/>
      <c r="B81" s="25" t="s">
        <v>20</v>
      </c>
      <c r="C81" s="136"/>
      <c r="D81" s="13">
        <f>SUM(D31:D80)</f>
        <v>0</v>
      </c>
      <c r="E81" s="13">
        <f>SUM(E31:E80)</f>
        <v>0</v>
      </c>
      <c r="F81" s="13">
        <f>SUM(F31:F80)</f>
        <v>0</v>
      </c>
      <c r="G81" s="13">
        <f>SUM(G31:G80)</f>
        <v>0</v>
      </c>
      <c r="H81" s="135">
        <f>SUM(H30:H80)</f>
        <v>0</v>
      </c>
      <c r="J81" s="202"/>
      <c r="K81" s="623"/>
      <c r="L81" s="202"/>
    </row>
    <row r="82" spans="1:12" ht="9.75" hidden="1" customHeight="1" thickBot="1">
      <c r="A82" s="159"/>
      <c r="B82" s="161"/>
      <c r="C82" s="162"/>
      <c r="D82" s="163"/>
      <c r="E82" s="163"/>
      <c r="F82" s="163"/>
      <c r="G82" s="163"/>
      <c r="H82" s="163"/>
      <c r="J82" s="202"/>
      <c r="K82" s="623"/>
      <c r="L82" s="202"/>
    </row>
    <row r="83" spans="1:12" hidden="1">
      <c r="A83" s="159"/>
      <c r="B83" s="20" t="s">
        <v>26</v>
      </c>
      <c r="C83" s="101"/>
      <c r="D83" s="816" t="s">
        <v>37</v>
      </c>
      <c r="E83" s="817"/>
      <c r="F83" s="817"/>
      <c r="G83" s="817"/>
      <c r="H83" s="818"/>
      <c r="J83" s="202"/>
      <c r="K83" s="623"/>
      <c r="L83" s="202"/>
    </row>
    <row r="84" spans="1:12" hidden="1">
      <c r="A84" s="159"/>
      <c r="B84" s="14" t="s">
        <v>95</v>
      </c>
      <c r="C84" s="37" t="s">
        <v>62</v>
      </c>
      <c r="D84" s="160">
        <v>0</v>
      </c>
      <c r="E84" s="160">
        <v>0</v>
      </c>
      <c r="F84" s="160">
        <v>0</v>
      </c>
      <c r="G84" s="160">
        <v>0</v>
      </c>
      <c r="H84" s="94">
        <f t="shared" ref="H84" si="10">G84-D84</f>
        <v>0</v>
      </c>
      <c r="J84" s="202"/>
      <c r="K84" s="623"/>
      <c r="L84" s="202"/>
    </row>
    <row r="85" spans="1:12" hidden="1">
      <c r="A85" s="159"/>
      <c r="B85" s="14" t="s">
        <v>95</v>
      </c>
      <c r="C85" s="37" t="s">
        <v>57</v>
      </c>
      <c r="D85" s="160">
        <v>0</v>
      </c>
      <c r="E85" s="160">
        <v>0</v>
      </c>
      <c r="F85" s="160">
        <v>0</v>
      </c>
      <c r="G85" s="160">
        <v>0</v>
      </c>
      <c r="H85" s="94">
        <f t="shared" ref="H85:H90" si="11">G85-D85</f>
        <v>0</v>
      </c>
      <c r="J85" s="202"/>
      <c r="K85" s="623"/>
      <c r="L85" s="202"/>
    </row>
    <row r="86" spans="1:12" hidden="1">
      <c r="A86" s="159"/>
      <c r="B86" s="14" t="s">
        <v>95</v>
      </c>
      <c r="C86" s="37" t="s">
        <v>35</v>
      </c>
      <c r="D86" s="160">
        <v>0</v>
      </c>
      <c r="E86" s="160">
        <v>0</v>
      </c>
      <c r="F86" s="160">
        <v>0</v>
      </c>
      <c r="G86" s="160">
        <v>0</v>
      </c>
      <c r="H86" s="94">
        <f t="shared" si="11"/>
        <v>0</v>
      </c>
      <c r="J86" s="202"/>
      <c r="K86" s="623"/>
      <c r="L86" s="202"/>
    </row>
    <row r="87" spans="1:12" hidden="1">
      <c r="A87" s="159"/>
      <c r="B87" s="14" t="s">
        <v>95</v>
      </c>
      <c r="C87" s="22" t="s">
        <v>9</v>
      </c>
      <c r="D87" s="160">
        <v>0</v>
      </c>
      <c r="E87" s="160">
        <v>0</v>
      </c>
      <c r="F87" s="160">
        <v>0</v>
      </c>
      <c r="G87" s="160">
        <v>0</v>
      </c>
      <c r="H87" s="94">
        <f t="shared" si="11"/>
        <v>0</v>
      </c>
      <c r="J87" s="202"/>
      <c r="K87" s="623"/>
      <c r="L87" s="202"/>
    </row>
    <row r="88" spans="1:12" hidden="1">
      <c r="A88" s="159"/>
      <c r="B88" s="14" t="s">
        <v>95</v>
      </c>
      <c r="C88" s="22" t="s">
        <v>10</v>
      </c>
      <c r="D88" s="160">
        <v>0</v>
      </c>
      <c r="E88" s="160">
        <v>0</v>
      </c>
      <c r="F88" s="160">
        <v>0</v>
      </c>
      <c r="G88" s="160">
        <v>0</v>
      </c>
      <c r="H88" s="94">
        <f t="shared" si="11"/>
        <v>0</v>
      </c>
      <c r="J88" s="202"/>
      <c r="K88" s="623"/>
      <c r="L88" s="202"/>
    </row>
    <row r="89" spans="1:12" hidden="1">
      <c r="A89" s="159"/>
      <c r="B89" s="14" t="s">
        <v>95</v>
      </c>
      <c r="C89" s="22" t="s">
        <v>11</v>
      </c>
      <c r="D89" s="160">
        <v>0</v>
      </c>
      <c r="E89" s="160">
        <v>0</v>
      </c>
      <c r="F89" s="160">
        <v>0</v>
      </c>
      <c r="G89" s="160">
        <v>0</v>
      </c>
      <c r="H89" s="94">
        <f t="shared" si="11"/>
        <v>0</v>
      </c>
      <c r="J89" s="202"/>
      <c r="K89" s="623"/>
      <c r="L89" s="202"/>
    </row>
    <row r="90" spans="1:12" ht="14.5" hidden="1" thickBot="1">
      <c r="A90" s="159"/>
      <c r="B90" s="34" t="s">
        <v>95</v>
      </c>
      <c r="C90" s="33" t="s">
        <v>12</v>
      </c>
      <c r="D90" s="165">
        <v>0</v>
      </c>
      <c r="E90" s="165">
        <v>0</v>
      </c>
      <c r="F90" s="165">
        <v>0</v>
      </c>
      <c r="G90" s="160">
        <v>0</v>
      </c>
      <c r="H90" s="94">
        <f t="shared" si="11"/>
        <v>0</v>
      </c>
      <c r="J90" s="202"/>
      <c r="K90" s="623"/>
      <c r="L90" s="202"/>
    </row>
    <row r="91" spans="1:12" ht="14.5" hidden="1" thickBot="1">
      <c r="A91" s="159"/>
      <c r="B91" s="25" t="s">
        <v>21</v>
      </c>
      <c r="C91" s="136"/>
      <c r="D91" s="13">
        <f>SUM(D84:D90)</f>
        <v>0</v>
      </c>
      <c r="E91" s="13">
        <f>SUM(E84:E90)</f>
        <v>0</v>
      </c>
      <c r="F91" s="13">
        <f>SUM(F84:F90)</f>
        <v>0</v>
      </c>
      <c r="G91" s="13">
        <f>SUM(G84:G90)</f>
        <v>0</v>
      </c>
      <c r="H91" s="135">
        <f>SUM(H84:H90)</f>
        <v>0</v>
      </c>
      <c r="J91" s="202"/>
      <c r="K91" s="623"/>
      <c r="L91" s="202"/>
    </row>
    <row r="92" spans="1:12" ht="8.25" hidden="1" customHeight="1" thickBot="1">
      <c r="A92" s="159"/>
      <c r="B92" s="161"/>
      <c r="C92" s="162"/>
      <c r="D92" s="163"/>
      <c r="E92" s="163"/>
      <c r="F92" s="163"/>
      <c r="G92" s="163"/>
      <c r="H92" s="163"/>
      <c r="J92" s="202"/>
      <c r="K92" s="623"/>
      <c r="L92" s="202"/>
    </row>
    <row r="93" spans="1:12" hidden="1">
      <c r="A93" s="159"/>
      <c r="B93" s="26" t="s">
        <v>27</v>
      </c>
      <c r="C93" s="101"/>
      <c r="D93" s="816" t="s">
        <v>37</v>
      </c>
      <c r="E93" s="817"/>
      <c r="F93" s="817"/>
      <c r="G93" s="817"/>
      <c r="H93" s="818"/>
      <c r="J93" s="202"/>
      <c r="K93" s="202"/>
      <c r="L93" s="202"/>
    </row>
    <row r="94" spans="1:12" hidden="1">
      <c r="A94" s="159"/>
      <c r="B94" s="14" t="s">
        <v>95</v>
      </c>
      <c r="C94" s="22" t="s">
        <v>13</v>
      </c>
      <c r="D94" s="160">
        <v>0</v>
      </c>
      <c r="E94" s="160">
        <v>0</v>
      </c>
      <c r="F94" s="160">
        <v>0</v>
      </c>
      <c r="G94" s="160">
        <v>0</v>
      </c>
      <c r="H94" s="94">
        <f t="shared" ref="H94" si="12">G94-D94</f>
        <v>0</v>
      </c>
      <c r="J94" s="202"/>
      <c r="K94" s="202"/>
      <c r="L94" s="202"/>
    </row>
    <row r="95" spans="1:12" hidden="1">
      <c r="A95" s="159"/>
      <c r="B95" s="14" t="s">
        <v>95</v>
      </c>
      <c r="C95" s="22" t="s">
        <v>19</v>
      </c>
      <c r="D95" s="160">
        <v>0</v>
      </c>
      <c r="E95" s="160">
        <v>0</v>
      </c>
      <c r="F95" s="160">
        <v>0</v>
      </c>
      <c r="G95" s="160">
        <v>0</v>
      </c>
      <c r="H95" s="94">
        <f t="shared" ref="H95:H96" si="13">G95-D95</f>
        <v>0</v>
      </c>
      <c r="J95" s="202"/>
      <c r="K95" s="202"/>
      <c r="L95" s="202"/>
    </row>
    <row r="96" spans="1:12" ht="14.5" hidden="1" thickBot="1">
      <c r="A96" s="159"/>
      <c r="B96" s="34" t="s">
        <v>95</v>
      </c>
      <c r="C96" s="33" t="s">
        <v>14</v>
      </c>
      <c r="D96" s="165">
        <v>0</v>
      </c>
      <c r="E96" s="165">
        <v>0</v>
      </c>
      <c r="F96" s="165">
        <v>0</v>
      </c>
      <c r="G96" s="165">
        <v>0</v>
      </c>
      <c r="H96" s="94">
        <f t="shared" si="13"/>
        <v>0</v>
      </c>
      <c r="J96" s="202"/>
      <c r="K96" s="202"/>
      <c r="L96" s="202"/>
    </row>
    <row r="97" spans="1:12" ht="14.5" hidden="1" thickBot="1">
      <c r="A97" s="159"/>
      <c r="B97" s="25" t="s">
        <v>22</v>
      </c>
      <c r="C97" s="136"/>
      <c r="D97" s="13">
        <f>SUM(D94:D96)</f>
        <v>0</v>
      </c>
      <c r="E97" s="13">
        <f>SUM(E94:E96)</f>
        <v>0</v>
      </c>
      <c r="F97" s="13">
        <f>SUM(F94:F96)</f>
        <v>0</v>
      </c>
      <c r="G97" s="13">
        <f>SUM(G94:G96)</f>
        <v>0</v>
      </c>
      <c r="H97" s="135">
        <f>SUM(H94:H96)</f>
        <v>0</v>
      </c>
      <c r="J97" s="202"/>
      <c r="K97" s="202"/>
      <c r="L97" s="202"/>
    </row>
    <row r="98" spans="1:12" ht="8.25" hidden="1" customHeight="1" thickBot="1">
      <c r="A98" s="159"/>
      <c r="B98" s="161"/>
      <c r="C98" s="162"/>
      <c r="D98" s="163"/>
      <c r="E98" s="163"/>
      <c r="F98" s="163"/>
      <c r="G98" s="163"/>
      <c r="H98" s="163"/>
      <c r="J98" s="202"/>
      <c r="K98" s="202"/>
      <c r="L98" s="202"/>
    </row>
    <row r="99" spans="1:12" ht="16.5" hidden="1" customHeight="1">
      <c r="A99" s="159"/>
      <c r="B99" s="107" t="s">
        <v>105</v>
      </c>
      <c r="C99" s="102" t="s">
        <v>59</v>
      </c>
      <c r="D99" s="166">
        <v>0</v>
      </c>
      <c r="E99" s="166">
        <v>0</v>
      </c>
      <c r="F99" s="166">
        <v>0</v>
      </c>
      <c r="G99" s="166">
        <v>0</v>
      </c>
      <c r="H99" s="103">
        <f>G99-D99</f>
        <v>0</v>
      </c>
      <c r="J99" s="202"/>
      <c r="K99" s="202"/>
      <c r="L99" s="202"/>
    </row>
    <row r="100" spans="1:12" ht="16.5" hidden="1" customHeight="1">
      <c r="A100" s="159"/>
      <c r="B100" s="108" t="s">
        <v>314</v>
      </c>
      <c r="C100" s="85" t="s">
        <v>315</v>
      </c>
      <c r="D100" s="166">
        <v>0</v>
      </c>
      <c r="E100" s="166">
        <v>0</v>
      </c>
      <c r="F100" s="166">
        <v>0</v>
      </c>
      <c r="G100" s="166">
        <v>0</v>
      </c>
      <c r="H100" s="94">
        <f>G100-D100</f>
        <v>0</v>
      </c>
      <c r="I100" s="167"/>
      <c r="J100" s="202"/>
      <c r="K100" s="202"/>
      <c r="L100" s="202"/>
    </row>
    <row r="101" spans="1:12" ht="14.5" hidden="1" thickBot="1">
      <c r="A101" s="159"/>
      <c r="B101" s="132" t="s">
        <v>23</v>
      </c>
      <c r="C101" s="168"/>
      <c r="D101" s="133">
        <f>D99+D100+D97+D91+D81+D27</f>
        <v>0</v>
      </c>
      <c r="E101" s="133">
        <f>E100+E99+E97+E91+E81+E27</f>
        <v>0</v>
      </c>
      <c r="F101" s="133">
        <f>F100+F99+F97+F91+F81+F27</f>
        <v>0</v>
      </c>
      <c r="G101" s="133">
        <f>G99+G97+G91+G81+G27+G100</f>
        <v>0</v>
      </c>
      <c r="H101" s="134">
        <f>H100+H99+H97+H91+H81+H27</f>
        <v>0</v>
      </c>
      <c r="I101" s="169"/>
      <c r="J101" s="202"/>
      <c r="K101" s="202"/>
      <c r="L101" s="202"/>
    </row>
    <row r="102" spans="1:12" hidden="1">
      <c r="A102" s="159"/>
      <c r="B102" s="170"/>
      <c r="C102" s="171"/>
      <c r="D102" s="172"/>
      <c r="E102" s="172"/>
      <c r="F102" s="172"/>
      <c r="G102" s="172"/>
      <c r="H102" s="172"/>
      <c r="I102" s="169"/>
      <c r="J102" s="202"/>
      <c r="K102" s="202"/>
      <c r="L102" s="202"/>
    </row>
    <row r="103" spans="1:12" ht="14.5" hidden="1" thickBot="1">
      <c r="A103" s="159"/>
      <c r="B103" s="145" t="s">
        <v>96</v>
      </c>
      <c r="C103" s="146"/>
      <c r="D103" s="146"/>
      <c r="E103" s="146"/>
      <c r="F103" s="146"/>
      <c r="G103" s="146"/>
      <c r="H103" s="173"/>
      <c r="I103" s="169"/>
      <c r="J103" s="202"/>
      <c r="K103" s="202"/>
      <c r="L103" s="202"/>
    </row>
    <row r="104" spans="1:12" hidden="1">
      <c r="A104" s="159"/>
      <c r="B104" s="2" t="s">
        <v>97</v>
      </c>
      <c r="C104" s="3" t="s">
        <v>98</v>
      </c>
      <c r="D104" s="174">
        <v>0</v>
      </c>
      <c r="E104" s="174">
        <v>0</v>
      </c>
      <c r="F104" s="174">
        <v>0</v>
      </c>
      <c r="G104" s="175">
        <v>0</v>
      </c>
      <c r="H104" s="105">
        <f>G104-D104</f>
        <v>0</v>
      </c>
      <c r="I104" s="169"/>
      <c r="J104" s="202"/>
      <c r="K104" s="202"/>
      <c r="L104" s="202"/>
    </row>
    <row r="105" spans="1:12" hidden="1">
      <c r="A105" s="159"/>
      <c r="B105" s="4" t="s">
        <v>97</v>
      </c>
      <c r="C105" s="5" t="s">
        <v>99</v>
      </c>
      <c r="D105" s="174">
        <v>0</v>
      </c>
      <c r="E105" s="174">
        <v>0</v>
      </c>
      <c r="F105" s="174">
        <v>0</v>
      </c>
      <c r="G105" s="174">
        <v>0</v>
      </c>
      <c r="H105" s="106">
        <f>G105-D105</f>
        <v>0</v>
      </c>
      <c r="I105" s="169"/>
      <c r="J105" s="202"/>
      <c r="K105" s="202"/>
      <c r="L105" s="202"/>
    </row>
    <row r="106" spans="1:12" ht="14.5" hidden="1" thickBot="1">
      <c r="A106" s="159"/>
      <c r="B106" s="6" t="s">
        <v>97</v>
      </c>
      <c r="C106" s="7" t="s">
        <v>100</v>
      </c>
      <c r="D106" s="95">
        <f>H7</f>
        <v>0</v>
      </c>
      <c r="E106" s="95">
        <v>0</v>
      </c>
      <c r="F106" s="95">
        <v>0</v>
      </c>
      <c r="G106" s="104">
        <f>D137</f>
        <v>0</v>
      </c>
      <c r="H106" s="96">
        <f>G106-D106</f>
        <v>0</v>
      </c>
      <c r="I106" s="169"/>
      <c r="J106" s="202"/>
      <c r="K106" s="202"/>
      <c r="L106" s="202"/>
    </row>
    <row r="107" spans="1:12" ht="14.5" hidden="1" thickBot="1">
      <c r="A107" s="159"/>
      <c r="B107" s="141" t="s">
        <v>101</v>
      </c>
      <c r="C107" s="142"/>
      <c r="D107" s="143">
        <f>SUM(D104:D106)</f>
        <v>0</v>
      </c>
      <c r="E107" s="143">
        <f>SUM(E104:E106)</f>
        <v>0</v>
      </c>
      <c r="F107" s="143">
        <f>SUM(F104:F106)</f>
        <v>0</v>
      </c>
      <c r="G107" s="143">
        <f>SUM(G104:G106)</f>
        <v>0</v>
      </c>
      <c r="H107" s="144">
        <f>SUM(H104:H106)</f>
        <v>0</v>
      </c>
      <c r="I107" s="169"/>
      <c r="J107" s="202"/>
      <c r="K107" s="202"/>
      <c r="L107" s="202"/>
    </row>
    <row r="108" spans="1:12" s="167" customFormat="1" ht="16.5" hidden="1" customHeight="1" thickBot="1">
      <c r="B108" s="176"/>
      <c r="C108" s="176"/>
      <c r="D108" s="177"/>
      <c r="E108" s="178"/>
      <c r="F108" s="178"/>
      <c r="G108" s="178"/>
      <c r="H108" s="179"/>
      <c r="J108" s="667"/>
      <c r="K108" s="202"/>
      <c r="L108" s="202"/>
    </row>
    <row r="109" spans="1:12" s="167" customFormat="1" ht="16.5" hidden="1" customHeight="1" thickBot="1">
      <c r="B109" s="180" t="s">
        <v>102</v>
      </c>
      <c r="C109" s="181"/>
      <c r="D109" s="129">
        <f>D107+D101</f>
        <v>0</v>
      </c>
      <c r="E109" s="130">
        <f>E107+E101</f>
        <v>0</v>
      </c>
      <c r="F109" s="130">
        <f>F107+F101</f>
        <v>0</v>
      </c>
      <c r="G109" s="130">
        <f>G107+G101</f>
        <v>0</v>
      </c>
      <c r="H109" s="131">
        <f>G109-D109</f>
        <v>0</v>
      </c>
      <c r="J109" s="667"/>
      <c r="K109" s="202"/>
      <c r="L109" s="202"/>
    </row>
    <row r="110" spans="1:12" s="167" customFormat="1" ht="16.5" hidden="1" customHeight="1">
      <c r="B110" s="182"/>
      <c r="C110" s="182"/>
      <c r="D110" s="12"/>
      <c r="E110" s="15"/>
      <c r="F110" s="15"/>
      <c r="G110" s="15"/>
      <c r="H110" s="183"/>
      <c r="J110" s="667"/>
      <c r="K110" s="202"/>
      <c r="L110" s="202"/>
    </row>
    <row r="111" spans="1:12" s="167" customFormat="1" ht="16.5" hidden="1" customHeight="1" thickBot="1">
      <c r="B111" s="184"/>
      <c r="C111" s="184"/>
      <c r="D111" s="185"/>
      <c r="E111" s="16"/>
      <c r="F111" s="16"/>
      <c r="G111" s="16"/>
      <c r="J111" s="667"/>
      <c r="K111" s="202"/>
      <c r="L111" s="202"/>
    </row>
    <row r="112" spans="1:12" s="167" customFormat="1" ht="14.5" hidden="1" thickBot="1">
      <c r="B112" s="117" t="s">
        <v>45</v>
      </c>
      <c r="C112" s="118"/>
      <c r="D112" s="118"/>
      <c r="E112" s="118"/>
      <c r="F112" s="118"/>
      <c r="G112" s="118"/>
      <c r="H112" s="119"/>
      <c r="J112" s="667"/>
      <c r="K112" s="202"/>
      <c r="L112" s="202"/>
    </row>
    <row r="113" spans="2:12" s="167" customFormat="1" ht="30.75" hidden="1" customHeight="1" thickBot="1">
      <c r="B113" s="120" t="s">
        <v>348</v>
      </c>
      <c r="C113" s="121" t="s">
        <v>6</v>
      </c>
      <c r="D113" s="122" t="s">
        <v>7</v>
      </c>
      <c r="E113" s="123" t="s">
        <v>349</v>
      </c>
      <c r="F113" s="123" t="s">
        <v>350</v>
      </c>
      <c r="G113" s="121" t="s">
        <v>351</v>
      </c>
      <c r="H113" s="124" t="s">
        <v>352</v>
      </c>
      <c r="J113" s="667"/>
      <c r="K113" s="202"/>
      <c r="L113" s="202"/>
    </row>
    <row r="114" spans="2:12" hidden="1">
      <c r="B114" s="86"/>
      <c r="C114" s="186"/>
      <c r="D114" s="187"/>
      <c r="E114" s="187"/>
      <c r="F114" s="187"/>
      <c r="G114" s="187"/>
      <c r="H114" s="188"/>
      <c r="J114" s="667"/>
      <c r="K114" s="202"/>
      <c r="L114" s="202"/>
    </row>
    <row r="115" spans="2:12" hidden="1">
      <c r="B115" s="86"/>
      <c r="C115" s="186"/>
      <c r="D115" s="187"/>
      <c r="E115" s="187"/>
      <c r="F115" s="187"/>
      <c r="G115" s="187"/>
      <c r="H115" s="188"/>
      <c r="J115" s="667"/>
      <c r="K115" s="202"/>
      <c r="L115" s="202"/>
    </row>
    <row r="116" spans="2:12" hidden="1">
      <c r="B116" s="86"/>
      <c r="C116" s="186"/>
      <c r="D116" s="187"/>
      <c r="E116" s="187"/>
      <c r="F116" s="187"/>
      <c r="G116" s="187"/>
      <c r="H116" s="188"/>
      <c r="J116" s="667"/>
      <c r="K116" s="202"/>
      <c r="L116" s="202"/>
    </row>
    <row r="117" spans="2:12" hidden="1">
      <c r="B117" s="86"/>
      <c r="C117" s="196"/>
      <c r="D117" s="187"/>
      <c r="E117" s="187"/>
      <c r="F117" s="187"/>
      <c r="G117" s="187"/>
      <c r="H117" s="188"/>
      <c r="J117" s="667"/>
      <c r="K117" s="202"/>
      <c r="L117" s="202"/>
    </row>
    <row r="118" spans="2:12" hidden="1">
      <c r="B118" s="86"/>
      <c r="C118" s="186"/>
      <c r="D118" s="187"/>
      <c r="E118" s="187"/>
      <c r="F118" s="187"/>
      <c r="G118" s="187"/>
      <c r="H118" s="188"/>
      <c r="J118" s="667"/>
      <c r="K118" s="202"/>
      <c r="L118" s="202"/>
    </row>
    <row r="119" spans="2:12" hidden="1">
      <c r="B119" s="86"/>
      <c r="C119" s="196"/>
      <c r="D119" s="187"/>
      <c r="E119" s="187"/>
      <c r="F119" s="187"/>
      <c r="G119" s="187"/>
      <c r="H119" s="188"/>
      <c r="J119" s="667"/>
      <c r="K119" s="202"/>
      <c r="L119" s="202"/>
    </row>
    <row r="120" spans="2:12" hidden="1">
      <c r="B120" s="86"/>
      <c r="C120" s="186"/>
      <c r="D120" s="187"/>
      <c r="E120" s="187"/>
      <c r="F120" s="187"/>
      <c r="G120" s="187"/>
      <c r="H120" s="188"/>
      <c r="J120" s="667"/>
      <c r="K120" s="202"/>
      <c r="L120" s="202"/>
    </row>
    <row r="121" spans="2:12" hidden="1">
      <c r="B121" s="86"/>
      <c r="C121" s="196"/>
      <c r="D121" s="187"/>
      <c r="E121" s="187"/>
      <c r="F121" s="187"/>
      <c r="G121" s="187"/>
      <c r="H121" s="188"/>
      <c r="J121" s="667"/>
      <c r="K121" s="202"/>
      <c r="L121" s="202"/>
    </row>
    <row r="122" spans="2:12" hidden="1">
      <c r="B122" s="86"/>
      <c r="C122" s="186"/>
      <c r="D122" s="187"/>
      <c r="E122" s="187"/>
      <c r="F122" s="187"/>
      <c r="G122" s="187"/>
      <c r="H122" s="188"/>
      <c r="J122" s="667"/>
      <c r="K122" s="202"/>
      <c r="L122" s="202"/>
    </row>
    <row r="123" spans="2:12" hidden="1">
      <c r="B123" s="86"/>
      <c r="C123" s="186"/>
      <c r="D123" s="187"/>
      <c r="E123" s="187"/>
      <c r="F123" s="187"/>
      <c r="G123" s="187"/>
      <c r="H123" s="188"/>
      <c r="J123" s="667"/>
      <c r="K123" s="202"/>
      <c r="L123" s="202"/>
    </row>
    <row r="124" spans="2:12" hidden="1">
      <c r="B124" s="86"/>
      <c r="C124" s="186"/>
      <c r="D124" s="187"/>
      <c r="E124" s="187"/>
      <c r="F124" s="187"/>
      <c r="G124" s="187"/>
      <c r="H124" s="188"/>
      <c r="J124" s="667"/>
      <c r="K124" s="202"/>
      <c r="L124" s="202"/>
    </row>
    <row r="125" spans="2:12" hidden="1">
      <c r="B125" s="86"/>
      <c r="C125" s="186"/>
      <c r="D125" s="187"/>
      <c r="E125" s="187"/>
      <c r="F125" s="187"/>
      <c r="G125" s="187"/>
      <c r="H125" s="188"/>
      <c r="J125" s="667"/>
      <c r="K125" s="202"/>
      <c r="L125" s="202"/>
    </row>
    <row r="126" spans="2:12" hidden="1">
      <c r="B126" s="86"/>
      <c r="C126" s="186"/>
      <c r="D126" s="187"/>
      <c r="E126" s="187"/>
      <c r="F126" s="187"/>
      <c r="G126" s="187"/>
      <c r="H126" s="188"/>
      <c r="J126" s="667"/>
      <c r="K126" s="202"/>
      <c r="L126" s="202"/>
    </row>
    <row r="127" spans="2:12" hidden="1">
      <c r="B127" s="86"/>
      <c r="C127" s="186"/>
      <c r="D127" s="187"/>
      <c r="E127" s="187"/>
      <c r="F127" s="187"/>
      <c r="G127" s="187"/>
      <c r="H127" s="188"/>
      <c r="J127" s="667"/>
      <c r="K127" s="202"/>
      <c r="L127" s="202"/>
    </row>
    <row r="128" spans="2:12" hidden="1">
      <c r="B128" s="86"/>
      <c r="C128" s="186"/>
      <c r="D128" s="187"/>
      <c r="E128" s="187"/>
      <c r="F128" s="187"/>
      <c r="G128" s="187"/>
      <c r="H128" s="188"/>
      <c r="J128" s="202"/>
      <c r="K128" s="202"/>
      <c r="L128" s="202"/>
    </row>
    <row r="129" spans="2:12" hidden="1">
      <c r="B129" s="86"/>
      <c r="C129" s="186"/>
      <c r="D129" s="187"/>
      <c r="E129" s="187"/>
      <c r="F129" s="187"/>
      <c r="G129" s="187"/>
      <c r="H129" s="188"/>
      <c r="J129" s="202"/>
      <c r="K129" s="202"/>
      <c r="L129" s="202"/>
    </row>
    <row r="130" spans="2:12" hidden="1">
      <c r="B130" s="86"/>
      <c r="C130" s="186"/>
      <c r="D130" s="187"/>
      <c r="E130" s="187"/>
      <c r="F130" s="187"/>
      <c r="G130" s="187"/>
      <c r="H130" s="188"/>
      <c r="J130" s="202"/>
      <c r="K130" s="202"/>
      <c r="L130" s="202"/>
    </row>
    <row r="131" spans="2:12" hidden="1">
      <c r="B131" s="86"/>
      <c r="C131" s="186"/>
      <c r="D131" s="187"/>
      <c r="E131" s="187"/>
      <c r="F131" s="187"/>
      <c r="G131" s="187"/>
      <c r="H131" s="188"/>
      <c r="J131" s="202"/>
      <c r="K131" s="202"/>
      <c r="L131" s="202"/>
    </row>
    <row r="132" spans="2:12" hidden="1">
      <c r="B132" s="86"/>
      <c r="C132" s="186"/>
      <c r="D132" s="187"/>
      <c r="E132" s="187"/>
      <c r="F132" s="187"/>
      <c r="G132" s="187"/>
      <c r="H132" s="188"/>
      <c r="J132" s="202"/>
      <c r="K132" s="202"/>
      <c r="L132" s="202"/>
    </row>
    <row r="133" spans="2:12" hidden="1">
      <c r="B133" s="86" t="s">
        <v>316</v>
      </c>
      <c r="C133" s="186"/>
      <c r="D133" s="187"/>
      <c r="E133" s="187"/>
      <c r="F133" s="187"/>
      <c r="G133" s="189"/>
      <c r="H133" s="190"/>
      <c r="J133" s="202"/>
      <c r="K133" s="202"/>
      <c r="L133" s="202"/>
    </row>
    <row r="134" spans="2:12" hidden="1">
      <c r="B134" s="86"/>
      <c r="C134" s="93" t="s">
        <v>122</v>
      </c>
      <c r="D134" s="187"/>
      <c r="E134" s="638"/>
      <c r="F134" s="187"/>
      <c r="G134" s="189"/>
      <c r="H134" s="190"/>
      <c r="J134" s="202"/>
      <c r="K134" s="202"/>
      <c r="L134" s="202"/>
    </row>
    <row r="135" spans="2:12" ht="14.5" hidden="1" thickBot="1">
      <c r="B135" s="125"/>
      <c r="C135" s="126"/>
      <c r="D135" s="639"/>
      <c r="E135" s="639"/>
      <c r="F135" s="639"/>
      <c r="G135" s="127"/>
      <c r="H135" s="128"/>
      <c r="J135" s="202"/>
      <c r="K135" s="202"/>
      <c r="L135" s="202"/>
    </row>
    <row r="136" spans="2:12" ht="14.5" hidden="1" thickBot="1">
      <c r="B136" s="87"/>
      <c r="C136" s="87"/>
      <c r="D136" s="640"/>
      <c r="E136" s="640"/>
      <c r="F136" s="640"/>
      <c r="G136" s="88"/>
      <c r="J136" s="202"/>
      <c r="K136" s="202"/>
      <c r="L136" s="202"/>
    </row>
    <row r="137" spans="2:12" ht="14.5" hidden="1" thickBot="1">
      <c r="B137" s="89"/>
      <c r="C137" s="90" t="s">
        <v>8</v>
      </c>
      <c r="D137" s="641">
        <f>SUMIFS(D114:D134,E114:E134,"",F114:F134,"")</f>
        <v>0</v>
      </c>
      <c r="E137" s="641">
        <f>SUM(E114:E134)</f>
        <v>0</v>
      </c>
      <c r="F137" s="642">
        <f>SUM(F114:F135)</f>
        <v>0</v>
      </c>
      <c r="J137" s="202"/>
      <c r="K137" s="202"/>
      <c r="L137" s="202"/>
    </row>
    <row r="138" spans="2:12" hidden="1">
      <c r="J138" s="202"/>
      <c r="K138" s="202"/>
      <c r="L138" s="202"/>
    </row>
    <row r="139" spans="2:12" ht="30" hidden="1" customHeight="1" thickBot="1">
      <c r="B139" s="115" t="s">
        <v>106</v>
      </c>
      <c r="C139" s="116"/>
      <c r="D139" s="643"/>
      <c r="E139" s="644"/>
      <c r="J139" s="202"/>
      <c r="K139" s="202"/>
      <c r="L139" s="202"/>
    </row>
    <row r="140" spans="2:12" ht="26.5" hidden="1" thickBot="1">
      <c r="B140" s="120" t="s">
        <v>107</v>
      </c>
      <c r="C140" s="121" t="s">
        <v>108</v>
      </c>
      <c r="D140" s="645" t="s">
        <v>109</v>
      </c>
      <c r="E140" s="646" t="s">
        <v>110</v>
      </c>
      <c r="J140" s="202"/>
      <c r="K140" s="202"/>
      <c r="L140" s="202"/>
    </row>
    <row r="141" spans="2:12" hidden="1">
      <c r="B141" s="8" t="s">
        <v>111</v>
      </c>
      <c r="C141" s="9">
        <f t="shared" ref="C141:C151" si="14">SUMIF(G$114:G$135,B141,F$114:F$135)+SUMIF(G$114:G$135,B141,E$114:E$135)</f>
        <v>0</v>
      </c>
      <c r="D141" s="647">
        <f t="shared" ref="D141:D151" si="15">IFERROR(C141/SUM(E$137:F$137), 0)</f>
        <v>0</v>
      </c>
      <c r="E141" s="648">
        <f>IFERROR(C141/G109, 0)</f>
        <v>0</v>
      </c>
      <c r="J141" s="202"/>
      <c r="K141" s="202"/>
      <c r="L141" s="202"/>
    </row>
    <row r="142" spans="2:12" hidden="1">
      <c r="B142" s="10" t="s">
        <v>112</v>
      </c>
      <c r="C142" s="11">
        <f t="shared" si="14"/>
        <v>0</v>
      </c>
      <c r="D142" s="649">
        <f t="shared" si="15"/>
        <v>0</v>
      </c>
      <c r="E142" s="650">
        <f>IFERROR(C142/G109, 0)</f>
        <v>0</v>
      </c>
      <c r="J142" s="202"/>
      <c r="K142" s="202"/>
      <c r="L142" s="202"/>
    </row>
    <row r="143" spans="2:12" hidden="1">
      <c r="B143" s="10" t="s">
        <v>113</v>
      </c>
      <c r="C143" s="11">
        <f t="shared" si="14"/>
        <v>0</v>
      </c>
      <c r="D143" s="649">
        <f t="shared" si="15"/>
        <v>0</v>
      </c>
      <c r="E143" s="650">
        <f>IFERROR(C143/G109, 0)</f>
        <v>0</v>
      </c>
      <c r="J143" s="202"/>
      <c r="K143" s="202"/>
      <c r="L143" s="202"/>
    </row>
    <row r="144" spans="2:12" hidden="1">
      <c r="B144" s="10" t="s">
        <v>114</v>
      </c>
      <c r="C144" s="11">
        <f t="shared" si="14"/>
        <v>0</v>
      </c>
      <c r="D144" s="649">
        <f t="shared" si="15"/>
        <v>0</v>
      </c>
      <c r="E144" s="650">
        <f>IFERROR(C144/G109, 0)</f>
        <v>0</v>
      </c>
      <c r="J144" s="202"/>
      <c r="K144" s="202"/>
      <c r="L144" s="202"/>
    </row>
    <row r="145" spans="2:12" hidden="1">
      <c r="B145" s="10" t="s">
        <v>115</v>
      </c>
      <c r="C145" s="11">
        <f t="shared" si="14"/>
        <v>0</v>
      </c>
      <c r="D145" s="649">
        <f t="shared" si="15"/>
        <v>0</v>
      </c>
      <c r="E145" s="650">
        <f>IFERROR(C145/G109, 0)</f>
        <v>0</v>
      </c>
      <c r="J145" s="202"/>
      <c r="K145" s="202"/>
      <c r="L145" s="202"/>
    </row>
    <row r="146" spans="2:12" hidden="1">
      <c r="B146" s="10" t="s">
        <v>116</v>
      </c>
      <c r="C146" s="11">
        <f t="shared" si="14"/>
        <v>0</v>
      </c>
      <c r="D146" s="649">
        <f t="shared" si="15"/>
        <v>0</v>
      </c>
      <c r="E146" s="650">
        <f>IFERROR(C146/G109, 0)</f>
        <v>0</v>
      </c>
      <c r="J146" s="202"/>
      <c r="K146" s="202"/>
      <c r="L146" s="202"/>
    </row>
    <row r="147" spans="2:12" hidden="1">
      <c r="B147" s="10" t="s">
        <v>117</v>
      </c>
      <c r="C147" s="11">
        <f t="shared" si="14"/>
        <v>0</v>
      </c>
      <c r="D147" s="649">
        <f t="shared" si="15"/>
        <v>0</v>
      </c>
      <c r="E147" s="650">
        <f>IFERROR(C147/G109, 0)</f>
        <v>0</v>
      </c>
      <c r="J147" s="202"/>
      <c r="K147" s="202"/>
      <c r="L147" s="202"/>
    </row>
    <row r="148" spans="2:12" hidden="1">
      <c r="B148" s="10" t="s">
        <v>118</v>
      </c>
      <c r="C148" s="11">
        <f t="shared" si="14"/>
        <v>0</v>
      </c>
      <c r="D148" s="649">
        <f t="shared" si="15"/>
        <v>0</v>
      </c>
      <c r="E148" s="650">
        <f>IFERROR(C148/G109, 0)</f>
        <v>0</v>
      </c>
      <c r="J148" s="202"/>
      <c r="K148" s="202"/>
      <c r="L148" s="202"/>
    </row>
    <row r="149" spans="2:12" hidden="1">
      <c r="B149" s="10" t="s">
        <v>119</v>
      </c>
      <c r="C149" s="11">
        <f t="shared" si="14"/>
        <v>0</v>
      </c>
      <c r="D149" s="649">
        <f t="shared" si="15"/>
        <v>0</v>
      </c>
      <c r="E149" s="650">
        <f>IFERROR(C149/G109, 0)</f>
        <v>0</v>
      </c>
      <c r="J149" s="202"/>
      <c r="K149" s="202"/>
      <c r="L149" s="202"/>
    </row>
    <row r="150" spans="2:12" hidden="1">
      <c r="B150" s="10" t="s">
        <v>121</v>
      </c>
      <c r="C150" s="11">
        <f t="shared" si="14"/>
        <v>0</v>
      </c>
      <c r="D150" s="649">
        <f t="shared" si="15"/>
        <v>0</v>
      </c>
      <c r="E150" s="650">
        <f>IFERROR(C150/G109, 0)</f>
        <v>0</v>
      </c>
      <c r="J150" s="202"/>
      <c r="K150" s="202"/>
      <c r="L150" s="202"/>
    </row>
    <row r="151" spans="2:12" ht="14.5" hidden="1" thickBot="1">
      <c r="B151" s="91" t="s">
        <v>120</v>
      </c>
      <c r="C151" s="92">
        <f t="shared" si="14"/>
        <v>0</v>
      </c>
      <c r="D151" s="651">
        <f t="shared" si="15"/>
        <v>0</v>
      </c>
      <c r="E151" s="652">
        <f>IFERROR(C151/G109, 0)</f>
        <v>0</v>
      </c>
      <c r="J151" s="202"/>
      <c r="K151" s="202"/>
      <c r="L151" s="202"/>
    </row>
    <row r="152" spans="2:12" hidden="1">
      <c r="J152" s="202"/>
      <c r="K152" s="202"/>
      <c r="L152" s="202"/>
    </row>
    <row r="153" spans="2:12" hidden="1">
      <c r="J153" s="202"/>
      <c r="K153" s="202"/>
      <c r="L153" s="202"/>
    </row>
    <row r="154" spans="2:12" hidden="1">
      <c r="J154" s="202"/>
      <c r="K154" s="202"/>
      <c r="L154" s="202"/>
    </row>
    <row r="155" spans="2:12" hidden="1">
      <c r="J155" s="202"/>
      <c r="K155" s="202"/>
      <c r="L155" s="202"/>
    </row>
    <row r="156" spans="2:12" hidden="1">
      <c r="J156" s="202"/>
      <c r="K156" s="202"/>
      <c r="L156" s="202"/>
    </row>
    <row r="157" spans="2:12" hidden="1">
      <c r="J157" s="202"/>
      <c r="K157" s="202"/>
      <c r="L157" s="202"/>
    </row>
    <row r="158" spans="2:12" hidden="1">
      <c r="J158" s="202"/>
      <c r="K158" s="202"/>
      <c r="L158" s="202"/>
    </row>
    <row r="159" spans="2:12" hidden="1">
      <c r="J159" s="202"/>
      <c r="K159" s="202"/>
      <c r="L159" s="202"/>
    </row>
    <row r="160" spans="2:12" hidden="1">
      <c r="J160" s="202"/>
      <c r="K160" s="202"/>
      <c r="L160" s="202"/>
    </row>
    <row r="161" spans="10:12" hidden="1">
      <c r="J161" s="202"/>
      <c r="K161" s="202"/>
      <c r="L161" s="202"/>
    </row>
    <row r="162" spans="10:12" hidden="1">
      <c r="J162" s="202"/>
      <c r="K162" s="202"/>
      <c r="L162" s="202"/>
    </row>
    <row r="163" spans="10:12" hidden="1">
      <c r="J163" s="202"/>
      <c r="K163" s="202"/>
      <c r="L163" s="202"/>
    </row>
    <row r="164" spans="10:12" hidden="1">
      <c r="J164" s="202"/>
      <c r="K164" s="202"/>
      <c r="L164" s="202"/>
    </row>
    <row r="165" spans="10:12">
      <c r="J165" s="202"/>
      <c r="K165" s="202"/>
      <c r="L165" s="202"/>
    </row>
  </sheetData>
  <mergeCells count="24">
    <mergeCell ref="D29:H29"/>
    <mergeCell ref="D83:H83"/>
    <mergeCell ref="D93:H93"/>
    <mergeCell ref="D22:H22"/>
    <mergeCell ref="J17:L17"/>
    <mergeCell ref="D75:H75"/>
    <mergeCell ref="D45:H45"/>
    <mergeCell ref="D30:H30"/>
    <mergeCell ref="J5:L6"/>
    <mergeCell ref="J8:L9"/>
    <mergeCell ref="J15:L16"/>
    <mergeCell ref="F18:G18"/>
    <mergeCell ref="E5:G5"/>
    <mergeCell ref="E6:G6"/>
    <mergeCell ref="E7:G7"/>
    <mergeCell ref="E8:G8"/>
    <mergeCell ref="E9:G9"/>
    <mergeCell ref="E10:G10"/>
    <mergeCell ref="E11:G11"/>
    <mergeCell ref="E12:G12"/>
    <mergeCell ref="E13:G13"/>
    <mergeCell ref="E14:G14"/>
    <mergeCell ref="E15:G15"/>
    <mergeCell ref="E16:G16"/>
  </mergeCells>
  <conditionalFormatting sqref="H18">
    <cfRule type="containsText" dxfId="44" priority="3" operator="containsText" text="HIGH">
      <formula>NOT(ISERROR(SEARCH("HIGH",H18)))</formula>
    </cfRule>
    <cfRule type="containsText" dxfId="43" priority="4" operator="containsText" text="LOW">
      <formula>NOT(ISERROR(SEARCH("LOW",H18)))</formula>
    </cfRule>
    <cfRule type="containsText" dxfId="42" priority="5" operator="containsText" text="MEDIUM">
      <formula>NOT(ISERROR(SEARCH("MEDIUM",H18)))</formula>
    </cfRule>
    <cfRule type="containsText" dxfId="41" priority="6" operator="containsText" text="HIGH ">
      <formula>NOT(ISERROR(SEARCH("HIGH ",H18)))</formula>
    </cfRule>
    <cfRule type="cellIs" dxfId="40" priority="7" operator="equal">
      <formula>HIGH</formula>
    </cfRule>
    <cfRule type="containsText" dxfId="39" priority="8" operator="containsText" text="HIGH ">
      <formula>NOT(ISERROR(SEARCH("HIGH ",H18)))</formula>
    </cfRule>
    <cfRule type="colorScale" priority="9">
      <colorScale>
        <cfvo type="num" val="1"/>
        <cfvo type="num" val="2"/>
        <cfvo type="num" val="3"/>
        <color rgb="FFF8696B"/>
        <color rgb="FFFFEB84"/>
        <color rgb="FF63BE7B"/>
      </colorScale>
    </cfRule>
  </conditionalFormatting>
  <conditionalFormatting sqref="H16">
    <cfRule type="cellIs" dxfId="38" priority="1" operator="lessThan">
      <formula>0</formula>
    </cfRule>
  </conditionalFormatting>
  <dataValidations disablePrompts="1" count="3">
    <dataValidation type="list" allowBlank="1" showInputMessage="1" showErrorMessage="1" sqref="G114:G135" xr:uid="{00000000-0002-0000-0100-000004000000}">
      <formula1>"IT, WW/OPS ENGINEERING, COMPOSITE, AHJ, START_UP, LAUNCH, EHS, UNFORESEEN SITE CONDITIONS, CONSULTANT COORDINATION, MHE, OTHER"</formula1>
    </dataValidation>
    <dataValidation type="list" allowBlank="1" showInputMessage="1" showErrorMessage="1" sqref="H114:H135" xr:uid="{00000000-0002-0000-0100-000005000000}">
      <formula1>"TI ALLOWANCE, TI CONTINGENCY, DEV CONTINGENCY, GC CONTINGENCY, BUYOUT SAVINGS, SUPPLEMENTAL"</formula1>
    </dataValidation>
    <dataValidation type="list" allowBlank="1" showInputMessage="1" showErrorMessage="1" sqref="H18" xr:uid="{C0C16A4A-549E-4CFC-B8EB-23345F02E026}">
      <formula1>"High, MEDIUM,LOW"</formula1>
    </dataValidation>
  </dataValidations>
  <pageMargins left="0.7" right="0.7" top="0.75" bottom="0.75" header="0.3" footer="0.3"/>
  <pageSetup scale="59" fitToHeight="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56" r:id="rId4" name="Button 32">
              <controlPr defaultSize="0" print="0" autoFill="0" autoPict="0" macro="[0]!Save_Data">
                <anchor moveWithCells="1" sizeWithCells="1">
                  <from>
                    <xdr:col>10</xdr:col>
                    <xdr:colOff>190500</xdr:colOff>
                    <xdr:row>9</xdr:row>
                    <xdr:rowOff>222250</xdr:rowOff>
                  </from>
                  <to>
                    <xdr:col>10</xdr:col>
                    <xdr:colOff>1866900</xdr:colOff>
                    <xdr:row>12</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100-000006000000}">
          <x14:formula1>
            <xm:f>'Drop Down Menus'!$A$1:$L$1</xm:f>
          </x14:formula1>
          <xm:sqref>C8</xm:sqref>
        </x14:dataValidation>
        <x14:dataValidation type="list" allowBlank="1" showInputMessage="1" showErrorMessage="1" xr:uid="{D47AC58D-4259-4C4E-B064-AB75521BEDA4}">
          <x14:formula1>
            <xm:f>'Drop Down Menus'!$R$2:$R$11</xm:f>
          </x14:formula1>
          <xm:sqref>C17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70220-688A-42B5-9370-5740A282AF46}">
  <sheetPr codeName="Sheet3"/>
  <dimension ref="A1:AT197"/>
  <sheetViews>
    <sheetView tabSelected="1" topLeftCell="A4" zoomScale="55" zoomScaleNormal="55" workbookViewId="0">
      <selection activeCell="W8" sqref="W8"/>
    </sheetView>
  </sheetViews>
  <sheetFormatPr defaultColWidth="0" defaultRowHeight="14.5" customHeight="1" zeroHeight="1"/>
  <cols>
    <col min="1" max="1" width="2.54296875" style="305" customWidth="1"/>
    <col min="2" max="2" width="4.81640625" style="305" customWidth="1"/>
    <col min="3" max="3" width="3" style="305" customWidth="1"/>
    <col min="4" max="4" width="8.453125" style="305" customWidth="1"/>
    <col min="5" max="6" width="14.54296875" style="305" customWidth="1"/>
    <col min="7" max="7" width="14.54296875" style="305" hidden="1" customWidth="1"/>
    <col min="8" max="8" width="19.453125" style="305" hidden="1" customWidth="1"/>
    <col min="9" max="9" width="18.81640625" style="305" hidden="1" customWidth="1"/>
    <col min="10" max="10" width="17" style="305" hidden="1" customWidth="1"/>
    <col min="11" max="11" width="11.1796875" style="305" hidden="1" customWidth="1"/>
    <col min="12" max="12" width="46.1796875" style="305" hidden="1" customWidth="1"/>
    <col min="13" max="13" width="91.1796875" style="305" customWidth="1"/>
    <col min="14" max="14" width="14.453125" style="305" customWidth="1"/>
    <col min="15" max="15" width="11.81640625" style="305" customWidth="1"/>
    <col min="16" max="16" width="13.453125" style="305" customWidth="1"/>
    <col min="17" max="17" width="15.1796875" style="305" bestFit="1" customWidth="1"/>
    <col min="18" max="18" width="17.26953125" style="305" bestFit="1" customWidth="1"/>
    <col min="19" max="19" width="13.453125" style="305" customWidth="1"/>
    <col min="20" max="20" width="23.81640625" style="305" customWidth="1"/>
    <col min="21" max="24" width="19.1796875" style="305" customWidth="1"/>
    <col min="25" max="25" width="15" style="305" customWidth="1"/>
    <col min="26" max="26" width="18.81640625" style="305" customWidth="1"/>
    <col min="27" max="27" width="24" style="305" bestFit="1" customWidth="1"/>
    <col min="28" max="28" width="30.81640625" style="305" customWidth="1"/>
    <col min="29" max="29" width="28.453125" style="305" customWidth="1"/>
    <col min="30" max="30" width="2.81640625" style="305" customWidth="1"/>
    <col min="31" max="31" width="4.81640625" style="305" customWidth="1"/>
    <col min="32" max="32" width="14" style="305" hidden="1" customWidth="1"/>
    <col min="33" max="35" width="8.81640625" style="305" hidden="1" customWidth="1"/>
    <col min="36" max="36" width="21.1796875" style="305" hidden="1" customWidth="1"/>
    <col min="37" max="37" width="10.1796875" style="305" hidden="1" customWidth="1"/>
    <col min="38" max="46" width="8.81640625" style="305" hidden="1" customWidth="1"/>
    <col min="47" max="16384" width="8.81640625" style="305" hidden="1"/>
  </cols>
  <sheetData>
    <row r="1" spans="2:37" ht="18.75" customHeight="1" thickBot="1">
      <c r="AJ1" s="442" t="s">
        <v>902</v>
      </c>
      <c r="AK1" s="442" t="s">
        <v>903</v>
      </c>
    </row>
    <row r="2" spans="2:37" ht="15" customHeight="1" thickBot="1">
      <c r="B2" s="443"/>
      <c r="C2" s="444"/>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5"/>
      <c r="AJ2" s="887" t="s">
        <v>904</v>
      </c>
      <c r="AK2" s="889">
        <f>SUMIF(T:T,E60,U:U)</f>
        <v>0</v>
      </c>
    </row>
    <row r="3" spans="2:37" ht="47" thickTop="1" thickBot="1">
      <c r="B3" s="446"/>
      <c r="C3" s="223"/>
      <c r="D3" s="447"/>
      <c r="E3" s="448"/>
      <c r="F3" s="448"/>
      <c r="G3" s="448"/>
      <c r="H3" s="448"/>
      <c r="I3" s="448"/>
      <c r="J3" s="223"/>
      <c r="K3" s="223"/>
      <c r="L3" s="223"/>
      <c r="M3" s="223"/>
      <c r="N3" s="223"/>
      <c r="O3" s="223"/>
      <c r="P3" s="223"/>
      <c r="Q3" s="223"/>
      <c r="R3" s="223"/>
      <c r="S3" s="223"/>
      <c r="T3" s="223"/>
      <c r="U3" s="449" t="b">
        <f>IF(ISNA(VLOOKUP("ERROR",AI:AI,1,FALSE)),FALSE, TRUE)</f>
        <v>0</v>
      </c>
      <c r="V3" s="223"/>
      <c r="W3" s="449">
        <v>1</v>
      </c>
      <c r="X3" s="223"/>
      <c r="Y3" s="223"/>
      <c r="Z3" s="450"/>
      <c r="AA3" s="450"/>
      <c r="AB3" s="450"/>
      <c r="AC3" s="450" t="s">
        <v>1111</v>
      </c>
      <c r="AD3" s="451"/>
      <c r="AE3" s="445"/>
      <c r="AJ3" s="888"/>
      <c r="AK3" s="888"/>
    </row>
    <row r="4" spans="2:37" ht="30" customHeight="1" thickBot="1">
      <c r="B4" s="446"/>
      <c r="C4" s="223"/>
      <c r="D4" s="223"/>
      <c r="E4" s="223"/>
      <c r="F4" s="223"/>
      <c r="G4" s="223"/>
      <c r="H4" s="223"/>
      <c r="I4" s="223"/>
      <c r="J4" s="223"/>
      <c r="K4" s="223"/>
      <c r="L4" s="223"/>
      <c r="M4" s="223"/>
      <c r="N4" s="884" t="s">
        <v>905</v>
      </c>
      <c r="O4" s="885"/>
      <c r="P4" s="885"/>
      <c r="Q4" s="885"/>
      <c r="R4" s="885"/>
      <c r="S4" s="885"/>
      <c r="T4" s="885"/>
      <c r="U4" s="885"/>
      <c r="V4" s="885"/>
      <c r="W4" s="885"/>
      <c r="X4" s="885"/>
      <c r="Y4" s="885"/>
      <c r="Z4" s="885"/>
      <c r="AA4" s="885"/>
      <c r="AB4" s="886"/>
      <c r="AC4" s="223"/>
      <c r="AD4" s="452"/>
      <c r="AE4" s="445"/>
    </row>
    <row r="5" spans="2:37" ht="21">
      <c r="B5" s="446"/>
      <c r="C5" s="453"/>
      <c r="D5" s="223"/>
      <c r="E5" s="454"/>
      <c r="F5" s="454"/>
      <c r="G5" s="454"/>
      <c r="H5" s="223"/>
      <c r="I5" s="223"/>
      <c r="J5" s="223"/>
      <c r="K5" s="223"/>
      <c r="L5" s="223"/>
      <c r="M5" s="223"/>
      <c r="N5" s="737"/>
      <c r="O5" s="223"/>
      <c r="P5" s="754" t="str">
        <f>IF('GMP COST DATA'!O7&lt;&gt;"",'GMP COST DATA'!O7,"")</f>
        <v/>
      </c>
      <c r="Q5" s="754" t="str">
        <f>IFERROR(P5+32,"")</f>
        <v/>
      </c>
      <c r="R5" s="754" t="str">
        <f t="shared" ref="R5:AA5" si="0">IFERROR(Q5+32,"")</f>
        <v/>
      </c>
      <c r="S5" s="754" t="str">
        <f t="shared" si="0"/>
        <v/>
      </c>
      <c r="T5" s="754" t="str">
        <f t="shared" si="0"/>
        <v/>
      </c>
      <c r="U5" s="754" t="str">
        <f t="shared" si="0"/>
        <v/>
      </c>
      <c r="V5" s="754" t="str">
        <f>IFERROR(U5+32,"")</f>
        <v/>
      </c>
      <c r="W5" s="754" t="str">
        <f t="shared" si="0"/>
        <v/>
      </c>
      <c r="X5" s="754" t="str">
        <f t="shared" si="0"/>
        <v/>
      </c>
      <c r="Y5" s="754" t="str">
        <f t="shared" si="0"/>
        <v/>
      </c>
      <c r="Z5" s="754" t="str">
        <f t="shared" si="0"/>
        <v/>
      </c>
      <c r="AA5" s="754" t="str">
        <f t="shared" si="0"/>
        <v/>
      </c>
      <c r="AB5" s="738"/>
      <c r="AC5" s="223"/>
      <c r="AD5" s="455"/>
      <c r="AE5" s="445"/>
    </row>
    <row r="6" spans="2:37" ht="27.75" customHeight="1">
      <c r="B6" s="446"/>
      <c r="C6" s="211"/>
      <c r="D6" s="223"/>
      <c r="E6" s="456"/>
      <c r="F6" s="456"/>
      <c r="G6" s="456"/>
      <c r="H6" s="223"/>
      <c r="I6" s="223"/>
      <c r="J6" s="223"/>
      <c r="K6" s="223"/>
      <c r="L6" s="223"/>
      <c r="M6" s="223"/>
      <c r="N6" s="739" t="s">
        <v>906</v>
      </c>
      <c r="O6" s="709" t="s">
        <v>907</v>
      </c>
      <c r="P6" s="744"/>
      <c r="Q6" s="744"/>
      <c r="R6" s="744"/>
      <c r="S6" s="744"/>
      <c r="T6" s="744"/>
      <c r="U6" s="744"/>
      <c r="V6" s="744"/>
      <c r="W6" s="744"/>
      <c r="X6" s="744"/>
      <c r="Y6" s="744"/>
      <c r="Z6" s="744"/>
      <c r="AA6" s="744"/>
      <c r="AB6" s="745">
        <f>SUM(P6:AA6)</f>
        <v>0</v>
      </c>
      <c r="AC6" s="223"/>
      <c r="AD6" s="452"/>
      <c r="AE6" s="445"/>
    </row>
    <row r="7" spans="2:37" ht="15" customHeight="1">
      <c r="B7" s="446"/>
      <c r="C7" s="211"/>
      <c r="D7" s="223"/>
      <c r="E7" s="211"/>
      <c r="F7" s="211"/>
      <c r="G7" s="457" t="s">
        <v>908</v>
      </c>
      <c r="H7" s="890">
        <f>[4]Information!L27</f>
        <v>0</v>
      </c>
      <c r="I7" s="890"/>
      <c r="J7" s="890"/>
      <c r="K7" s="890"/>
      <c r="L7" s="223"/>
      <c r="M7" s="223"/>
      <c r="N7" s="740"/>
      <c r="O7" s="710"/>
      <c r="P7" s="746"/>
      <c r="Q7" s="746"/>
      <c r="R7" s="746"/>
      <c r="S7" s="746"/>
      <c r="T7" s="746"/>
      <c r="U7" s="746"/>
      <c r="V7" s="746"/>
      <c r="W7" s="746"/>
      <c r="X7" s="746"/>
      <c r="Y7" s="746"/>
      <c r="Z7" s="746"/>
      <c r="AA7" s="746"/>
      <c r="AB7" s="747"/>
      <c r="AC7" s="223"/>
      <c r="AD7" s="452"/>
      <c r="AE7" s="445"/>
      <c r="AK7" s="305" t="s">
        <v>909</v>
      </c>
    </row>
    <row r="8" spans="2:37" ht="27" customHeight="1">
      <c r="B8" s="446"/>
      <c r="C8" s="211"/>
      <c r="D8" s="223"/>
      <c r="E8" s="211"/>
      <c r="F8" s="211"/>
      <c r="G8" s="457" t="s">
        <v>910</v>
      </c>
      <c r="H8" s="890">
        <f>[4]Information!L28</f>
        <v>0</v>
      </c>
      <c r="I8" s="890"/>
      <c r="J8" s="890"/>
      <c r="K8" s="890"/>
      <c r="L8" s="223"/>
      <c r="M8" s="223"/>
      <c r="N8" s="741" t="s">
        <v>911</v>
      </c>
      <c r="O8" s="709" t="s">
        <v>907</v>
      </c>
      <c r="P8" s="744"/>
      <c r="Q8" s="744"/>
      <c r="R8" s="744"/>
      <c r="S8" s="744"/>
      <c r="T8" s="744"/>
      <c r="U8" s="744"/>
      <c r="V8" s="744"/>
      <c r="W8" s="744"/>
      <c r="X8" s="744"/>
      <c r="Y8" s="744"/>
      <c r="Z8" s="744"/>
      <c r="AA8" s="744"/>
      <c r="AB8" s="745">
        <f t="shared" ref="AB8:AB11" si="1">SUM(P8:AA8)</f>
        <v>0</v>
      </c>
      <c r="AC8" s="223"/>
      <c r="AD8" s="452"/>
      <c r="AE8" s="445"/>
      <c r="AJ8" s="305" t="s">
        <v>912</v>
      </c>
      <c r="AK8" s="305" t="s">
        <v>833</v>
      </c>
    </row>
    <row r="9" spans="2:37" ht="27" customHeight="1">
      <c r="B9" s="446"/>
      <c r="C9" s="211"/>
      <c r="D9" s="223"/>
      <c r="E9" s="211"/>
      <c r="F9" s="211"/>
      <c r="G9" s="457" t="s">
        <v>913</v>
      </c>
      <c r="H9" s="890" t="e">
        <f>[4]Information!L30</f>
        <v>#REF!</v>
      </c>
      <c r="I9" s="890"/>
      <c r="J9" s="890"/>
      <c r="K9" s="890"/>
      <c r="L9" s="223"/>
      <c r="M9" s="223"/>
      <c r="N9" s="741" t="s">
        <v>914</v>
      </c>
      <c r="O9" s="709" t="s">
        <v>907</v>
      </c>
      <c r="P9" s="744"/>
      <c r="Q9" s="744"/>
      <c r="R9" s="744"/>
      <c r="S9" s="744"/>
      <c r="T9" s="744"/>
      <c r="U9" s="744"/>
      <c r="V9" s="744"/>
      <c r="W9" s="744"/>
      <c r="X9" s="744"/>
      <c r="Y9" s="744"/>
      <c r="Z9" s="744"/>
      <c r="AA9" s="744"/>
      <c r="AB9" s="745">
        <f>SUM(P9:AA9)</f>
        <v>0</v>
      </c>
      <c r="AC9" s="223"/>
      <c r="AD9" s="452"/>
      <c r="AE9" s="445"/>
      <c r="AJ9" s="305" t="s">
        <v>915</v>
      </c>
      <c r="AK9" s="305" t="s">
        <v>916</v>
      </c>
    </row>
    <row r="10" spans="2:37" ht="27" customHeight="1">
      <c r="B10" s="446"/>
      <c r="C10" s="211"/>
      <c r="D10" s="223"/>
      <c r="E10" s="211"/>
      <c r="F10" s="211"/>
      <c r="G10" s="458" t="s">
        <v>917</v>
      </c>
      <c r="H10" s="897" t="str">
        <f>[4]Information!C3&amp;" "&amp;[4]Information!E3</f>
        <v>February 2022</v>
      </c>
      <c r="I10" s="897"/>
      <c r="J10" s="897"/>
      <c r="K10" s="897"/>
      <c r="L10" s="223"/>
      <c r="M10" s="223"/>
      <c r="N10" s="741" t="s">
        <v>918</v>
      </c>
      <c r="O10" s="709" t="s">
        <v>907</v>
      </c>
      <c r="P10" s="744"/>
      <c r="Q10" s="744"/>
      <c r="R10" s="744"/>
      <c r="S10" s="744"/>
      <c r="T10" s="744"/>
      <c r="U10" s="744"/>
      <c r="V10" s="744"/>
      <c r="W10" s="744"/>
      <c r="X10" s="744"/>
      <c r="Y10" s="744"/>
      <c r="Z10" s="744"/>
      <c r="AA10" s="744"/>
      <c r="AB10" s="745">
        <f t="shared" si="1"/>
        <v>0</v>
      </c>
      <c r="AC10" s="223"/>
      <c r="AD10" s="452"/>
      <c r="AE10" s="445"/>
      <c r="AK10" s="305" t="s">
        <v>476</v>
      </c>
    </row>
    <row r="11" spans="2:37" ht="27" customHeight="1" thickBot="1">
      <c r="B11" s="446"/>
      <c r="C11" s="211"/>
      <c r="D11" s="223"/>
      <c r="E11" s="211"/>
      <c r="F11" s="211"/>
      <c r="G11" s="458" t="s">
        <v>919</v>
      </c>
      <c r="H11" s="890">
        <f>[4]Information!C11</f>
        <v>0</v>
      </c>
      <c r="I11" s="890"/>
      <c r="J11" s="890"/>
      <c r="K11" s="890"/>
      <c r="L11" s="223"/>
      <c r="M11" s="223"/>
      <c r="N11" s="742" t="s">
        <v>920</v>
      </c>
      <c r="O11" s="743" t="s">
        <v>907</v>
      </c>
      <c r="P11" s="748"/>
      <c r="Q11" s="748"/>
      <c r="R11" s="748"/>
      <c r="S11" s="748"/>
      <c r="T11" s="748"/>
      <c r="U11" s="748"/>
      <c r="V11" s="748"/>
      <c r="W11" s="748"/>
      <c r="X11" s="748"/>
      <c r="Y11" s="748"/>
      <c r="Z11" s="748"/>
      <c r="AA11" s="748"/>
      <c r="AB11" s="749">
        <f t="shared" si="1"/>
        <v>0</v>
      </c>
      <c r="AC11" s="223"/>
      <c r="AD11" s="452"/>
      <c r="AE11" s="445"/>
    </row>
    <row r="12" spans="2:37" ht="27" hidden="1" customHeight="1">
      <c r="B12" s="446"/>
      <c r="C12" s="211"/>
      <c r="D12" s="223"/>
      <c r="E12" s="211"/>
      <c r="F12" s="211"/>
      <c r="G12" s="458" t="s">
        <v>516</v>
      </c>
      <c r="H12" s="890" t="str">
        <f>[4]Information!C15</f>
        <v>Brazil</v>
      </c>
      <c r="I12" s="890"/>
      <c r="J12" s="890"/>
      <c r="K12" s="890"/>
      <c r="L12" s="223"/>
      <c r="M12" s="223"/>
      <c r="N12" s="223"/>
      <c r="O12" s="223"/>
      <c r="P12" s="223"/>
      <c r="Q12" s="223"/>
      <c r="R12" s="223"/>
      <c r="S12" s="223"/>
      <c r="T12" s="223"/>
      <c r="U12" s="223"/>
      <c r="V12" s="223"/>
      <c r="W12" s="223"/>
      <c r="X12" s="223"/>
      <c r="Y12" s="223"/>
      <c r="Z12" s="457"/>
      <c r="AA12" s="223"/>
      <c r="AB12" s="223"/>
      <c r="AC12" s="223"/>
      <c r="AD12" s="452"/>
      <c r="AE12" s="445"/>
    </row>
    <row r="13" spans="2:37" ht="27" hidden="1" customHeight="1">
      <c r="B13" s="446"/>
      <c r="C13" s="211"/>
      <c r="D13" s="223"/>
      <c r="E13" s="211"/>
      <c r="F13" s="211"/>
      <c r="G13" s="458" t="s">
        <v>921</v>
      </c>
      <c r="H13" s="890" t="str">
        <f>[4]Information!L11</f>
        <v>Build to Suit</v>
      </c>
      <c r="I13" s="890"/>
      <c r="J13" s="890"/>
      <c r="K13" s="890"/>
      <c r="L13" s="223"/>
      <c r="M13" s="223"/>
      <c r="N13" s="223"/>
      <c r="O13" s="223"/>
      <c r="P13" s="223"/>
      <c r="Q13" s="223"/>
      <c r="R13" s="223"/>
      <c r="S13" s="223"/>
      <c r="T13" s="223"/>
      <c r="U13" s="223"/>
      <c r="V13" s="223"/>
      <c r="W13" s="223"/>
      <c r="X13" s="223"/>
      <c r="Y13" s="223"/>
      <c r="Z13" s="457"/>
      <c r="AA13" s="223"/>
      <c r="AB13" s="223"/>
      <c r="AC13" s="223"/>
      <c r="AD13" s="452"/>
      <c r="AE13" s="445"/>
    </row>
    <row r="14" spans="2:37" ht="27" hidden="1" customHeight="1">
      <c r="B14" s="446"/>
      <c r="C14" s="211"/>
      <c r="D14" s="223"/>
      <c r="E14" s="211"/>
      <c r="F14" s="211"/>
      <c r="G14" s="458" t="s">
        <v>513</v>
      </c>
      <c r="H14" s="890">
        <f>[4]Information!L12</f>
        <v>0</v>
      </c>
      <c r="I14" s="890"/>
      <c r="J14" s="890"/>
      <c r="K14" s="890"/>
      <c r="L14" s="223"/>
      <c r="M14" s="223"/>
      <c r="N14" s="223"/>
      <c r="O14" s="223"/>
      <c r="P14" s="223"/>
      <c r="Q14" s="223"/>
      <c r="R14" s="223"/>
      <c r="S14" s="223"/>
      <c r="T14" s="223"/>
      <c r="U14" s="223"/>
      <c r="V14" s="223"/>
      <c r="W14" s="223"/>
      <c r="X14" s="223"/>
      <c r="Y14" s="223"/>
      <c r="Z14" s="223"/>
      <c r="AA14" s="223"/>
      <c r="AB14" s="223"/>
      <c r="AC14" s="223"/>
      <c r="AD14" s="452"/>
      <c r="AE14" s="445"/>
    </row>
    <row r="15" spans="2:37" ht="27" hidden="1" customHeight="1">
      <c r="B15" s="446"/>
      <c r="C15" s="211"/>
      <c r="D15" s="459"/>
      <c r="E15" s="211"/>
      <c r="F15" s="211"/>
      <c r="G15" s="211"/>
      <c r="H15" s="211"/>
      <c r="I15" s="211"/>
      <c r="J15" s="211"/>
      <c r="K15" s="211"/>
      <c r="L15" s="211"/>
      <c r="M15" s="223"/>
      <c r="N15" s="223"/>
      <c r="O15" s="223"/>
      <c r="P15" s="223"/>
      <c r="Q15" s="223"/>
      <c r="R15" s="223"/>
      <c r="S15" s="223"/>
      <c r="T15" s="223"/>
      <c r="U15" s="223"/>
      <c r="V15" s="223"/>
      <c r="W15" s="223"/>
      <c r="X15" s="223"/>
      <c r="Y15" s="223"/>
      <c r="Z15" s="223"/>
      <c r="AA15" s="223"/>
      <c r="AB15" s="223"/>
      <c r="AC15" s="223"/>
      <c r="AD15" s="452"/>
      <c r="AE15" s="445"/>
    </row>
    <row r="16" spans="2:37">
      <c r="B16" s="446"/>
      <c r="C16" s="211"/>
      <c r="D16" s="459"/>
      <c r="E16" s="459"/>
      <c r="F16" s="459"/>
      <c r="G16" s="459"/>
      <c r="H16" s="459"/>
      <c r="I16" s="211"/>
      <c r="J16" s="211"/>
      <c r="K16" s="211"/>
      <c r="L16" s="211"/>
      <c r="M16" s="211"/>
      <c r="N16" s="211"/>
      <c r="O16" s="211"/>
      <c r="P16" s="211"/>
      <c r="Q16" s="211"/>
      <c r="R16" s="211"/>
      <c r="S16" s="211"/>
      <c r="T16" s="211"/>
      <c r="U16" s="211"/>
      <c r="V16" s="223"/>
      <c r="W16" s="223"/>
      <c r="X16" s="223"/>
      <c r="Y16" s="223"/>
      <c r="Z16" s="223"/>
      <c r="AA16" s="223"/>
      <c r="AB16" s="223"/>
      <c r="AC16" s="223"/>
      <c r="AD16" s="452"/>
      <c r="AE16" s="445"/>
    </row>
    <row r="17" spans="2:46" ht="21">
      <c r="B17" s="446"/>
      <c r="C17" s="211"/>
      <c r="D17" s="460" t="s">
        <v>922</v>
      </c>
      <c r="E17" s="461"/>
      <c r="F17" s="461"/>
      <c r="G17" s="461"/>
      <c r="H17" s="211"/>
      <c r="I17" s="211"/>
      <c r="J17" s="211"/>
      <c r="K17" s="211"/>
      <c r="L17" s="211"/>
      <c r="M17" s="211"/>
      <c r="N17" s="211"/>
      <c r="O17" s="211"/>
      <c r="P17" s="211"/>
      <c r="Q17" s="211"/>
      <c r="R17" s="211"/>
      <c r="S17" s="211"/>
      <c r="T17" s="211"/>
      <c r="U17" s="211"/>
      <c r="V17" s="211"/>
      <c r="W17" s="211"/>
      <c r="X17" s="211"/>
      <c r="Y17" s="211"/>
      <c r="Z17" s="211"/>
      <c r="AA17" s="211"/>
      <c r="AB17" s="211"/>
      <c r="AC17" s="211"/>
      <c r="AD17" s="452"/>
      <c r="AE17" s="445"/>
    </row>
    <row r="18" spans="2:46" ht="102.75" customHeight="1">
      <c r="B18" s="446"/>
      <c r="C18" s="211"/>
      <c r="D18" s="898"/>
      <c r="E18" s="899"/>
      <c r="F18" s="899"/>
      <c r="G18" s="899"/>
      <c r="H18" s="899"/>
      <c r="I18" s="899"/>
      <c r="J18" s="899"/>
      <c r="K18" s="899"/>
      <c r="L18" s="899"/>
      <c r="M18" s="899"/>
      <c r="N18" s="899"/>
      <c r="O18" s="899"/>
      <c r="P18" s="899"/>
      <c r="Q18" s="899"/>
      <c r="R18" s="899"/>
      <c r="S18" s="899"/>
      <c r="T18" s="899"/>
      <c r="U18" s="899"/>
      <c r="V18" s="899"/>
      <c r="W18" s="899"/>
      <c r="X18" s="899"/>
      <c r="Y18" s="899"/>
      <c r="Z18" s="899"/>
      <c r="AA18" s="899"/>
      <c r="AB18" s="899"/>
      <c r="AC18" s="900"/>
      <c r="AD18" s="462"/>
      <c r="AE18" s="445"/>
    </row>
    <row r="19" spans="2:46">
      <c r="B19" s="446"/>
      <c r="C19" s="211"/>
      <c r="D19" s="211"/>
      <c r="E19" s="211"/>
      <c r="F19" s="211"/>
      <c r="G19" s="211"/>
      <c r="H19" s="211"/>
      <c r="I19" s="211"/>
      <c r="J19" s="211"/>
      <c r="K19" s="211"/>
      <c r="L19" s="211"/>
      <c r="M19" s="211"/>
      <c r="N19" s="211"/>
      <c r="O19" s="211"/>
      <c r="P19" s="211"/>
      <c r="Q19" s="211"/>
      <c r="R19" s="211"/>
      <c r="S19" s="211"/>
      <c r="T19" s="211"/>
      <c r="U19" s="901" t="s">
        <v>923</v>
      </c>
      <c r="V19" s="901"/>
      <c r="W19" s="901"/>
      <c r="X19" s="901"/>
      <c r="Y19" s="211"/>
      <c r="Z19" s="211"/>
      <c r="AA19" s="211"/>
      <c r="AB19" s="211"/>
      <c r="AC19" s="211"/>
      <c r="AD19" s="452"/>
      <c r="AE19" s="445"/>
    </row>
    <row r="20" spans="2:46" ht="7.5" customHeight="1">
      <c r="B20" s="446"/>
      <c r="C20" s="211"/>
      <c r="D20" s="211"/>
      <c r="E20" s="211"/>
      <c r="F20" s="211"/>
      <c r="G20" s="211"/>
      <c r="H20" s="211"/>
      <c r="I20" s="211"/>
      <c r="J20" s="211"/>
      <c r="K20" s="211"/>
      <c r="L20" s="211"/>
      <c r="M20" s="211"/>
      <c r="N20" s="211"/>
      <c r="O20" s="211"/>
      <c r="P20" s="211"/>
      <c r="Q20" s="211"/>
      <c r="R20" s="211"/>
      <c r="S20" s="211"/>
      <c r="T20" s="211"/>
      <c r="U20" s="902"/>
      <c r="V20" s="902"/>
      <c r="W20" s="902"/>
      <c r="X20" s="902"/>
      <c r="Y20" s="211"/>
      <c r="Z20" s="211"/>
      <c r="AA20" s="211"/>
      <c r="AB20" s="211"/>
      <c r="AC20" s="211"/>
      <c r="AD20" s="452"/>
      <c r="AE20" s="445"/>
    </row>
    <row r="21" spans="2:46" ht="21">
      <c r="B21" s="446"/>
      <c r="C21" s="211"/>
      <c r="D21" s="460" t="s">
        <v>924</v>
      </c>
      <c r="E21" s="461"/>
      <c r="F21" s="461"/>
      <c r="G21" s="461"/>
      <c r="H21" s="211"/>
      <c r="I21" s="211"/>
      <c r="J21" s="211"/>
      <c r="K21" s="211"/>
      <c r="L21" s="211"/>
      <c r="M21" s="223"/>
      <c r="N21" s="223"/>
      <c r="O21" s="223"/>
      <c r="P21" s="223"/>
      <c r="Q21" s="223"/>
      <c r="R21" s="223"/>
      <c r="S21" s="223"/>
      <c r="T21" s="223"/>
      <c r="U21" s="877">
        <f>COUNT(U25:U39)</f>
        <v>0</v>
      </c>
      <c r="V21" s="877">
        <f>COUNT(V25:V39)</f>
        <v>0</v>
      </c>
      <c r="W21" s="877">
        <f>COUNT(W25:W39)</f>
        <v>0</v>
      </c>
      <c r="X21" s="877">
        <f>COUNT(X25:X39)</f>
        <v>0</v>
      </c>
      <c r="Y21" s="211"/>
      <c r="Z21" s="211"/>
      <c r="AA21" s="449"/>
      <c r="AB21" s="449"/>
      <c r="AC21" s="449"/>
      <c r="AD21" s="452"/>
      <c r="AE21" s="445"/>
    </row>
    <row r="22" spans="2:46" ht="7.5" customHeight="1" thickBot="1">
      <c r="B22" s="446"/>
      <c r="C22" s="211"/>
      <c r="D22" s="461"/>
      <c r="E22" s="461"/>
      <c r="F22" s="461"/>
      <c r="G22" s="461"/>
      <c r="H22" s="211"/>
      <c r="I22" s="211"/>
      <c r="J22" s="211"/>
      <c r="K22" s="211"/>
      <c r="L22" s="211"/>
      <c r="M22" s="223"/>
      <c r="N22" s="223"/>
      <c r="O22" s="223"/>
      <c r="P22" s="223"/>
      <c r="Q22" s="223"/>
      <c r="R22" s="223"/>
      <c r="S22" s="223"/>
      <c r="T22" s="223"/>
      <c r="U22" s="878"/>
      <c r="V22" s="878"/>
      <c r="W22" s="878"/>
      <c r="X22" s="878"/>
      <c r="Y22" s="211"/>
      <c r="Z22" s="211"/>
      <c r="AA22" s="449"/>
      <c r="AB22" s="449"/>
      <c r="AC22" s="449"/>
      <c r="AD22" s="452"/>
      <c r="AE22" s="445"/>
    </row>
    <row r="23" spans="2:46" ht="19.399999999999999" customHeight="1">
      <c r="B23" s="446"/>
      <c r="C23" s="211"/>
      <c r="D23" s="891" t="s">
        <v>925</v>
      </c>
      <c r="E23" s="893" t="s">
        <v>926</v>
      </c>
      <c r="F23" s="893" t="s">
        <v>927</v>
      </c>
      <c r="G23" s="895" t="s">
        <v>928</v>
      </c>
      <c r="H23" s="895" t="s">
        <v>929</v>
      </c>
      <c r="I23" s="895" t="s">
        <v>930</v>
      </c>
      <c r="J23" s="872" t="s">
        <v>931</v>
      </c>
      <c r="K23" s="872" t="s">
        <v>932</v>
      </c>
      <c r="L23" s="872" t="s">
        <v>933</v>
      </c>
      <c r="M23" s="872" t="s">
        <v>934</v>
      </c>
      <c r="N23" s="870" t="s">
        <v>935</v>
      </c>
      <c r="O23" s="870" t="s">
        <v>936</v>
      </c>
      <c r="P23" s="870" t="s">
        <v>937</v>
      </c>
      <c r="Q23" s="872" t="s">
        <v>938</v>
      </c>
      <c r="R23" s="872" t="s">
        <v>939</v>
      </c>
      <c r="S23" s="872" t="s">
        <v>940</v>
      </c>
      <c r="T23" s="875" t="s">
        <v>941</v>
      </c>
      <c r="U23" s="879" t="s">
        <v>942</v>
      </c>
      <c r="V23" s="880"/>
      <c r="W23" s="880"/>
      <c r="X23" s="881"/>
      <c r="Y23" s="882" t="s">
        <v>943</v>
      </c>
      <c r="Z23" s="875" t="s">
        <v>568</v>
      </c>
      <c r="AA23" s="869" t="s">
        <v>944</v>
      </c>
      <c r="AB23" s="869"/>
      <c r="AC23" s="869"/>
      <c r="AD23" s="452"/>
      <c r="AE23" s="445"/>
    </row>
    <row r="24" spans="2:46" ht="47.25" customHeight="1">
      <c r="B24" s="446"/>
      <c r="C24" s="211"/>
      <c r="D24" s="892"/>
      <c r="E24" s="894"/>
      <c r="F24" s="894"/>
      <c r="G24" s="896"/>
      <c r="H24" s="896"/>
      <c r="I24" s="896"/>
      <c r="J24" s="873"/>
      <c r="K24" s="873"/>
      <c r="L24" s="873"/>
      <c r="M24" s="873"/>
      <c r="N24" s="871"/>
      <c r="O24" s="871"/>
      <c r="P24" s="871"/>
      <c r="Q24" s="873"/>
      <c r="R24" s="874"/>
      <c r="S24" s="874"/>
      <c r="T24" s="876"/>
      <c r="U24" s="687" t="s">
        <v>945</v>
      </c>
      <c r="V24" s="688" t="s">
        <v>946</v>
      </c>
      <c r="W24" s="688" t="s">
        <v>947</v>
      </c>
      <c r="X24" s="689" t="s">
        <v>948</v>
      </c>
      <c r="Y24" s="883"/>
      <c r="Z24" s="876"/>
      <c r="AA24" s="869"/>
      <c r="AB24" s="869"/>
      <c r="AC24" s="869"/>
      <c r="AD24" s="732"/>
      <c r="AE24" s="445"/>
    </row>
    <row r="25" spans="2:46" ht="30.75" customHeight="1">
      <c r="B25" s="446"/>
      <c r="C25" s="211"/>
      <c r="D25" s="463">
        <f t="shared" ref="D25:D39" si="2">ROW()-24</f>
        <v>1</v>
      </c>
      <c r="E25" s="464"/>
      <c r="F25" s="465"/>
      <c r="G25" s="466"/>
      <c r="H25" s="466"/>
      <c r="I25" s="465"/>
      <c r="J25" s="467"/>
      <c r="K25" s="468"/>
      <c r="L25" s="468"/>
      <c r="M25" s="468"/>
      <c r="N25" s="750">
        <f>IFERROR(IF(Q25&gt;0,VLOOKUP(Q25,'GMP COST DATA'!$AF$8:$AG$59,2,FALSE),'Change Control Summary'!R25),"")</f>
        <v>0</v>
      </c>
      <c r="O25" s="750" t="str">
        <f t="shared" ref="O25:O39" si="3">IF(N25&gt;0,"W","")</f>
        <v/>
      </c>
      <c r="P25" s="750" t="str">
        <f>IFERROR(VLOOKUP(Q25,'GMP COST DATA'!$AF$8:$AH$59,3,FALSE),"")</f>
        <v/>
      </c>
      <c r="Q25" s="469"/>
      <c r="R25" s="752"/>
      <c r="S25" s="468"/>
      <c r="T25" s="470"/>
      <c r="U25" s="471"/>
      <c r="V25" s="472"/>
      <c r="W25" s="472"/>
      <c r="X25" s="473"/>
      <c r="Y25" s="474"/>
      <c r="Z25" s="735"/>
      <c r="AA25" s="733" t="str">
        <f>IF(Z25=AK10,U25,"")</f>
        <v/>
      </c>
      <c r="AB25" s="733"/>
      <c r="AC25" s="733"/>
      <c r="AD25" s="732"/>
      <c r="AE25" s="445"/>
      <c r="AF25" s="475">
        <f>U25+V25+W25</f>
        <v>0</v>
      </c>
      <c r="AG25" s="476"/>
      <c r="AH25" s="476"/>
      <c r="AI25" s="476" t="b">
        <f>IF((U25+V25+W25)&lt;&gt;0,IF(E25="","Error",IF(F25="","Error",IF(M25="","Error",IF(AM25="Error","Error",IF(AN25="Error","Error",IF(AO25="Error","Error",IF(AP25="Error","Error",IF(AQ25="Error","Error",IF(T25="","Error",IF(Y25="","Error")))))))))))</f>
        <v>0</v>
      </c>
      <c r="AJ25" s="476"/>
      <c r="AK25" s="476"/>
      <c r="AL25" s="476"/>
      <c r="AM25" s="476" t="str">
        <f t="shared" ref="AM25:AM39" si="4">IFERROR(IF((U25+V25+W25)&lt;&gt;0,IF(VLOOKUP(N25,$E$90:$L$178,1,FALSE)="#N/A","Error",""),"ok"),"Error")</f>
        <v>ok</v>
      </c>
      <c r="AN25" s="476" t="str">
        <f t="shared" ref="AN25:AN39" si="5">IFERROR(IF((U25+V25+W25)&lt;&gt;0,IF(VLOOKUP(O25,$E$84:$L$87,1,FALSE)="#N/A","Error",""),"ok"),"Error")</f>
        <v>ok</v>
      </c>
      <c r="AO25" s="476" t="str">
        <f t="shared" ref="AO25:AO39" si="6">IFERROR(IF((U25+V25+W25)&lt;&gt;0,IF(VLOOKUP(P25,$E$69:$L$80,1,FALSE)="#N/A","Error",""),"ok"),"Error")</f>
        <v>ok</v>
      </c>
      <c r="AP25" s="476" t="str">
        <f>IFERROR(IF((U25+V25+W25)&lt;&gt;0,IF(VLOOKUP(S25,$AJ$8:$AJ$10,1,FALSE)="#N/A","Error",""),"ok"),"Error")</f>
        <v>ok</v>
      </c>
      <c r="AQ25" s="476" t="str">
        <f>IFERROR(IF((U25+V25+W25)&lt;&gt;0,IF(VLOOKUP(Z25,$AK$8:$AK$11,1,FALSE)="#N/A","Error",""),"ok"),"")</f>
        <v>ok</v>
      </c>
      <c r="AR25" s="476"/>
      <c r="AS25" s="476"/>
      <c r="AT25" s="476"/>
    </row>
    <row r="26" spans="2:46" ht="30.75" customHeight="1">
      <c r="B26" s="446"/>
      <c r="C26" s="211"/>
      <c r="D26" s="463">
        <f t="shared" si="2"/>
        <v>2</v>
      </c>
      <c r="E26" s="464"/>
      <c r="F26" s="465"/>
      <c r="G26" s="466"/>
      <c r="H26" s="466"/>
      <c r="I26" s="465"/>
      <c r="J26" s="467"/>
      <c r="K26" s="468"/>
      <c r="L26" s="468"/>
      <c r="M26" s="468"/>
      <c r="N26" s="750">
        <f>IFERROR(IF(Q26&gt;0,VLOOKUP(Q26,'GMP COST DATA'!$AF$8:$AG$59,2,FALSE),'Change Control Summary'!R26),"")</f>
        <v>0</v>
      </c>
      <c r="O26" s="750" t="str">
        <f t="shared" si="3"/>
        <v/>
      </c>
      <c r="P26" s="750" t="str">
        <f>IFERROR(VLOOKUP(Q26,'GMP COST DATA'!$AF$8:$AH$59,3,FALSE),"")</f>
        <v/>
      </c>
      <c r="Q26" s="469"/>
      <c r="R26" s="752"/>
      <c r="S26" s="468"/>
      <c r="T26" s="470"/>
      <c r="U26" s="471"/>
      <c r="V26" s="472"/>
      <c r="W26" s="472"/>
      <c r="X26" s="473"/>
      <c r="Y26" s="474"/>
      <c r="Z26" s="735"/>
      <c r="AA26" s="733">
        <f>IF(Z26=AK11,U26,"")</f>
        <v>0</v>
      </c>
      <c r="AB26" s="733"/>
      <c r="AC26" s="733"/>
      <c r="AD26" s="732"/>
      <c r="AE26" s="445"/>
      <c r="AF26" s="475">
        <f t="shared" ref="AF26:AF29" si="7">U26+V26+W26</f>
        <v>0</v>
      </c>
      <c r="AG26" s="476" t="s">
        <v>949</v>
      </c>
      <c r="AH26" s="476"/>
      <c r="AI26" s="476" t="b">
        <f t="shared" ref="AI26:AI29" si="8">IF((U26+V26+W26)&lt;&gt;0,IF(E26="","Error",IF(F26="","Error",IF(M26="","Error",IF(AM26="Error","Error",IF(AN26="Error","Error",IF(AO26="Error","Error",IF(AP26="Error","Error",IF(AQ26="Error","Error",IF(T26="","Error",IF(Y26="","Error")))))))))))</f>
        <v>0</v>
      </c>
      <c r="AJ26" s="476"/>
      <c r="AK26" s="476"/>
      <c r="AL26" s="476"/>
      <c r="AM26" s="476" t="str">
        <f t="shared" si="4"/>
        <v>ok</v>
      </c>
      <c r="AN26" s="476" t="str">
        <f t="shared" si="5"/>
        <v>ok</v>
      </c>
      <c r="AO26" s="476" t="str">
        <f t="shared" si="6"/>
        <v>ok</v>
      </c>
      <c r="AP26" s="476" t="str">
        <f t="shared" ref="AP26:AP29" si="9">IFERROR(IF((U26+V26+W26)&lt;&gt;0,IF(VLOOKUP(S26,$AJ$8:$AJ$10,1,FALSE)="#N/A","Error",""),"ok"),"Error")</f>
        <v>ok</v>
      </c>
      <c r="AQ26" s="476" t="str">
        <f t="shared" ref="AQ26:AQ29" si="10">IFERROR(IF((U26+V26+W26)&lt;&gt;0,IF(VLOOKUP(Z26,$AK$8:$AK$11,1,FALSE)="#N/A","Error",""),"ok"),"")</f>
        <v>ok</v>
      </c>
      <c r="AR26" s="476"/>
      <c r="AS26" s="476"/>
      <c r="AT26" s="476"/>
    </row>
    <row r="27" spans="2:46" ht="30.75" customHeight="1">
      <c r="B27" s="446"/>
      <c r="C27" s="211"/>
      <c r="D27" s="463">
        <f t="shared" si="2"/>
        <v>3</v>
      </c>
      <c r="E27" s="464"/>
      <c r="F27" s="465"/>
      <c r="G27" s="466"/>
      <c r="H27" s="466"/>
      <c r="I27" s="465"/>
      <c r="J27" s="467"/>
      <c r="K27" s="468"/>
      <c r="L27" s="468"/>
      <c r="M27" s="468"/>
      <c r="N27" s="750">
        <f>IFERROR(IF(Q27&gt;0,VLOOKUP(Q27,'GMP COST DATA'!$AF$8:$AG$59,2,FALSE),'Change Control Summary'!R27),"")</f>
        <v>0</v>
      </c>
      <c r="O27" s="750" t="str">
        <f t="shared" ref="O27" si="11">IF(N27&gt;0,"W","")</f>
        <v/>
      </c>
      <c r="P27" s="750" t="str">
        <f>IFERROR(VLOOKUP(Q27,'GMP COST DATA'!$AF$8:$AH$59,3,FALSE),"")</f>
        <v/>
      </c>
      <c r="Q27" s="469"/>
      <c r="R27" s="752"/>
      <c r="S27" s="468"/>
      <c r="T27" s="470"/>
      <c r="U27" s="471"/>
      <c r="V27" s="472"/>
      <c r="W27" s="472"/>
      <c r="X27" s="473"/>
      <c r="Y27" s="474"/>
      <c r="Z27" s="735"/>
      <c r="AA27" s="733">
        <f>IF(Z27=AK12,U27,"")</f>
        <v>0</v>
      </c>
      <c r="AB27" s="733"/>
      <c r="AC27" s="733"/>
      <c r="AD27" s="732"/>
      <c r="AE27" s="445"/>
      <c r="AF27" s="475">
        <f t="shared" ref="AF27" si="12">U27+V27+W27</f>
        <v>0</v>
      </c>
      <c r="AG27" s="476" t="s">
        <v>949</v>
      </c>
      <c r="AH27" s="476"/>
      <c r="AI27" s="476" t="b">
        <f t="shared" ref="AI27" si="13">IF((U27+V27+W27)&lt;&gt;0,IF(E27="","Error",IF(F27="","Error",IF(M27="","Error",IF(AM27="Error","Error",IF(AN27="Error","Error",IF(AO27="Error","Error",IF(AP27="Error","Error",IF(AQ27="Error","Error",IF(T27="","Error",IF(Y27="","Error")))))))))))</f>
        <v>0</v>
      </c>
      <c r="AJ27" s="476"/>
      <c r="AK27" s="476"/>
      <c r="AL27" s="476"/>
      <c r="AM27" s="476" t="str">
        <f t="shared" si="4"/>
        <v>ok</v>
      </c>
      <c r="AN27" s="476" t="str">
        <f t="shared" si="5"/>
        <v>ok</v>
      </c>
      <c r="AO27" s="476" t="str">
        <f t="shared" si="6"/>
        <v>ok</v>
      </c>
      <c r="AP27" s="476" t="str">
        <f t="shared" ref="AP27" si="14">IFERROR(IF((U27+V27+W27)&lt;&gt;0,IF(VLOOKUP(S27,$AJ$8:$AJ$10,1,FALSE)="#N/A","Error",""),"ok"),"Error")</f>
        <v>ok</v>
      </c>
      <c r="AQ27" s="476" t="str">
        <f t="shared" ref="AQ27" si="15">IFERROR(IF((U27+V27+W27)&lt;&gt;0,IF(VLOOKUP(Z27,$AK$8:$AK$11,1,FALSE)="#N/A","Error",""),"ok"),"")</f>
        <v>ok</v>
      </c>
      <c r="AR27" s="476"/>
      <c r="AS27" s="476"/>
      <c r="AT27" s="476"/>
    </row>
    <row r="28" spans="2:46" ht="30.75" customHeight="1">
      <c r="B28" s="446"/>
      <c r="C28" s="211"/>
      <c r="D28" s="463">
        <f t="shared" si="2"/>
        <v>4</v>
      </c>
      <c r="E28" s="464"/>
      <c r="F28" s="465"/>
      <c r="G28" s="466"/>
      <c r="H28" s="466"/>
      <c r="I28" s="465"/>
      <c r="J28" s="467"/>
      <c r="K28" s="468"/>
      <c r="L28" s="468"/>
      <c r="M28" s="468"/>
      <c r="N28" s="750">
        <f>IFERROR(IF(Q28&gt;0,VLOOKUP(Q28,'GMP COST DATA'!$AF$8:$AG$59,2,FALSE),'Change Control Summary'!R28),"")</f>
        <v>0</v>
      </c>
      <c r="O28" s="750" t="str">
        <f t="shared" si="3"/>
        <v/>
      </c>
      <c r="P28" s="750" t="str">
        <f>IFERROR(VLOOKUP(Q28,'GMP COST DATA'!$AF$8:$AH$59,3,FALSE),"")</f>
        <v/>
      </c>
      <c r="Q28" s="469"/>
      <c r="R28" s="752"/>
      <c r="S28" s="468"/>
      <c r="T28" s="470"/>
      <c r="U28" s="471"/>
      <c r="V28" s="472"/>
      <c r="W28" s="472"/>
      <c r="X28" s="473"/>
      <c r="Y28" s="474"/>
      <c r="Z28" s="735"/>
      <c r="AA28" s="733">
        <f>IF(Z28=AK13,U28,"")</f>
        <v>0</v>
      </c>
      <c r="AB28" s="733"/>
      <c r="AC28" s="733"/>
      <c r="AD28" s="732"/>
      <c r="AE28" s="445"/>
      <c r="AF28" s="475">
        <f t="shared" si="7"/>
        <v>0</v>
      </c>
      <c r="AG28" s="476" t="s">
        <v>949</v>
      </c>
      <c r="AH28" s="476"/>
      <c r="AI28" s="476" t="b">
        <f t="shared" si="8"/>
        <v>0</v>
      </c>
      <c r="AJ28" s="476"/>
      <c r="AK28" s="476"/>
      <c r="AL28" s="476"/>
      <c r="AM28" s="476" t="str">
        <f t="shared" si="4"/>
        <v>ok</v>
      </c>
      <c r="AN28" s="476" t="str">
        <f t="shared" si="5"/>
        <v>ok</v>
      </c>
      <c r="AO28" s="476" t="str">
        <f t="shared" si="6"/>
        <v>ok</v>
      </c>
      <c r="AP28" s="476" t="str">
        <f t="shared" si="9"/>
        <v>ok</v>
      </c>
      <c r="AQ28" s="476" t="str">
        <f t="shared" si="10"/>
        <v>ok</v>
      </c>
      <c r="AR28" s="476"/>
      <c r="AS28" s="476"/>
      <c r="AT28" s="476"/>
    </row>
    <row r="29" spans="2:46" ht="30.75" customHeight="1">
      <c r="B29" s="446"/>
      <c r="C29" s="211"/>
      <c r="D29" s="463">
        <f t="shared" si="2"/>
        <v>5</v>
      </c>
      <c r="E29" s="464"/>
      <c r="F29" s="465"/>
      <c r="G29" s="466"/>
      <c r="H29" s="466"/>
      <c r="I29" s="465"/>
      <c r="J29" s="467"/>
      <c r="K29" s="468"/>
      <c r="L29" s="468"/>
      <c r="M29" s="468"/>
      <c r="N29" s="750">
        <f>IFERROR(IF(Q29&gt;0,VLOOKUP(Q29,'GMP COST DATA'!$AF$8:$AG$59,2,FALSE),'Change Control Summary'!R29),"")</f>
        <v>0</v>
      </c>
      <c r="O29" s="750" t="str">
        <f t="shared" si="3"/>
        <v/>
      </c>
      <c r="P29" s="750" t="str">
        <f>IFERROR(VLOOKUP(Q29,'GMP COST DATA'!$AF$8:$AH$59,3,FALSE),"")</f>
        <v/>
      </c>
      <c r="Q29" s="469"/>
      <c r="R29" s="752"/>
      <c r="S29" s="468"/>
      <c r="T29" s="470"/>
      <c r="U29" s="471"/>
      <c r="V29" s="472"/>
      <c r="W29" s="472"/>
      <c r="X29" s="473"/>
      <c r="Y29" s="474"/>
      <c r="Z29" s="735"/>
      <c r="AA29" s="733"/>
      <c r="AB29" s="733"/>
      <c r="AC29" s="733"/>
      <c r="AD29" s="732"/>
      <c r="AE29" s="445"/>
      <c r="AF29" s="475">
        <f t="shared" si="7"/>
        <v>0</v>
      </c>
      <c r="AG29" s="476" t="s">
        <v>949</v>
      </c>
      <c r="AH29" s="476"/>
      <c r="AI29" s="476" t="b">
        <f t="shared" si="8"/>
        <v>0</v>
      </c>
      <c r="AJ29" s="476"/>
      <c r="AK29" s="476"/>
      <c r="AL29" s="476"/>
      <c r="AM29" s="476" t="str">
        <f t="shared" si="4"/>
        <v>ok</v>
      </c>
      <c r="AN29" s="476" t="str">
        <f t="shared" si="5"/>
        <v>ok</v>
      </c>
      <c r="AO29" s="476" t="str">
        <f t="shared" si="6"/>
        <v>ok</v>
      </c>
      <c r="AP29" s="476" t="str">
        <f t="shared" si="9"/>
        <v>ok</v>
      </c>
      <c r="AQ29" s="476" t="str">
        <f t="shared" si="10"/>
        <v>ok</v>
      </c>
      <c r="AR29" s="476"/>
      <c r="AS29" s="476"/>
      <c r="AT29" s="476"/>
    </row>
    <row r="30" spans="2:46" ht="30.75" customHeight="1">
      <c r="B30" s="446"/>
      <c r="C30" s="211"/>
      <c r="D30" s="463">
        <f t="shared" si="2"/>
        <v>6</v>
      </c>
      <c r="E30" s="464"/>
      <c r="F30" s="465"/>
      <c r="G30" s="466"/>
      <c r="H30" s="466"/>
      <c r="I30" s="465"/>
      <c r="J30" s="467"/>
      <c r="K30" s="468"/>
      <c r="L30" s="468"/>
      <c r="M30" s="468"/>
      <c r="N30" s="750">
        <f>IFERROR(IF(Q30&gt;0,VLOOKUP(Q30,'GMP COST DATA'!$AF$8:$AG$59,2,FALSE),'Change Control Summary'!R30),"")</f>
        <v>0</v>
      </c>
      <c r="O30" s="750" t="str">
        <f t="shared" si="3"/>
        <v/>
      </c>
      <c r="P30" s="750" t="str">
        <f>IFERROR(VLOOKUP(Q30,'GMP COST DATA'!$AF$8:$AH$59,3,FALSE),"")</f>
        <v/>
      </c>
      <c r="Q30" s="469"/>
      <c r="R30" s="752"/>
      <c r="S30" s="468"/>
      <c r="T30" s="470"/>
      <c r="U30" s="471"/>
      <c r="V30" s="472"/>
      <c r="W30" s="472"/>
      <c r="X30" s="473"/>
      <c r="Y30" s="474"/>
      <c r="Z30" s="735"/>
      <c r="AA30" s="733"/>
      <c r="AB30" s="733"/>
      <c r="AC30" s="733"/>
      <c r="AD30" s="732"/>
      <c r="AE30" s="445"/>
      <c r="AF30" s="475">
        <f t="shared" ref="AF30" si="16">U30+V30+W30</f>
        <v>0</v>
      </c>
      <c r="AG30" s="476" t="s">
        <v>949</v>
      </c>
      <c r="AH30" s="476"/>
      <c r="AI30" s="476" t="b">
        <f t="shared" ref="AI30" si="17">IF((U30+V30+W30)&lt;&gt;0,IF(E30="","Error",IF(F30="","Error",IF(M30="","Error",IF(AM30="Error","Error",IF(AN30="Error","Error",IF(AO30="Error","Error",IF(AP30="Error","Error",IF(AQ30="Error","Error",IF(T30="","Error",IF(Y30="","Error")))))))))))</f>
        <v>0</v>
      </c>
      <c r="AJ30" s="476"/>
      <c r="AK30" s="476"/>
      <c r="AL30" s="476"/>
      <c r="AM30" s="476" t="str">
        <f t="shared" si="4"/>
        <v>ok</v>
      </c>
      <c r="AN30" s="476" t="str">
        <f t="shared" si="5"/>
        <v>ok</v>
      </c>
      <c r="AO30" s="476" t="str">
        <f t="shared" si="6"/>
        <v>ok</v>
      </c>
      <c r="AP30" s="476" t="str">
        <f t="shared" ref="AP30" si="18">IFERROR(IF((U30+V30+W30)&lt;&gt;0,IF(VLOOKUP(S30,$AJ$8:$AJ$10,1,FALSE)="#N/A","Error",""),"ok"),"Error")</f>
        <v>ok</v>
      </c>
      <c r="AQ30" s="476" t="str">
        <f t="shared" ref="AQ30" si="19">IFERROR(IF((U30+V30+W30)&lt;&gt;0,IF(VLOOKUP(Z30,$AK$8:$AK$11,1,FALSE)="#N/A","Error",""),"ok"),"")</f>
        <v>ok</v>
      </c>
      <c r="AR30" s="476"/>
      <c r="AS30" s="476"/>
      <c r="AT30" s="476"/>
    </row>
    <row r="31" spans="2:46" ht="30.75" customHeight="1">
      <c r="B31" s="446"/>
      <c r="C31" s="211"/>
      <c r="D31" s="463">
        <f t="shared" si="2"/>
        <v>7</v>
      </c>
      <c r="E31" s="464"/>
      <c r="F31" s="465"/>
      <c r="G31" s="466"/>
      <c r="H31" s="466"/>
      <c r="I31" s="465"/>
      <c r="J31" s="467"/>
      <c r="K31" s="468"/>
      <c r="L31" s="468"/>
      <c r="M31" s="468"/>
      <c r="N31" s="750">
        <f>IFERROR(IF(Q31&gt;0,VLOOKUP(Q31,'GMP COST DATA'!$AF$8:$AG$59,2,FALSE),'Change Control Summary'!R31),"")</f>
        <v>0</v>
      </c>
      <c r="O31" s="750" t="str">
        <f t="shared" si="3"/>
        <v/>
      </c>
      <c r="P31" s="750" t="str">
        <f>IFERROR(VLOOKUP(Q31,'GMP COST DATA'!$AF$8:$AH$59,3,FALSE),"")</f>
        <v/>
      </c>
      <c r="Q31" s="469"/>
      <c r="R31" s="752"/>
      <c r="S31" s="468"/>
      <c r="T31" s="470"/>
      <c r="U31" s="471"/>
      <c r="V31" s="472"/>
      <c r="W31" s="472"/>
      <c r="X31" s="473"/>
      <c r="Y31" s="474"/>
      <c r="Z31" s="735"/>
      <c r="AA31" s="733"/>
      <c r="AB31" s="733"/>
      <c r="AC31" s="733"/>
      <c r="AD31" s="732"/>
      <c r="AE31" s="445"/>
      <c r="AF31" s="475">
        <f t="shared" ref="AF31:AF39" si="20">U31+V31+W31</f>
        <v>0</v>
      </c>
      <c r="AG31" s="476" t="s">
        <v>949</v>
      </c>
      <c r="AH31" s="476"/>
      <c r="AI31" s="476" t="b">
        <f t="shared" ref="AI31:AI39" si="21">IF((U31+V31+W31)&lt;&gt;0,IF(E31="","Error",IF(F31="","Error",IF(M31="","Error",IF(AM31="Error","Error",IF(AN31="Error","Error",IF(AO31="Error","Error",IF(AP31="Error","Error",IF(AQ31="Error","Error",IF(T31="","Error",IF(Y31="","Error")))))))))))</f>
        <v>0</v>
      </c>
      <c r="AJ31" s="476"/>
      <c r="AK31" s="476"/>
      <c r="AL31" s="476"/>
      <c r="AM31" s="476" t="str">
        <f t="shared" si="4"/>
        <v>ok</v>
      </c>
      <c r="AN31" s="476" t="str">
        <f t="shared" si="5"/>
        <v>ok</v>
      </c>
      <c r="AO31" s="476" t="str">
        <f t="shared" si="6"/>
        <v>ok</v>
      </c>
      <c r="AP31" s="476" t="str">
        <f t="shared" ref="AP31:AP39" si="22">IFERROR(IF((U31+V31+W31)&lt;&gt;0,IF(VLOOKUP(S31,$AJ$8:$AJ$10,1,FALSE)="#N/A","Error",""),"ok"),"Error")</f>
        <v>ok</v>
      </c>
      <c r="AQ31" s="476" t="str">
        <f t="shared" ref="AQ31:AQ39" si="23">IFERROR(IF((U31+V31+W31)&lt;&gt;0,IF(VLOOKUP(Z31,$AK$8:$AK$11,1,FALSE)="#N/A","Error",""),"ok"),"")</f>
        <v>ok</v>
      </c>
      <c r="AR31" s="476"/>
      <c r="AS31" s="476"/>
      <c r="AT31" s="476"/>
    </row>
    <row r="32" spans="2:46" ht="30.75" customHeight="1">
      <c r="B32" s="446"/>
      <c r="C32" s="211"/>
      <c r="D32" s="463">
        <f t="shared" si="2"/>
        <v>8</v>
      </c>
      <c r="E32" s="464"/>
      <c r="F32" s="465"/>
      <c r="G32" s="466"/>
      <c r="H32" s="466"/>
      <c r="I32" s="465"/>
      <c r="J32" s="467"/>
      <c r="K32" s="468"/>
      <c r="L32" s="468"/>
      <c r="M32" s="468"/>
      <c r="N32" s="750">
        <f>IFERROR(IF(Q32&gt;0,VLOOKUP(Q32,'GMP COST DATA'!$AF$8:$AG$59,2,FALSE),'Change Control Summary'!R32),"")</f>
        <v>0</v>
      </c>
      <c r="O32" s="750" t="str">
        <f t="shared" si="3"/>
        <v/>
      </c>
      <c r="P32" s="750" t="str">
        <f>IFERROR(VLOOKUP(Q32,'GMP COST DATA'!$AF$8:$AH$59,3,FALSE),"")</f>
        <v/>
      </c>
      <c r="Q32" s="469"/>
      <c r="R32" s="752"/>
      <c r="S32" s="468"/>
      <c r="T32" s="470"/>
      <c r="U32" s="471"/>
      <c r="V32" s="472"/>
      <c r="W32" s="472"/>
      <c r="X32" s="473"/>
      <c r="Y32" s="474"/>
      <c r="Z32" s="735"/>
      <c r="AA32" s="733"/>
      <c r="AB32" s="733"/>
      <c r="AC32" s="733"/>
      <c r="AD32" s="732"/>
      <c r="AE32" s="445"/>
      <c r="AF32" s="475">
        <f t="shared" ref="AF32" si="24">U32+V32+W32</f>
        <v>0</v>
      </c>
      <c r="AG32" s="476" t="s">
        <v>949</v>
      </c>
      <c r="AH32" s="476"/>
      <c r="AI32" s="476" t="b">
        <f t="shared" ref="AI32" si="25">IF((U32+V32+W32)&lt;&gt;0,IF(E32="","Error",IF(F32="","Error",IF(M32="","Error",IF(AM32="Error","Error",IF(AN32="Error","Error",IF(AO32="Error","Error",IF(AP32="Error","Error",IF(AQ32="Error","Error",IF(T32="","Error",IF(Y32="","Error")))))))))))</f>
        <v>0</v>
      </c>
      <c r="AJ32" s="476"/>
      <c r="AK32" s="476"/>
      <c r="AL32" s="476"/>
      <c r="AM32" s="476" t="str">
        <f t="shared" si="4"/>
        <v>ok</v>
      </c>
      <c r="AN32" s="476" t="str">
        <f t="shared" si="5"/>
        <v>ok</v>
      </c>
      <c r="AO32" s="476" t="str">
        <f t="shared" si="6"/>
        <v>ok</v>
      </c>
      <c r="AP32" s="476" t="str">
        <f t="shared" ref="AP32" si="26">IFERROR(IF((U32+V32+W32)&lt;&gt;0,IF(VLOOKUP(S32,$AJ$8:$AJ$10,1,FALSE)="#N/A","Error",""),"ok"),"Error")</f>
        <v>ok</v>
      </c>
      <c r="AQ32" s="476" t="str">
        <f t="shared" ref="AQ32" si="27">IFERROR(IF((U32+V32+W32)&lt;&gt;0,IF(VLOOKUP(Z32,$AK$8:$AK$11,1,FALSE)="#N/A","Error",""),"ok"),"")</f>
        <v>ok</v>
      </c>
      <c r="AR32" s="476"/>
      <c r="AS32" s="476"/>
      <c r="AT32" s="476"/>
    </row>
    <row r="33" spans="2:46" ht="30.75" customHeight="1">
      <c r="B33" s="446"/>
      <c r="C33" s="211"/>
      <c r="D33" s="463">
        <f t="shared" si="2"/>
        <v>9</v>
      </c>
      <c r="E33" s="464"/>
      <c r="F33" s="465"/>
      <c r="G33" s="466"/>
      <c r="H33" s="466"/>
      <c r="I33" s="465"/>
      <c r="J33" s="467"/>
      <c r="K33" s="468"/>
      <c r="L33" s="468"/>
      <c r="M33" s="468"/>
      <c r="N33" s="750">
        <f>IFERROR(IF(Q33&gt;0,VLOOKUP(Q33,'GMP COST DATA'!$AF$8:$AG$59,2,FALSE),'Change Control Summary'!R33),"")</f>
        <v>0</v>
      </c>
      <c r="O33" s="750" t="str">
        <f t="shared" si="3"/>
        <v/>
      </c>
      <c r="P33" s="750" t="str">
        <f>IFERROR(VLOOKUP(Q33,'GMP COST DATA'!$AF$8:$AH$59,3,FALSE),"")</f>
        <v/>
      </c>
      <c r="Q33" s="469"/>
      <c r="R33" s="752"/>
      <c r="S33" s="468"/>
      <c r="T33" s="470"/>
      <c r="U33" s="471"/>
      <c r="V33" s="472"/>
      <c r="W33" s="472"/>
      <c r="X33" s="473"/>
      <c r="Y33" s="474"/>
      <c r="Z33" s="735"/>
      <c r="AA33" s="733"/>
      <c r="AB33" s="733"/>
      <c r="AC33" s="733"/>
      <c r="AD33" s="732"/>
      <c r="AE33" s="445"/>
      <c r="AF33" s="475">
        <f t="shared" ref="AF33" si="28">U33+V33+W33</f>
        <v>0</v>
      </c>
      <c r="AG33" s="476" t="s">
        <v>949</v>
      </c>
      <c r="AH33" s="476"/>
      <c r="AI33" s="476" t="b">
        <f t="shared" ref="AI33" si="29">IF((U33+V33+W33)&lt;&gt;0,IF(E33="","Error",IF(F33="","Error",IF(M33="","Error",IF(AM33="Error","Error",IF(AN33="Error","Error",IF(AO33="Error","Error",IF(AP33="Error","Error",IF(AQ33="Error","Error",IF(T33="","Error",IF(Y33="","Error")))))))))))</f>
        <v>0</v>
      </c>
      <c r="AJ33" s="476"/>
      <c r="AK33" s="476"/>
      <c r="AL33" s="476"/>
      <c r="AM33" s="476" t="str">
        <f t="shared" si="4"/>
        <v>ok</v>
      </c>
      <c r="AN33" s="476" t="str">
        <f t="shared" si="5"/>
        <v>ok</v>
      </c>
      <c r="AO33" s="476" t="str">
        <f t="shared" si="6"/>
        <v>ok</v>
      </c>
      <c r="AP33" s="476" t="str">
        <f t="shared" ref="AP33" si="30">IFERROR(IF((U33+V33+W33)&lt;&gt;0,IF(VLOOKUP(S33,$AJ$8:$AJ$10,1,FALSE)="#N/A","Error",""),"ok"),"Error")</f>
        <v>ok</v>
      </c>
      <c r="AQ33" s="476" t="str">
        <f t="shared" ref="AQ33" si="31">IFERROR(IF((U33+V33+W33)&lt;&gt;0,IF(VLOOKUP(Z33,$AK$8:$AK$11,1,FALSE)="#N/A","Error",""),"ok"),"")</f>
        <v>ok</v>
      </c>
      <c r="AR33" s="476"/>
      <c r="AS33" s="476"/>
      <c r="AT33" s="476"/>
    </row>
    <row r="34" spans="2:46" ht="30.75" customHeight="1">
      <c r="B34" s="446"/>
      <c r="C34" s="211"/>
      <c r="D34" s="463">
        <f t="shared" si="2"/>
        <v>10</v>
      </c>
      <c r="E34" s="464"/>
      <c r="F34" s="465"/>
      <c r="G34" s="466"/>
      <c r="H34" s="466"/>
      <c r="I34" s="465"/>
      <c r="J34" s="467"/>
      <c r="K34" s="468"/>
      <c r="L34" s="468"/>
      <c r="M34" s="468"/>
      <c r="N34" s="750">
        <f>IFERROR(IF(Q34&gt;0,VLOOKUP(Q34,'GMP COST DATA'!$AF$8:$AG$59,2,FALSE),'Change Control Summary'!R34),"")</f>
        <v>0</v>
      </c>
      <c r="O34" s="750" t="str">
        <f t="shared" si="3"/>
        <v/>
      </c>
      <c r="P34" s="750" t="str">
        <f>IFERROR(VLOOKUP(Q34,'GMP COST DATA'!$AF$8:$AH$59,3,FALSE),"")</f>
        <v/>
      </c>
      <c r="Q34" s="469"/>
      <c r="R34" s="752"/>
      <c r="S34" s="468"/>
      <c r="T34" s="470"/>
      <c r="U34" s="471"/>
      <c r="V34" s="472"/>
      <c r="W34" s="472"/>
      <c r="X34" s="473"/>
      <c r="Y34" s="474"/>
      <c r="Z34" s="735"/>
      <c r="AA34" s="733"/>
      <c r="AB34" s="733"/>
      <c r="AC34" s="733"/>
      <c r="AD34" s="732"/>
      <c r="AE34" s="445"/>
      <c r="AF34" s="475">
        <f t="shared" si="20"/>
        <v>0</v>
      </c>
      <c r="AG34" s="476" t="s">
        <v>949</v>
      </c>
      <c r="AH34" s="476"/>
      <c r="AI34" s="476" t="b">
        <f t="shared" si="21"/>
        <v>0</v>
      </c>
      <c r="AJ34" s="476"/>
      <c r="AK34" s="476"/>
      <c r="AL34" s="476"/>
      <c r="AM34" s="476" t="str">
        <f t="shared" si="4"/>
        <v>ok</v>
      </c>
      <c r="AN34" s="476" t="str">
        <f t="shared" si="5"/>
        <v>ok</v>
      </c>
      <c r="AO34" s="476" t="str">
        <f t="shared" si="6"/>
        <v>ok</v>
      </c>
      <c r="AP34" s="476" t="str">
        <f t="shared" si="22"/>
        <v>ok</v>
      </c>
      <c r="AQ34" s="476" t="str">
        <f t="shared" si="23"/>
        <v>ok</v>
      </c>
      <c r="AR34" s="476"/>
      <c r="AS34" s="476"/>
      <c r="AT34" s="476"/>
    </row>
    <row r="35" spans="2:46" ht="30.75" customHeight="1">
      <c r="B35" s="446"/>
      <c r="C35" s="211"/>
      <c r="D35" s="463">
        <f t="shared" si="2"/>
        <v>11</v>
      </c>
      <c r="E35" s="464"/>
      <c r="F35" s="465"/>
      <c r="G35" s="466"/>
      <c r="H35" s="466"/>
      <c r="I35" s="465"/>
      <c r="J35" s="467"/>
      <c r="K35" s="468"/>
      <c r="L35" s="468"/>
      <c r="M35" s="468"/>
      <c r="N35" s="750">
        <f>IFERROR(IF(Q35&gt;0,VLOOKUP(Q35,'GMP COST DATA'!$AF$8:$AG$59,2,FALSE),'Change Control Summary'!R35),"")</f>
        <v>0</v>
      </c>
      <c r="O35" s="750" t="str">
        <f t="shared" si="3"/>
        <v/>
      </c>
      <c r="P35" s="750" t="str">
        <f>IFERROR(VLOOKUP(Q35,'GMP COST DATA'!$AF$8:$AH$59,3,FALSE),"")</f>
        <v/>
      </c>
      <c r="Q35" s="469"/>
      <c r="R35" s="752"/>
      <c r="S35" s="468"/>
      <c r="T35" s="470"/>
      <c r="U35" s="471"/>
      <c r="V35" s="472"/>
      <c r="W35" s="472"/>
      <c r="X35" s="473"/>
      <c r="Y35" s="474"/>
      <c r="Z35" s="735"/>
      <c r="AA35" s="733"/>
      <c r="AB35" s="733"/>
      <c r="AC35" s="733"/>
      <c r="AD35" s="732"/>
      <c r="AE35" s="445"/>
      <c r="AF35" s="475">
        <f t="shared" si="20"/>
        <v>0</v>
      </c>
      <c r="AG35" s="476" t="s">
        <v>949</v>
      </c>
      <c r="AH35" s="476"/>
      <c r="AI35" s="476" t="b">
        <f t="shared" si="21"/>
        <v>0</v>
      </c>
      <c r="AJ35" s="476"/>
      <c r="AK35" s="476"/>
      <c r="AL35" s="476"/>
      <c r="AM35" s="476" t="str">
        <f t="shared" si="4"/>
        <v>ok</v>
      </c>
      <c r="AN35" s="476" t="str">
        <f t="shared" si="5"/>
        <v>ok</v>
      </c>
      <c r="AO35" s="476" t="str">
        <f t="shared" si="6"/>
        <v>ok</v>
      </c>
      <c r="AP35" s="476" t="str">
        <f t="shared" si="22"/>
        <v>ok</v>
      </c>
      <c r="AQ35" s="476" t="str">
        <f t="shared" si="23"/>
        <v>ok</v>
      </c>
      <c r="AR35" s="476"/>
      <c r="AS35" s="476"/>
      <c r="AT35" s="476"/>
    </row>
    <row r="36" spans="2:46" ht="30.75" customHeight="1">
      <c r="B36" s="446"/>
      <c r="C36" s="211"/>
      <c r="D36" s="463">
        <f t="shared" si="2"/>
        <v>12</v>
      </c>
      <c r="E36" s="464"/>
      <c r="F36" s="465"/>
      <c r="G36" s="466"/>
      <c r="H36" s="466"/>
      <c r="I36" s="465">
        <f t="shared" ref="I36:I38" si="32">F36</f>
        <v>0</v>
      </c>
      <c r="J36" s="467">
        <f t="shared" ref="J36:L38" si="33">I36</f>
        <v>0</v>
      </c>
      <c r="K36" s="468">
        <f t="shared" si="33"/>
        <v>0</v>
      </c>
      <c r="L36" s="468">
        <f t="shared" si="33"/>
        <v>0</v>
      </c>
      <c r="M36" s="468"/>
      <c r="N36" s="750">
        <f>IFERROR(IF(Q36&gt;0,VLOOKUP(Q36,'GMP COST DATA'!$AF$8:$AG$59,2,FALSE),'Change Control Summary'!R36),"")</f>
        <v>0</v>
      </c>
      <c r="O36" s="750" t="str">
        <f t="shared" si="3"/>
        <v/>
      </c>
      <c r="P36" s="750" t="str">
        <f>IFERROR(VLOOKUP(Q36,'GMP COST DATA'!$AF$8:$AH$59,3,FALSE),"")</f>
        <v/>
      </c>
      <c r="Q36" s="469"/>
      <c r="R36" s="752"/>
      <c r="S36" s="468"/>
      <c r="T36" s="470"/>
      <c r="U36" s="471"/>
      <c r="V36" s="472"/>
      <c r="W36" s="472"/>
      <c r="X36" s="473"/>
      <c r="Y36" s="474"/>
      <c r="Z36" s="735"/>
      <c r="AA36" s="733">
        <f>IF(Z36=AK16,U36,"")</f>
        <v>0</v>
      </c>
      <c r="AB36" s="733"/>
      <c r="AC36" s="733"/>
      <c r="AD36" s="732"/>
      <c r="AE36" s="445"/>
      <c r="AF36" s="475">
        <f t="shared" si="20"/>
        <v>0</v>
      </c>
      <c r="AG36" s="476" t="s">
        <v>949</v>
      </c>
      <c r="AH36" s="476"/>
      <c r="AI36" s="476" t="b">
        <f t="shared" si="21"/>
        <v>0</v>
      </c>
      <c r="AJ36" s="476"/>
      <c r="AK36" s="476"/>
      <c r="AL36" s="476"/>
      <c r="AM36" s="476" t="str">
        <f t="shared" si="4"/>
        <v>ok</v>
      </c>
      <c r="AN36" s="476" t="str">
        <f t="shared" si="5"/>
        <v>ok</v>
      </c>
      <c r="AO36" s="476" t="str">
        <f t="shared" si="6"/>
        <v>ok</v>
      </c>
      <c r="AP36" s="476" t="str">
        <f t="shared" si="22"/>
        <v>ok</v>
      </c>
      <c r="AQ36" s="476" t="str">
        <f t="shared" si="23"/>
        <v>ok</v>
      </c>
      <c r="AR36" s="476"/>
      <c r="AS36" s="476"/>
      <c r="AT36" s="476"/>
    </row>
    <row r="37" spans="2:46" ht="30.75" customHeight="1">
      <c r="B37" s="446"/>
      <c r="C37" s="211"/>
      <c r="D37" s="463">
        <f t="shared" si="2"/>
        <v>13</v>
      </c>
      <c r="E37" s="464"/>
      <c r="F37" s="465"/>
      <c r="G37" s="466"/>
      <c r="H37" s="466"/>
      <c r="I37" s="465">
        <f t="shared" ref="I37" si="34">F37</f>
        <v>0</v>
      </c>
      <c r="J37" s="467">
        <f t="shared" ref="J37" si="35">I37</f>
        <v>0</v>
      </c>
      <c r="K37" s="468">
        <f t="shared" ref="K37" si="36">J37</f>
        <v>0</v>
      </c>
      <c r="L37" s="468">
        <f t="shared" ref="L37" si="37">K37</f>
        <v>0</v>
      </c>
      <c r="M37" s="468"/>
      <c r="N37" s="750">
        <f>IFERROR(IF(Q37&gt;0,VLOOKUP(Q37,'GMP COST DATA'!$AF$8:$AG$59,2,FALSE),'Change Control Summary'!R37),"")</f>
        <v>0</v>
      </c>
      <c r="O37" s="750" t="str">
        <f t="shared" si="3"/>
        <v/>
      </c>
      <c r="P37" s="750" t="str">
        <f>IFERROR(VLOOKUP(Q37,'GMP COST DATA'!$AF$8:$AH$59,3,FALSE),"")</f>
        <v/>
      </c>
      <c r="Q37" s="469"/>
      <c r="R37" s="752"/>
      <c r="S37" s="468"/>
      <c r="T37" s="470"/>
      <c r="U37" s="471"/>
      <c r="V37" s="472"/>
      <c r="W37" s="472"/>
      <c r="X37" s="473"/>
      <c r="Y37" s="474"/>
      <c r="Z37" s="735"/>
      <c r="AA37" s="733">
        <f>IF(Z37=AK17,U37,"")</f>
        <v>0</v>
      </c>
      <c r="AB37" s="733"/>
      <c r="AC37" s="733"/>
      <c r="AD37" s="732"/>
      <c r="AE37" s="445"/>
      <c r="AF37" s="475">
        <f t="shared" si="20"/>
        <v>0</v>
      </c>
      <c r="AG37" s="476" t="s">
        <v>949</v>
      </c>
      <c r="AH37" s="476"/>
      <c r="AI37" s="476" t="b">
        <f t="shared" si="21"/>
        <v>0</v>
      </c>
      <c r="AJ37" s="476"/>
      <c r="AK37" s="476"/>
      <c r="AL37" s="476"/>
      <c r="AM37" s="476" t="str">
        <f t="shared" si="4"/>
        <v>ok</v>
      </c>
      <c r="AN37" s="476" t="str">
        <f t="shared" si="5"/>
        <v>ok</v>
      </c>
      <c r="AO37" s="476" t="str">
        <f t="shared" si="6"/>
        <v>ok</v>
      </c>
      <c r="AP37" s="476" t="str">
        <f t="shared" si="22"/>
        <v>ok</v>
      </c>
      <c r="AQ37" s="476" t="str">
        <f t="shared" si="23"/>
        <v>ok</v>
      </c>
      <c r="AR37" s="476"/>
      <c r="AS37" s="476"/>
      <c r="AT37" s="476"/>
    </row>
    <row r="38" spans="2:46" ht="30.75" customHeight="1">
      <c r="B38" s="446"/>
      <c r="C38" s="211"/>
      <c r="D38" s="463">
        <f t="shared" si="2"/>
        <v>14</v>
      </c>
      <c r="E38" s="464"/>
      <c r="F38" s="465"/>
      <c r="G38" s="466"/>
      <c r="H38" s="466"/>
      <c r="I38" s="465">
        <f t="shared" si="32"/>
        <v>0</v>
      </c>
      <c r="J38" s="467">
        <f t="shared" si="33"/>
        <v>0</v>
      </c>
      <c r="K38" s="468">
        <f t="shared" si="33"/>
        <v>0</v>
      </c>
      <c r="L38" s="468">
        <f t="shared" si="33"/>
        <v>0</v>
      </c>
      <c r="M38" s="468"/>
      <c r="N38" s="750">
        <f>IFERROR(IF(Q38&gt;0,VLOOKUP(Q38,'GMP COST DATA'!$AF$8:$AG$59,2,FALSE),'Change Control Summary'!R38),"")</f>
        <v>0</v>
      </c>
      <c r="O38" s="750" t="str">
        <f t="shared" si="3"/>
        <v/>
      </c>
      <c r="P38" s="750" t="str">
        <f>IFERROR(VLOOKUP(Q38,'GMP COST DATA'!$AF$8:$AH$59,3,FALSE),"")</f>
        <v/>
      </c>
      <c r="Q38" s="469"/>
      <c r="R38" s="752"/>
      <c r="S38" s="468"/>
      <c r="T38" s="470"/>
      <c r="U38" s="471"/>
      <c r="V38" s="472"/>
      <c r="W38" s="472"/>
      <c r="X38" s="473"/>
      <c r="Y38" s="474"/>
      <c r="Z38" s="735"/>
      <c r="AA38" s="733">
        <f>IF(Z38=AK18,U38,"")</f>
        <v>0</v>
      </c>
      <c r="AB38" s="733"/>
      <c r="AC38" s="733"/>
      <c r="AD38" s="732"/>
      <c r="AE38" s="445"/>
      <c r="AF38" s="475">
        <f t="shared" si="20"/>
        <v>0</v>
      </c>
      <c r="AG38" s="476" t="s">
        <v>949</v>
      </c>
      <c r="AH38" s="476"/>
      <c r="AI38" s="476" t="b">
        <f t="shared" si="21"/>
        <v>0</v>
      </c>
      <c r="AJ38" s="476"/>
      <c r="AK38" s="476"/>
      <c r="AL38" s="476"/>
      <c r="AM38" s="476" t="str">
        <f t="shared" si="4"/>
        <v>ok</v>
      </c>
      <c r="AN38" s="476" t="str">
        <f t="shared" si="5"/>
        <v>ok</v>
      </c>
      <c r="AO38" s="476" t="str">
        <f t="shared" si="6"/>
        <v>ok</v>
      </c>
      <c r="AP38" s="476" t="str">
        <f t="shared" si="22"/>
        <v>ok</v>
      </c>
      <c r="AQ38" s="476" t="str">
        <f t="shared" si="23"/>
        <v>ok</v>
      </c>
      <c r="AR38" s="476"/>
      <c r="AS38" s="476"/>
      <c r="AT38" s="476"/>
    </row>
    <row r="39" spans="2:46" ht="30.75" customHeight="1" thickBot="1">
      <c r="B39" s="446"/>
      <c r="C39" s="211"/>
      <c r="D39" s="477">
        <f t="shared" si="2"/>
        <v>15</v>
      </c>
      <c r="E39" s="682"/>
      <c r="F39" s="683"/>
      <c r="G39" s="684"/>
      <c r="H39" s="684"/>
      <c r="I39" s="682"/>
      <c r="J39" s="685"/>
      <c r="K39" s="686"/>
      <c r="L39" s="686"/>
      <c r="M39" s="686"/>
      <c r="N39" s="751">
        <f>IFERROR(IF(Q39&gt;0,VLOOKUP(Q39,'GMP COST DATA'!$AF$8:$AG$59,2,FALSE),'Change Control Summary'!R39),"")</f>
        <v>0</v>
      </c>
      <c r="O39" s="751" t="str">
        <f t="shared" si="3"/>
        <v/>
      </c>
      <c r="P39" s="751" t="str">
        <f>IFERROR(VLOOKUP(Q39,'GMP COST DATA'!$AF$8:$AH$59,3,FALSE),"")</f>
        <v/>
      </c>
      <c r="Q39" s="620"/>
      <c r="R39" s="753"/>
      <c r="S39" s="478"/>
      <c r="T39" s="704"/>
      <c r="U39" s="705"/>
      <c r="V39" s="706"/>
      <c r="W39" s="706"/>
      <c r="X39" s="707"/>
      <c r="Y39" s="708"/>
      <c r="Z39" s="736"/>
      <c r="AA39" s="733">
        <f>IF(Z39=AK19,U39,"")</f>
        <v>0</v>
      </c>
      <c r="AB39" s="733"/>
      <c r="AC39" s="733"/>
      <c r="AD39" s="732"/>
      <c r="AE39" s="445"/>
      <c r="AF39" s="475">
        <f t="shared" si="20"/>
        <v>0</v>
      </c>
      <c r="AG39" s="476" t="s">
        <v>949</v>
      </c>
      <c r="AH39" s="476"/>
      <c r="AI39" s="476" t="b">
        <f t="shared" si="21"/>
        <v>0</v>
      </c>
      <c r="AJ39" s="476"/>
      <c r="AK39" s="476"/>
      <c r="AL39" s="476"/>
      <c r="AM39" s="476" t="str">
        <f t="shared" si="4"/>
        <v>ok</v>
      </c>
      <c r="AN39" s="476" t="str">
        <f t="shared" si="5"/>
        <v>ok</v>
      </c>
      <c r="AO39" s="476" t="str">
        <f t="shared" si="6"/>
        <v>ok</v>
      </c>
      <c r="AP39" s="476" t="str">
        <f t="shared" si="22"/>
        <v>ok</v>
      </c>
      <c r="AQ39" s="476" t="str">
        <f t="shared" si="23"/>
        <v>ok</v>
      </c>
      <c r="AR39" s="476"/>
      <c r="AS39" s="476"/>
      <c r="AT39" s="476"/>
    </row>
    <row r="40" spans="2:46" ht="39" customHeight="1" thickBot="1">
      <c r="B40" s="446"/>
      <c r="C40" s="211"/>
      <c r="D40" s="479"/>
      <c r="E40" s="479"/>
      <c r="F40" s="479"/>
      <c r="G40" s="479"/>
      <c r="H40" s="479"/>
      <c r="I40" s="479"/>
      <c r="J40" s="480"/>
      <c r="K40" s="480"/>
      <c r="L40" s="480"/>
      <c r="M40" s="481"/>
      <c r="N40" s="481"/>
      <c r="O40" s="481"/>
      <c r="P40" s="481"/>
      <c r="Q40" s="481"/>
      <c r="R40" s="481"/>
      <c r="S40" s="481"/>
      <c r="T40" s="481"/>
      <c r="U40" s="482">
        <f>SUM(U25:U39)</f>
        <v>0</v>
      </c>
      <c r="V40" s="482">
        <f>SUM(V25:V39)</f>
        <v>0</v>
      </c>
      <c r="W40" s="482">
        <f>SUM(W25:W39)</f>
        <v>0</v>
      </c>
      <c r="X40" s="482">
        <f>SUM(X25:X39)</f>
        <v>0</v>
      </c>
      <c r="Y40" s="483"/>
      <c r="Z40" s="484"/>
      <c r="AA40" s="734">
        <f>SUM(AA25:AA39)</f>
        <v>0</v>
      </c>
      <c r="AB40" s="734"/>
      <c r="AC40" s="734"/>
      <c r="AD40" s="452"/>
      <c r="AE40" s="445"/>
      <c r="AM40" s="485"/>
    </row>
    <row r="41" spans="2:46" ht="24.75" customHeight="1" thickTop="1">
      <c r="B41" s="446"/>
      <c r="C41" s="486"/>
      <c r="D41" s="211"/>
      <c r="E41" s="211"/>
      <c r="F41" s="211"/>
      <c r="G41" s="211"/>
      <c r="H41" s="211"/>
      <c r="I41" s="211"/>
      <c r="J41" s="211"/>
      <c r="K41" s="211"/>
      <c r="L41" s="211"/>
      <c r="M41" s="211"/>
      <c r="N41" s="211"/>
      <c r="O41" s="211"/>
      <c r="P41" s="211"/>
      <c r="Q41" s="211"/>
      <c r="R41" s="211"/>
      <c r="S41" s="211"/>
      <c r="T41" s="211"/>
      <c r="U41" s="211">
        <f>'[4]GMP COST DATA'!N46</f>
        <v>0</v>
      </c>
      <c r="V41" s="211">
        <f>'[4]GMP COST DATA'!P46</f>
        <v>0</v>
      </c>
      <c r="W41" s="211"/>
      <c r="X41" s="211"/>
      <c r="Y41" s="211"/>
      <c r="Z41" s="487"/>
      <c r="AA41" s="487"/>
      <c r="AB41" s="487"/>
      <c r="AC41" s="487"/>
      <c r="AD41" s="452"/>
      <c r="AE41" s="445"/>
    </row>
    <row r="42" spans="2:46" ht="15" thickBot="1">
      <c r="B42" s="446"/>
      <c r="C42" s="488"/>
      <c r="D42" s="489"/>
      <c r="E42" s="489"/>
      <c r="F42" s="489"/>
      <c r="G42" s="489"/>
      <c r="H42" s="489"/>
      <c r="I42" s="489"/>
      <c r="J42" s="489"/>
      <c r="K42" s="489"/>
      <c r="L42" s="489"/>
      <c r="M42" s="489"/>
      <c r="N42" s="489"/>
      <c r="O42" s="489"/>
      <c r="P42" s="489"/>
      <c r="Q42" s="489"/>
      <c r="R42" s="489"/>
      <c r="S42" s="489"/>
      <c r="T42" s="489"/>
      <c r="U42" s="489"/>
      <c r="V42" s="489"/>
      <c r="W42" s="489"/>
      <c r="X42" s="489"/>
      <c r="Y42" s="489"/>
      <c r="Z42" s="489"/>
      <c r="AA42" s="489"/>
      <c r="AB42" s="489"/>
      <c r="AC42" s="489"/>
      <c r="AD42" s="490"/>
      <c r="AE42" s="445"/>
    </row>
    <row r="43" spans="2:46" ht="15" thickTop="1">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row>
    <row r="44" spans="2:46"/>
    <row r="45" spans="2:46">
      <c r="N45" s="491"/>
    </row>
    <row r="46" spans="2:46"/>
    <row r="47" spans="2:46" ht="15" thickBot="1"/>
    <row r="48" spans="2:46" ht="52.4" customHeight="1">
      <c r="E48" s="861" t="s">
        <v>950</v>
      </c>
      <c r="F48" s="862"/>
      <c r="G48" s="863" t="s">
        <v>950</v>
      </c>
      <c r="H48" s="864"/>
      <c r="I48" s="864"/>
      <c r="J48" s="864"/>
      <c r="K48" s="864"/>
      <c r="L48" s="865"/>
      <c r="M48" s="866" t="s">
        <v>951</v>
      </c>
      <c r="N48" s="867"/>
      <c r="O48" s="867"/>
      <c r="P48" s="867"/>
      <c r="Q48" s="867"/>
      <c r="R48" s="867"/>
      <c r="S48" s="867"/>
      <c r="T48" s="867"/>
      <c r="U48" s="867"/>
      <c r="V48" s="867"/>
      <c r="W48" s="867"/>
      <c r="X48" s="868"/>
    </row>
    <row r="49" spans="5:24" ht="26.25" customHeight="1">
      <c r="E49" s="846" t="s">
        <v>952</v>
      </c>
      <c r="F49" s="847"/>
      <c r="G49" s="846" t="s">
        <v>953</v>
      </c>
      <c r="H49" s="847"/>
      <c r="I49" s="847"/>
      <c r="J49" s="847"/>
      <c r="K49" s="847"/>
      <c r="L49" s="848"/>
      <c r="M49" s="858" t="s">
        <v>954</v>
      </c>
      <c r="N49" s="859"/>
      <c r="O49" s="859"/>
      <c r="P49" s="859"/>
      <c r="Q49" s="859"/>
      <c r="R49" s="859"/>
      <c r="S49" s="859"/>
      <c r="T49" s="859"/>
      <c r="U49" s="859"/>
      <c r="V49" s="859"/>
      <c r="W49" s="859"/>
      <c r="X49" s="860"/>
    </row>
    <row r="50" spans="5:24" ht="26.25" customHeight="1">
      <c r="E50" s="846" t="s">
        <v>955</v>
      </c>
      <c r="F50" s="847"/>
      <c r="G50" s="846" t="s">
        <v>956</v>
      </c>
      <c r="H50" s="847"/>
      <c r="I50" s="847"/>
      <c r="J50" s="847"/>
      <c r="K50" s="847"/>
      <c r="L50" s="848"/>
      <c r="M50" s="858" t="s">
        <v>957</v>
      </c>
      <c r="N50" s="859"/>
      <c r="O50" s="859"/>
      <c r="P50" s="859"/>
      <c r="Q50" s="859"/>
      <c r="R50" s="859"/>
      <c r="S50" s="859"/>
      <c r="T50" s="859"/>
      <c r="U50" s="859"/>
      <c r="V50" s="859"/>
      <c r="W50" s="859"/>
      <c r="X50" s="860"/>
    </row>
    <row r="51" spans="5:24" ht="26.25" customHeight="1">
      <c r="E51" s="846" t="s">
        <v>958</v>
      </c>
      <c r="F51" s="847"/>
      <c r="G51" s="846" t="s">
        <v>959</v>
      </c>
      <c r="H51" s="847"/>
      <c r="I51" s="847"/>
      <c r="J51" s="847"/>
      <c r="K51" s="847"/>
      <c r="L51" s="848"/>
      <c r="M51" s="858" t="s">
        <v>960</v>
      </c>
      <c r="N51" s="859"/>
      <c r="O51" s="859"/>
      <c r="P51" s="859"/>
      <c r="Q51" s="859"/>
      <c r="R51" s="859"/>
      <c r="S51" s="859"/>
      <c r="T51" s="859"/>
      <c r="U51" s="859"/>
      <c r="V51" s="859"/>
      <c r="W51" s="859"/>
      <c r="X51" s="860"/>
    </row>
    <row r="52" spans="5:24" ht="26.25" customHeight="1">
      <c r="E52" s="846" t="s">
        <v>961</v>
      </c>
      <c r="F52" s="847"/>
      <c r="G52" s="846" t="s">
        <v>962</v>
      </c>
      <c r="H52" s="847"/>
      <c r="I52" s="847"/>
      <c r="J52" s="847"/>
      <c r="K52" s="847"/>
      <c r="L52" s="848"/>
      <c r="M52" s="858" t="s">
        <v>963</v>
      </c>
      <c r="N52" s="859"/>
      <c r="O52" s="859"/>
      <c r="P52" s="859"/>
      <c r="Q52" s="859"/>
      <c r="R52" s="859"/>
      <c r="S52" s="859"/>
      <c r="T52" s="859"/>
      <c r="U52" s="859"/>
      <c r="V52" s="859"/>
      <c r="W52" s="859"/>
      <c r="X52" s="860"/>
    </row>
    <row r="53" spans="5:24" ht="26.25" customHeight="1">
      <c r="E53" s="846" t="s">
        <v>964</v>
      </c>
      <c r="F53" s="847"/>
      <c r="G53" s="846" t="s">
        <v>965</v>
      </c>
      <c r="H53" s="847"/>
      <c r="I53" s="847"/>
      <c r="J53" s="847"/>
      <c r="K53" s="847"/>
      <c r="L53" s="848"/>
      <c r="M53" s="858" t="s">
        <v>966</v>
      </c>
      <c r="N53" s="859"/>
      <c r="O53" s="859"/>
      <c r="P53" s="859"/>
      <c r="Q53" s="859"/>
      <c r="R53" s="859"/>
      <c r="S53" s="859"/>
      <c r="T53" s="859"/>
      <c r="U53" s="859"/>
      <c r="V53" s="859"/>
      <c r="W53" s="859"/>
      <c r="X53" s="860"/>
    </row>
    <row r="54" spans="5:24" ht="26.25" customHeight="1">
      <c r="E54" s="846" t="s">
        <v>967</v>
      </c>
      <c r="F54" s="847"/>
      <c r="G54" s="846" t="s">
        <v>968</v>
      </c>
      <c r="H54" s="847"/>
      <c r="I54" s="847"/>
      <c r="J54" s="847"/>
      <c r="K54" s="847"/>
      <c r="L54" s="848"/>
      <c r="M54" s="858" t="s">
        <v>969</v>
      </c>
      <c r="N54" s="859"/>
      <c r="O54" s="859"/>
      <c r="P54" s="859"/>
      <c r="Q54" s="859"/>
      <c r="R54" s="859"/>
      <c r="S54" s="859"/>
      <c r="T54" s="859"/>
      <c r="U54" s="859"/>
      <c r="V54" s="859"/>
      <c r="W54" s="859"/>
      <c r="X54" s="860"/>
    </row>
    <row r="55" spans="5:24" ht="26.25" customHeight="1">
      <c r="E55" s="846" t="s">
        <v>970</v>
      </c>
      <c r="F55" s="847"/>
      <c r="G55" s="846" t="s">
        <v>971</v>
      </c>
      <c r="H55" s="847"/>
      <c r="I55" s="847"/>
      <c r="J55" s="847"/>
      <c r="K55" s="847"/>
      <c r="L55" s="848"/>
      <c r="M55" s="858" t="s">
        <v>972</v>
      </c>
      <c r="N55" s="859"/>
      <c r="O55" s="859"/>
      <c r="P55" s="859"/>
      <c r="Q55" s="859"/>
      <c r="R55" s="859"/>
      <c r="S55" s="859"/>
      <c r="T55" s="859"/>
      <c r="U55" s="859"/>
      <c r="V55" s="859"/>
      <c r="W55" s="859"/>
      <c r="X55" s="860"/>
    </row>
    <row r="56" spans="5:24" ht="26.25" customHeight="1">
      <c r="E56" s="846" t="s">
        <v>973</v>
      </c>
      <c r="F56" s="847"/>
      <c r="G56" s="846" t="s">
        <v>974</v>
      </c>
      <c r="H56" s="847"/>
      <c r="I56" s="847"/>
      <c r="J56" s="847"/>
      <c r="K56" s="847"/>
      <c r="L56" s="848"/>
      <c r="M56" s="858" t="s">
        <v>975</v>
      </c>
      <c r="N56" s="859"/>
      <c r="O56" s="859"/>
      <c r="P56" s="859"/>
      <c r="Q56" s="859"/>
      <c r="R56" s="859"/>
      <c r="S56" s="859"/>
      <c r="T56" s="859"/>
      <c r="U56" s="859"/>
      <c r="V56" s="859"/>
      <c r="W56" s="859"/>
      <c r="X56" s="860"/>
    </row>
    <row r="57" spans="5:24" ht="26.25" customHeight="1">
      <c r="E57" s="846" t="s">
        <v>121</v>
      </c>
      <c r="F57" s="847"/>
      <c r="G57" s="846" t="s">
        <v>976</v>
      </c>
      <c r="H57" s="847"/>
      <c r="I57" s="847"/>
      <c r="J57" s="847"/>
      <c r="K57" s="847"/>
      <c r="L57" s="848"/>
      <c r="M57" s="858" t="s">
        <v>977</v>
      </c>
      <c r="N57" s="859"/>
      <c r="O57" s="859"/>
      <c r="P57" s="859"/>
      <c r="Q57" s="859"/>
      <c r="R57" s="859"/>
      <c r="S57" s="859"/>
      <c r="T57" s="859"/>
      <c r="U57" s="859"/>
      <c r="V57" s="859"/>
      <c r="W57" s="859"/>
      <c r="X57" s="860"/>
    </row>
    <row r="58" spans="5:24" ht="26.25" customHeight="1">
      <c r="E58" s="846" t="s">
        <v>978</v>
      </c>
      <c r="F58" s="847"/>
      <c r="G58" s="846" t="s">
        <v>979</v>
      </c>
      <c r="H58" s="847"/>
      <c r="I58" s="847"/>
      <c r="J58" s="847"/>
      <c r="K58" s="847"/>
      <c r="L58" s="848"/>
      <c r="M58" s="858" t="s">
        <v>980</v>
      </c>
      <c r="N58" s="859"/>
      <c r="O58" s="859"/>
      <c r="P58" s="859"/>
      <c r="Q58" s="859"/>
      <c r="R58" s="859"/>
      <c r="S58" s="859"/>
      <c r="T58" s="859"/>
      <c r="U58" s="859"/>
      <c r="V58" s="859"/>
      <c r="W58" s="859"/>
      <c r="X58" s="860"/>
    </row>
    <row r="59" spans="5:24" ht="26.25" customHeight="1">
      <c r="E59" s="846" t="s">
        <v>527</v>
      </c>
      <c r="F59" s="847"/>
      <c r="G59" s="846" t="s">
        <v>981</v>
      </c>
      <c r="H59" s="847"/>
      <c r="I59" s="847"/>
      <c r="J59" s="847"/>
      <c r="K59" s="847"/>
      <c r="L59" s="848"/>
      <c r="M59" s="858" t="s">
        <v>982</v>
      </c>
      <c r="N59" s="859"/>
      <c r="O59" s="859"/>
      <c r="P59" s="859"/>
      <c r="Q59" s="859"/>
      <c r="R59" s="859"/>
      <c r="S59" s="859"/>
      <c r="T59" s="859"/>
      <c r="U59" s="859"/>
      <c r="V59" s="859"/>
      <c r="W59" s="859"/>
      <c r="X59" s="860"/>
    </row>
    <row r="60" spans="5:24" ht="26.25" customHeight="1">
      <c r="E60" s="846" t="s">
        <v>983</v>
      </c>
      <c r="F60" s="847"/>
      <c r="G60" s="846" t="s">
        <v>984</v>
      </c>
      <c r="H60" s="847"/>
      <c r="I60" s="847"/>
      <c r="J60" s="847"/>
      <c r="K60" s="847"/>
      <c r="L60" s="848"/>
      <c r="M60" s="858" t="s">
        <v>985</v>
      </c>
      <c r="N60" s="859"/>
      <c r="O60" s="859"/>
      <c r="P60" s="859"/>
      <c r="Q60" s="859"/>
      <c r="R60" s="859"/>
      <c r="S60" s="859"/>
      <c r="T60" s="859"/>
      <c r="U60" s="859"/>
      <c r="V60" s="859"/>
      <c r="W60" s="859"/>
      <c r="X60" s="860"/>
    </row>
    <row r="61" spans="5:24" ht="26">
      <c r="E61" s="846" t="s">
        <v>986</v>
      </c>
      <c r="F61" s="847"/>
      <c r="G61" s="725"/>
      <c r="H61" s="725"/>
      <c r="I61" s="725"/>
      <c r="J61" s="725"/>
      <c r="K61" s="725"/>
      <c r="L61" s="726"/>
      <c r="M61" s="858" t="s">
        <v>987</v>
      </c>
      <c r="N61" s="859"/>
      <c r="O61" s="859"/>
      <c r="P61" s="859"/>
      <c r="Q61" s="859"/>
      <c r="R61" s="859"/>
      <c r="S61" s="859"/>
      <c r="T61" s="859"/>
      <c r="U61" s="859"/>
      <c r="V61" s="859"/>
      <c r="W61" s="859"/>
      <c r="X61" s="860"/>
    </row>
    <row r="62" spans="5:24" ht="26">
      <c r="E62" s="846" t="s">
        <v>988</v>
      </c>
      <c r="F62" s="847"/>
      <c r="G62" s="725"/>
      <c r="H62" s="725"/>
      <c r="I62" s="725"/>
      <c r="J62" s="725"/>
      <c r="K62" s="725"/>
      <c r="L62" s="726"/>
      <c r="M62" s="858" t="s">
        <v>989</v>
      </c>
      <c r="N62" s="859"/>
      <c r="O62" s="859"/>
      <c r="P62" s="859"/>
      <c r="Q62" s="859"/>
      <c r="R62" s="859"/>
      <c r="S62" s="859"/>
      <c r="T62" s="859"/>
      <c r="U62" s="859"/>
      <c r="V62" s="859"/>
      <c r="W62" s="859"/>
      <c r="X62" s="860"/>
    </row>
    <row r="63" spans="5:24" ht="26">
      <c r="E63" s="846" t="s">
        <v>990</v>
      </c>
      <c r="F63" s="847"/>
      <c r="G63" s="846" t="s">
        <v>991</v>
      </c>
      <c r="H63" s="847"/>
      <c r="I63" s="847"/>
      <c r="J63" s="847"/>
      <c r="K63" s="847"/>
      <c r="L63" s="848"/>
      <c r="M63" s="849" t="s">
        <v>992</v>
      </c>
      <c r="N63" s="850"/>
      <c r="O63" s="850"/>
      <c r="P63" s="850"/>
      <c r="Q63" s="850"/>
      <c r="R63" s="850"/>
      <c r="S63" s="850"/>
      <c r="T63" s="850"/>
      <c r="U63" s="850"/>
      <c r="V63" s="850"/>
      <c r="W63" s="850"/>
      <c r="X63" s="851"/>
    </row>
    <row r="64" spans="5:24" ht="14.5" customHeight="1" thickBot="1">
      <c r="E64" s="852"/>
      <c r="F64" s="853"/>
      <c r="G64" s="852"/>
      <c r="H64" s="853"/>
      <c r="I64" s="853"/>
      <c r="J64" s="853"/>
      <c r="K64" s="853"/>
      <c r="L64" s="854"/>
      <c r="M64" s="855"/>
      <c r="N64" s="856"/>
      <c r="O64" s="856"/>
      <c r="P64" s="856"/>
      <c r="Q64" s="856"/>
      <c r="R64" s="856"/>
      <c r="S64" s="856"/>
      <c r="T64" s="856"/>
      <c r="U64" s="856"/>
      <c r="V64" s="856"/>
      <c r="W64" s="856"/>
      <c r="X64" s="857"/>
    </row>
    <row r="65" spans="5:12" ht="15" customHeight="1"/>
    <row r="66" spans="5:12" ht="21" customHeight="1"/>
    <row r="67" spans="5:12" ht="21" customHeight="1"/>
    <row r="68" spans="5:12" ht="21" hidden="1" customHeight="1">
      <c r="E68" s="690" t="s">
        <v>993</v>
      </c>
      <c r="F68" s="843" t="s">
        <v>994</v>
      </c>
      <c r="G68" s="844"/>
      <c r="H68" s="844"/>
      <c r="I68" s="844"/>
      <c r="J68" s="844"/>
      <c r="K68" s="844"/>
      <c r="L68" s="845"/>
    </row>
    <row r="69" spans="5:12" ht="21" hidden="1" customHeight="1">
      <c r="E69" s="691">
        <v>1</v>
      </c>
      <c r="F69" s="840" t="s">
        <v>623</v>
      </c>
      <c r="G69" s="841"/>
      <c r="H69" s="841"/>
      <c r="I69" s="841"/>
      <c r="J69" s="841"/>
      <c r="K69" s="841"/>
      <c r="L69" s="842"/>
    </row>
    <row r="70" spans="5:12" ht="21" hidden="1" customHeight="1">
      <c r="E70" s="692">
        <v>2</v>
      </c>
      <c r="F70" s="840" t="s">
        <v>636</v>
      </c>
      <c r="G70" s="841"/>
      <c r="H70" s="841"/>
      <c r="I70" s="841"/>
      <c r="J70" s="841"/>
      <c r="K70" s="841"/>
      <c r="L70" s="842"/>
    </row>
    <row r="71" spans="5:12" ht="21" hidden="1" customHeight="1">
      <c r="E71" s="692">
        <v>3</v>
      </c>
      <c r="F71" s="840" t="s">
        <v>652</v>
      </c>
      <c r="G71" s="841"/>
      <c r="H71" s="841"/>
      <c r="I71" s="841"/>
      <c r="J71" s="841"/>
      <c r="K71" s="841"/>
      <c r="L71" s="842"/>
    </row>
    <row r="72" spans="5:12" ht="21" hidden="1" customHeight="1">
      <c r="E72" s="692">
        <v>4</v>
      </c>
      <c r="F72" s="840" t="s">
        <v>689</v>
      </c>
      <c r="G72" s="841"/>
      <c r="H72" s="841"/>
      <c r="I72" s="841"/>
      <c r="J72" s="841"/>
      <c r="K72" s="841"/>
      <c r="L72" s="842"/>
    </row>
    <row r="73" spans="5:12" ht="21" hidden="1" customHeight="1">
      <c r="E73" s="692">
        <v>5</v>
      </c>
      <c r="F73" s="840" t="s">
        <v>725</v>
      </c>
      <c r="G73" s="841"/>
      <c r="H73" s="841"/>
      <c r="I73" s="841"/>
      <c r="J73" s="841"/>
      <c r="K73" s="841"/>
      <c r="L73" s="842"/>
    </row>
    <row r="74" spans="5:12" ht="21" hidden="1" customHeight="1">
      <c r="E74" s="692">
        <v>6</v>
      </c>
      <c r="F74" s="840" t="s">
        <v>732</v>
      </c>
      <c r="G74" s="841"/>
      <c r="H74" s="841"/>
      <c r="I74" s="841"/>
      <c r="J74" s="841"/>
      <c r="K74" s="841"/>
      <c r="L74" s="842"/>
    </row>
    <row r="75" spans="5:12" ht="21" hidden="1" customHeight="1">
      <c r="E75" s="692">
        <v>7</v>
      </c>
      <c r="F75" s="840" t="s">
        <v>754</v>
      </c>
      <c r="G75" s="841"/>
      <c r="H75" s="841"/>
      <c r="I75" s="841"/>
      <c r="J75" s="841"/>
      <c r="K75" s="841"/>
      <c r="L75" s="842"/>
    </row>
    <row r="76" spans="5:12" ht="21" hidden="1" customHeight="1">
      <c r="E76" s="692">
        <v>8</v>
      </c>
      <c r="F76" s="840" t="s">
        <v>771</v>
      </c>
      <c r="G76" s="841"/>
      <c r="H76" s="841"/>
      <c r="I76" s="841"/>
      <c r="J76" s="841"/>
      <c r="K76" s="841"/>
      <c r="L76" s="842"/>
    </row>
    <row r="77" spans="5:12" ht="21" hidden="1" customHeight="1">
      <c r="E77" s="692">
        <v>9</v>
      </c>
      <c r="F77" s="840" t="s">
        <v>780</v>
      </c>
      <c r="G77" s="841"/>
      <c r="H77" s="841"/>
      <c r="I77" s="841"/>
      <c r="J77" s="841"/>
      <c r="K77" s="841"/>
      <c r="L77" s="842"/>
    </row>
    <row r="78" spans="5:12" ht="21" hidden="1" customHeight="1">
      <c r="E78" s="692">
        <v>10</v>
      </c>
      <c r="F78" s="840" t="s">
        <v>788</v>
      </c>
      <c r="G78" s="841"/>
      <c r="H78" s="841"/>
      <c r="I78" s="841"/>
      <c r="J78" s="841"/>
      <c r="K78" s="841"/>
      <c r="L78" s="842"/>
    </row>
    <row r="79" spans="5:12" ht="21.65" hidden="1" customHeight="1">
      <c r="E79" s="692">
        <v>11</v>
      </c>
      <c r="F79" s="840" t="s">
        <v>804</v>
      </c>
      <c r="G79" s="841"/>
      <c r="H79" s="841"/>
      <c r="I79" s="841"/>
      <c r="J79" s="841"/>
      <c r="K79" s="841"/>
      <c r="L79" s="842"/>
    </row>
    <row r="80" spans="5:12" ht="21.65" hidden="1" customHeight="1">
      <c r="E80" s="692">
        <v>12</v>
      </c>
      <c r="F80" s="840" t="s">
        <v>827</v>
      </c>
      <c r="G80" s="841"/>
      <c r="H80" s="841"/>
      <c r="I80" s="841"/>
      <c r="J80" s="841"/>
      <c r="K80" s="841"/>
      <c r="L80" s="842"/>
    </row>
    <row r="81" spans="5:12" ht="21" hidden="1" customHeight="1">
      <c r="E81" s="693"/>
      <c r="F81" s="835"/>
      <c r="G81" s="836"/>
      <c r="H81" s="836"/>
      <c r="I81" s="836"/>
      <c r="J81" s="836"/>
      <c r="K81" s="836"/>
      <c r="L81" s="837"/>
    </row>
    <row r="82" spans="5:12" ht="21" hidden="1" customHeight="1">
      <c r="E82" s="694"/>
      <c r="F82" s="694"/>
    </row>
    <row r="83" spans="5:12" ht="21" hidden="1" customHeight="1">
      <c r="E83" s="690" t="s">
        <v>995</v>
      </c>
      <c r="F83" s="843" t="s">
        <v>996</v>
      </c>
      <c r="G83" s="844"/>
      <c r="H83" s="844"/>
      <c r="I83" s="844"/>
      <c r="J83" s="844"/>
      <c r="K83" s="844"/>
      <c r="L83" s="845"/>
    </row>
    <row r="84" spans="5:12" ht="21" hidden="1" customHeight="1">
      <c r="E84" s="695" t="s">
        <v>997</v>
      </c>
      <c r="F84" s="840" t="s">
        <v>998</v>
      </c>
      <c r="G84" s="841"/>
      <c r="H84" s="841"/>
      <c r="I84" s="841"/>
      <c r="J84" s="841"/>
      <c r="K84" s="841"/>
      <c r="L84" s="842"/>
    </row>
    <row r="85" spans="5:12" ht="21.65" hidden="1" customHeight="1">
      <c r="E85" s="695" t="s">
        <v>999</v>
      </c>
      <c r="F85" s="840" t="s">
        <v>1000</v>
      </c>
      <c r="G85" s="841"/>
      <c r="H85" s="841"/>
      <c r="I85" s="841"/>
      <c r="J85" s="841"/>
      <c r="K85" s="841"/>
      <c r="L85" s="842"/>
    </row>
    <row r="86" spans="5:12" ht="21.65" hidden="1" customHeight="1">
      <c r="E86" s="695" t="s">
        <v>1001</v>
      </c>
      <c r="F86" s="840" t="s">
        <v>1002</v>
      </c>
      <c r="G86" s="841"/>
      <c r="H86" s="841"/>
      <c r="I86" s="841"/>
      <c r="J86" s="841"/>
      <c r="K86" s="841"/>
      <c r="L86" s="842"/>
    </row>
    <row r="87" spans="5:12" ht="21.65" hidden="1" customHeight="1">
      <c r="E87" s="693" t="s">
        <v>1003</v>
      </c>
      <c r="F87" s="835" t="s">
        <v>1004</v>
      </c>
      <c r="G87" s="836"/>
      <c r="H87" s="836"/>
      <c r="I87" s="836"/>
      <c r="J87" s="836"/>
      <c r="K87" s="836"/>
      <c r="L87" s="837"/>
    </row>
    <row r="88" spans="5:12" ht="20.5" hidden="1" customHeight="1">
      <c r="E88" s="694"/>
      <c r="F88" s="694"/>
    </row>
    <row r="89" spans="5:12" ht="21" hidden="1" customHeight="1">
      <c r="E89" s="696" t="s">
        <v>1005</v>
      </c>
      <c r="F89" s="838" t="s">
        <v>996</v>
      </c>
      <c r="G89" s="838"/>
      <c r="H89" s="838"/>
      <c r="I89" s="838"/>
      <c r="J89" s="838"/>
      <c r="K89" s="838"/>
      <c r="L89" s="839"/>
    </row>
    <row r="90" spans="5:12" ht="21" hidden="1" customHeight="1">
      <c r="E90" s="823" t="s">
        <v>623</v>
      </c>
      <c r="F90" s="824"/>
      <c r="G90" s="824"/>
      <c r="H90" s="824"/>
      <c r="I90" s="824"/>
      <c r="J90" s="824"/>
      <c r="K90" s="824"/>
      <c r="L90" s="825"/>
    </row>
    <row r="91" spans="5:12" ht="21.65" hidden="1" customHeight="1">
      <c r="E91" s="697" t="s">
        <v>517</v>
      </c>
      <c r="F91" s="826" t="s">
        <v>626</v>
      </c>
      <c r="G91" s="827"/>
      <c r="H91" s="827"/>
      <c r="I91" s="827"/>
      <c r="J91" s="827"/>
      <c r="K91" s="827"/>
      <c r="L91" s="828"/>
    </row>
    <row r="92" spans="5:12" ht="20.5" hidden="1" customHeight="1">
      <c r="E92" s="698" t="s">
        <v>521</v>
      </c>
      <c r="F92" s="829" t="s">
        <v>628</v>
      </c>
      <c r="G92" s="830"/>
      <c r="H92" s="830"/>
      <c r="I92" s="830"/>
      <c r="J92" s="830"/>
      <c r="K92" s="830"/>
      <c r="L92" s="831"/>
    </row>
    <row r="93" spans="5:12" ht="21" hidden="1" customHeight="1">
      <c r="E93" s="699" t="s">
        <v>525</v>
      </c>
      <c r="F93" s="820" t="s">
        <v>1006</v>
      </c>
      <c r="G93" s="821"/>
      <c r="H93" s="821"/>
      <c r="I93" s="821"/>
      <c r="J93" s="821"/>
      <c r="K93" s="821"/>
      <c r="L93" s="822"/>
    </row>
    <row r="94" spans="5:12" ht="21" hidden="1" customHeight="1">
      <c r="E94" s="823" t="s">
        <v>636</v>
      </c>
      <c r="F94" s="824"/>
      <c r="G94" s="824"/>
      <c r="H94" s="824"/>
      <c r="I94" s="824"/>
      <c r="J94" s="824"/>
      <c r="K94" s="824"/>
      <c r="L94" s="825"/>
    </row>
    <row r="95" spans="5:12" ht="21" hidden="1" customHeight="1">
      <c r="E95" s="697" t="s">
        <v>526</v>
      </c>
      <c r="F95" s="826" t="s">
        <v>638</v>
      </c>
      <c r="G95" s="827"/>
      <c r="H95" s="827"/>
      <c r="I95" s="827"/>
      <c r="J95" s="827"/>
      <c r="K95" s="827"/>
      <c r="L95" s="828"/>
    </row>
    <row r="96" spans="5:12" ht="21" hidden="1" customHeight="1">
      <c r="E96" s="698" t="s">
        <v>531</v>
      </c>
      <c r="F96" s="829" t="s">
        <v>640</v>
      </c>
      <c r="G96" s="830"/>
      <c r="H96" s="830"/>
      <c r="I96" s="830"/>
      <c r="J96" s="830"/>
      <c r="K96" s="830"/>
      <c r="L96" s="831"/>
    </row>
    <row r="97" spans="5:12" ht="21.65" hidden="1" customHeight="1">
      <c r="E97" s="698" t="s">
        <v>534</v>
      </c>
      <c r="F97" s="829" t="s">
        <v>643</v>
      </c>
      <c r="G97" s="830"/>
      <c r="H97" s="830"/>
      <c r="I97" s="830"/>
      <c r="J97" s="830"/>
      <c r="K97" s="830"/>
      <c r="L97" s="831"/>
    </row>
    <row r="98" spans="5:12" ht="20.5" hidden="1" customHeight="1">
      <c r="E98" s="698" t="s">
        <v>537</v>
      </c>
      <c r="F98" s="829" t="s">
        <v>645</v>
      </c>
      <c r="G98" s="830"/>
      <c r="H98" s="830"/>
      <c r="I98" s="830"/>
      <c r="J98" s="830"/>
      <c r="K98" s="830"/>
      <c r="L98" s="831"/>
    </row>
    <row r="99" spans="5:12" ht="21" hidden="1" customHeight="1">
      <c r="E99" s="699" t="s">
        <v>541</v>
      </c>
      <c r="F99" s="820" t="s">
        <v>648</v>
      </c>
      <c r="G99" s="821"/>
      <c r="H99" s="821"/>
      <c r="I99" s="821"/>
      <c r="J99" s="821"/>
      <c r="K99" s="821"/>
      <c r="L99" s="822"/>
    </row>
    <row r="100" spans="5:12" ht="21" hidden="1" customHeight="1">
      <c r="E100" s="823" t="s">
        <v>652</v>
      </c>
      <c r="F100" s="824"/>
      <c r="G100" s="824"/>
      <c r="H100" s="824"/>
      <c r="I100" s="824"/>
      <c r="J100" s="824"/>
      <c r="K100" s="824"/>
      <c r="L100" s="825"/>
    </row>
    <row r="101" spans="5:12" ht="21" hidden="1" customHeight="1">
      <c r="E101" s="697" t="s">
        <v>532</v>
      </c>
      <c r="F101" s="826" t="s">
        <v>1007</v>
      </c>
      <c r="G101" s="827"/>
      <c r="H101" s="827"/>
      <c r="I101" s="827"/>
      <c r="J101" s="827"/>
      <c r="K101" s="827"/>
      <c r="L101" s="828"/>
    </row>
    <row r="102" spans="5:12" ht="21" hidden="1" customHeight="1">
      <c r="E102" s="698" t="s">
        <v>546</v>
      </c>
      <c r="F102" s="829" t="s">
        <v>1008</v>
      </c>
      <c r="G102" s="830"/>
      <c r="H102" s="830"/>
      <c r="I102" s="830"/>
      <c r="J102" s="830"/>
      <c r="K102" s="830"/>
      <c r="L102" s="831"/>
    </row>
    <row r="103" spans="5:12" ht="21" hidden="1" customHeight="1">
      <c r="E103" s="698" t="s">
        <v>550</v>
      </c>
      <c r="F103" s="829" t="s">
        <v>661</v>
      </c>
      <c r="G103" s="830"/>
      <c r="H103" s="830"/>
      <c r="I103" s="830"/>
      <c r="J103" s="830"/>
      <c r="K103" s="830"/>
      <c r="L103" s="831"/>
    </row>
    <row r="104" spans="5:12" ht="21" hidden="1" customHeight="1">
      <c r="E104" s="698" t="s">
        <v>538</v>
      </c>
      <c r="F104" s="829" t="s">
        <v>666</v>
      </c>
      <c r="G104" s="830"/>
      <c r="H104" s="830"/>
      <c r="I104" s="830"/>
      <c r="J104" s="830"/>
      <c r="K104" s="830"/>
      <c r="L104" s="831"/>
    </row>
    <row r="105" spans="5:12" ht="21" hidden="1" customHeight="1">
      <c r="E105" s="698" t="s">
        <v>555</v>
      </c>
      <c r="F105" s="829" t="s">
        <v>668</v>
      </c>
      <c r="G105" s="830"/>
      <c r="H105" s="830"/>
      <c r="I105" s="830"/>
      <c r="J105" s="830"/>
      <c r="K105" s="830"/>
      <c r="L105" s="831"/>
    </row>
    <row r="106" spans="5:12" ht="21" hidden="1" customHeight="1">
      <c r="E106" s="698" t="s">
        <v>528</v>
      </c>
      <c r="F106" s="829" t="s">
        <v>671</v>
      </c>
      <c r="G106" s="830"/>
      <c r="H106" s="830"/>
      <c r="I106" s="830"/>
      <c r="J106" s="830"/>
      <c r="K106" s="830"/>
      <c r="L106" s="831"/>
    </row>
    <row r="107" spans="5:12" ht="21" hidden="1" customHeight="1">
      <c r="E107" s="698" t="s">
        <v>542</v>
      </c>
      <c r="F107" s="829" t="s">
        <v>675</v>
      </c>
      <c r="G107" s="830"/>
      <c r="H107" s="830"/>
      <c r="I107" s="830"/>
      <c r="J107" s="830"/>
      <c r="K107" s="830"/>
      <c r="L107" s="831"/>
    </row>
    <row r="108" spans="5:12" ht="21.65" hidden="1" customHeight="1">
      <c r="E108" s="698" t="s">
        <v>570</v>
      </c>
      <c r="F108" s="829" t="s">
        <v>679</v>
      </c>
      <c r="G108" s="830"/>
      <c r="H108" s="830"/>
      <c r="I108" s="830"/>
      <c r="J108" s="830"/>
      <c r="K108" s="830"/>
      <c r="L108" s="831"/>
    </row>
    <row r="109" spans="5:12" ht="20.5" hidden="1" customHeight="1">
      <c r="E109" s="698" t="s">
        <v>551</v>
      </c>
      <c r="F109" s="829" t="s">
        <v>681</v>
      </c>
      <c r="G109" s="830"/>
      <c r="H109" s="830"/>
      <c r="I109" s="830"/>
      <c r="J109" s="830"/>
      <c r="K109" s="830"/>
      <c r="L109" s="831"/>
    </row>
    <row r="110" spans="5:12" ht="21" hidden="1" customHeight="1">
      <c r="E110" s="699" t="s">
        <v>575</v>
      </c>
      <c r="F110" s="820" t="s">
        <v>684</v>
      </c>
      <c r="G110" s="821"/>
      <c r="H110" s="821"/>
      <c r="I110" s="821"/>
      <c r="J110" s="821"/>
      <c r="K110" s="821"/>
      <c r="L110" s="822"/>
    </row>
    <row r="111" spans="5:12" ht="21" hidden="1" customHeight="1">
      <c r="E111" s="823" t="s">
        <v>689</v>
      </c>
      <c r="F111" s="824"/>
      <c r="G111" s="824"/>
      <c r="H111" s="824"/>
      <c r="I111" s="824"/>
      <c r="J111" s="824"/>
      <c r="K111" s="824"/>
      <c r="L111" s="825"/>
    </row>
    <row r="112" spans="5:12" ht="21" hidden="1" customHeight="1">
      <c r="E112" s="697" t="s">
        <v>553</v>
      </c>
      <c r="F112" s="826" t="s">
        <v>691</v>
      </c>
      <c r="G112" s="827"/>
      <c r="H112" s="827"/>
      <c r="I112" s="827"/>
      <c r="J112" s="827"/>
      <c r="K112" s="827"/>
      <c r="L112" s="828"/>
    </row>
    <row r="113" spans="5:12" ht="21" hidden="1" customHeight="1">
      <c r="E113" s="698" t="s">
        <v>547</v>
      </c>
      <c r="F113" s="829" t="s">
        <v>695</v>
      </c>
      <c r="G113" s="830"/>
      <c r="H113" s="830"/>
      <c r="I113" s="830"/>
      <c r="J113" s="830"/>
      <c r="K113" s="830"/>
      <c r="L113" s="831"/>
    </row>
    <row r="114" spans="5:12" ht="21" hidden="1" customHeight="1">
      <c r="E114" s="698" t="s">
        <v>544</v>
      </c>
      <c r="F114" s="829" t="s">
        <v>68</v>
      </c>
      <c r="G114" s="830"/>
      <c r="H114" s="830"/>
      <c r="I114" s="830"/>
      <c r="J114" s="830"/>
      <c r="K114" s="830"/>
      <c r="L114" s="831"/>
    </row>
    <row r="115" spans="5:12" ht="21" hidden="1" customHeight="1">
      <c r="E115" s="698" t="s">
        <v>535</v>
      </c>
      <c r="F115" s="829" t="s">
        <v>700</v>
      </c>
      <c r="G115" s="830"/>
      <c r="H115" s="830"/>
      <c r="I115" s="830"/>
      <c r="J115" s="830"/>
      <c r="K115" s="830"/>
      <c r="L115" s="831"/>
    </row>
    <row r="116" spans="5:12" ht="21" hidden="1" customHeight="1">
      <c r="E116" s="698" t="s">
        <v>585</v>
      </c>
      <c r="F116" s="829" t="s">
        <v>703</v>
      </c>
      <c r="G116" s="830"/>
      <c r="H116" s="830"/>
      <c r="I116" s="830"/>
      <c r="J116" s="830"/>
      <c r="K116" s="830"/>
      <c r="L116" s="831"/>
    </row>
    <row r="117" spans="5:12" ht="21" hidden="1" customHeight="1">
      <c r="E117" s="698" t="s">
        <v>587</v>
      </c>
      <c r="F117" s="829" t="s">
        <v>707</v>
      </c>
      <c r="G117" s="830"/>
      <c r="H117" s="830"/>
      <c r="I117" s="830"/>
      <c r="J117" s="830"/>
      <c r="K117" s="830"/>
      <c r="L117" s="831"/>
    </row>
    <row r="118" spans="5:12" ht="21" hidden="1" customHeight="1">
      <c r="E118" s="698" t="s">
        <v>591</v>
      </c>
      <c r="F118" s="829" t="s">
        <v>710</v>
      </c>
      <c r="G118" s="830"/>
      <c r="H118" s="830"/>
      <c r="I118" s="830"/>
      <c r="J118" s="830"/>
      <c r="K118" s="830"/>
      <c r="L118" s="831"/>
    </row>
    <row r="119" spans="5:12" ht="21" hidden="1" customHeight="1">
      <c r="E119" s="698" t="s">
        <v>593</v>
      </c>
      <c r="F119" s="829" t="s">
        <v>712</v>
      </c>
      <c r="G119" s="830"/>
      <c r="H119" s="830"/>
      <c r="I119" s="830"/>
      <c r="J119" s="830"/>
      <c r="K119" s="830"/>
      <c r="L119" s="831"/>
    </row>
    <row r="120" spans="5:12" ht="21" hidden="1" customHeight="1">
      <c r="E120" s="698" t="s">
        <v>596</v>
      </c>
      <c r="F120" s="829" t="s">
        <v>715</v>
      </c>
      <c r="G120" s="830"/>
      <c r="H120" s="830"/>
      <c r="I120" s="830"/>
      <c r="J120" s="830"/>
      <c r="K120" s="830"/>
      <c r="L120" s="831"/>
    </row>
    <row r="121" spans="5:12" ht="21.65" hidden="1" customHeight="1">
      <c r="E121" s="698" t="s">
        <v>599</v>
      </c>
      <c r="F121" s="829" t="s">
        <v>718</v>
      </c>
      <c r="G121" s="830"/>
      <c r="H121" s="830"/>
      <c r="I121" s="830"/>
      <c r="J121" s="830"/>
      <c r="K121" s="830"/>
      <c r="L121" s="831"/>
    </row>
    <row r="122" spans="5:12" ht="20.5" hidden="1" customHeight="1">
      <c r="E122" s="698" t="s">
        <v>602</v>
      </c>
      <c r="F122" s="829" t="s">
        <v>645</v>
      </c>
      <c r="G122" s="830"/>
      <c r="H122" s="830"/>
      <c r="I122" s="830"/>
      <c r="J122" s="830"/>
      <c r="K122" s="830"/>
      <c r="L122" s="831"/>
    </row>
    <row r="123" spans="5:12" ht="21" hidden="1" customHeight="1">
      <c r="E123" s="699" t="s">
        <v>604</v>
      </c>
      <c r="F123" s="820" t="s">
        <v>722</v>
      </c>
      <c r="G123" s="821"/>
      <c r="H123" s="821"/>
      <c r="I123" s="821"/>
      <c r="J123" s="821"/>
      <c r="K123" s="821"/>
      <c r="L123" s="822"/>
    </row>
    <row r="124" spans="5:12" ht="21.65" hidden="1" customHeight="1">
      <c r="E124" s="823" t="s">
        <v>725</v>
      </c>
      <c r="F124" s="824"/>
      <c r="G124" s="824"/>
      <c r="H124" s="824"/>
      <c r="I124" s="824"/>
      <c r="J124" s="824"/>
      <c r="K124" s="824"/>
      <c r="L124" s="825"/>
    </row>
    <row r="125" spans="5:12" ht="20.5" hidden="1" customHeight="1">
      <c r="E125" s="697" t="s">
        <v>556</v>
      </c>
      <c r="F125" s="826" t="s">
        <v>727</v>
      </c>
      <c r="G125" s="827"/>
      <c r="H125" s="827"/>
      <c r="I125" s="827"/>
      <c r="J125" s="827"/>
      <c r="K125" s="827"/>
      <c r="L125" s="828"/>
    </row>
    <row r="126" spans="5:12" ht="21" hidden="1" customHeight="1">
      <c r="E126" s="699" t="s">
        <v>606</v>
      </c>
      <c r="F126" s="820" t="s">
        <v>730</v>
      </c>
      <c r="G126" s="821"/>
      <c r="H126" s="821"/>
      <c r="I126" s="821"/>
      <c r="J126" s="821"/>
      <c r="K126" s="821"/>
      <c r="L126" s="822"/>
    </row>
    <row r="127" spans="5:12" ht="21" hidden="1" customHeight="1">
      <c r="E127" s="823" t="s">
        <v>732</v>
      </c>
      <c r="F127" s="824"/>
      <c r="G127" s="824"/>
      <c r="H127" s="824"/>
      <c r="I127" s="824"/>
      <c r="J127" s="824"/>
      <c r="K127" s="824"/>
      <c r="L127" s="825"/>
    </row>
    <row r="128" spans="5:12" ht="21" hidden="1" customHeight="1">
      <c r="E128" s="700" t="s">
        <v>610</v>
      </c>
      <c r="F128" s="826" t="s">
        <v>734</v>
      </c>
      <c r="G128" s="827"/>
      <c r="H128" s="827"/>
      <c r="I128" s="827"/>
      <c r="J128" s="827"/>
      <c r="K128" s="827"/>
      <c r="L128" s="828"/>
    </row>
    <row r="129" spans="5:12" ht="21" hidden="1" customHeight="1">
      <c r="E129" s="701" t="s">
        <v>571</v>
      </c>
      <c r="F129" s="829" t="s">
        <v>736</v>
      </c>
      <c r="G129" s="830"/>
      <c r="H129" s="830"/>
      <c r="I129" s="830"/>
      <c r="J129" s="830"/>
      <c r="K129" s="830"/>
      <c r="L129" s="831"/>
    </row>
    <row r="130" spans="5:12" ht="21" hidden="1" customHeight="1">
      <c r="E130" s="701" t="s">
        <v>613</v>
      </c>
      <c r="F130" s="829" t="s">
        <v>738</v>
      </c>
      <c r="G130" s="830"/>
      <c r="H130" s="830"/>
      <c r="I130" s="830"/>
      <c r="J130" s="830"/>
      <c r="K130" s="830"/>
      <c r="L130" s="831"/>
    </row>
    <row r="131" spans="5:12" ht="21" hidden="1" customHeight="1">
      <c r="E131" s="701" t="s">
        <v>616</v>
      </c>
      <c r="F131" s="829" t="s">
        <v>740</v>
      </c>
      <c r="G131" s="830"/>
      <c r="H131" s="830"/>
      <c r="I131" s="830"/>
      <c r="J131" s="830"/>
      <c r="K131" s="830"/>
      <c r="L131" s="831"/>
    </row>
    <row r="132" spans="5:12" ht="21" hidden="1" customHeight="1">
      <c r="E132" s="701" t="s">
        <v>617</v>
      </c>
      <c r="F132" s="829" t="s">
        <v>743</v>
      </c>
      <c r="G132" s="830"/>
      <c r="H132" s="830"/>
      <c r="I132" s="830"/>
      <c r="J132" s="830"/>
      <c r="K132" s="830"/>
      <c r="L132" s="831"/>
    </row>
    <row r="133" spans="5:12" ht="21" hidden="1" customHeight="1">
      <c r="E133" s="701" t="s">
        <v>573</v>
      </c>
      <c r="F133" s="829" t="s">
        <v>4</v>
      </c>
      <c r="G133" s="830"/>
      <c r="H133" s="830"/>
      <c r="I133" s="830"/>
      <c r="J133" s="830"/>
      <c r="K133" s="830"/>
      <c r="L133" s="831"/>
    </row>
    <row r="134" spans="5:12" ht="21" hidden="1" customHeight="1">
      <c r="E134" s="701" t="s">
        <v>559</v>
      </c>
      <c r="F134" s="829" t="s">
        <v>746</v>
      </c>
      <c r="G134" s="830"/>
      <c r="H134" s="830"/>
      <c r="I134" s="830"/>
      <c r="J134" s="830"/>
      <c r="K134" s="830"/>
      <c r="L134" s="831"/>
    </row>
    <row r="135" spans="5:12" ht="21.65" hidden="1" customHeight="1">
      <c r="E135" s="701" t="s">
        <v>625</v>
      </c>
      <c r="F135" s="829" t="s">
        <v>748</v>
      </c>
      <c r="G135" s="830"/>
      <c r="H135" s="830"/>
      <c r="I135" s="830"/>
      <c r="J135" s="830"/>
      <c r="K135" s="830"/>
      <c r="L135" s="831"/>
    </row>
    <row r="136" spans="5:12" ht="20.5" hidden="1" customHeight="1">
      <c r="E136" s="701" t="s">
        <v>629</v>
      </c>
      <c r="F136" s="829" t="s">
        <v>766</v>
      </c>
      <c r="G136" s="830"/>
      <c r="H136" s="830"/>
      <c r="I136" s="830"/>
      <c r="J136" s="830"/>
      <c r="K136" s="830"/>
      <c r="L136" s="831"/>
    </row>
    <row r="137" spans="5:12" ht="21" hidden="1" customHeight="1">
      <c r="E137" s="702" t="s">
        <v>632</v>
      </c>
      <c r="F137" s="820" t="s">
        <v>752</v>
      </c>
      <c r="G137" s="821"/>
      <c r="H137" s="821"/>
      <c r="I137" s="821"/>
      <c r="J137" s="821"/>
      <c r="K137" s="821"/>
      <c r="L137" s="822"/>
    </row>
    <row r="138" spans="5:12" ht="21" hidden="1" customHeight="1">
      <c r="E138" s="823" t="s">
        <v>754</v>
      </c>
      <c r="F138" s="824"/>
      <c r="G138" s="824"/>
      <c r="H138" s="824"/>
      <c r="I138" s="824"/>
      <c r="J138" s="824"/>
      <c r="K138" s="824"/>
      <c r="L138" s="825"/>
    </row>
    <row r="139" spans="5:12" ht="21" hidden="1" customHeight="1">
      <c r="E139" s="697" t="s">
        <v>635</v>
      </c>
      <c r="F139" s="826" t="s">
        <v>734</v>
      </c>
      <c r="G139" s="827"/>
      <c r="H139" s="827"/>
      <c r="I139" s="827"/>
      <c r="J139" s="827"/>
      <c r="K139" s="827"/>
      <c r="L139" s="828"/>
    </row>
    <row r="140" spans="5:12" ht="21" hidden="1" customHeight="1">
      <c r="E140" s="698" t="s">
        <v>583</v>
      </c>
      <c r="F140" s="829" t="s">
        <v>757</v>
      </c>
      <c r="G140" s="830"/>
      <c r="H140" s="830"/>
      <c r="I140" s="830"/>
      <c r="J140" s="830"/>
      <c r="K140" s="830"/>
      <c r="L140" s="831"/>
    </row>
    <row r="141" spans="5:12" ht="21" hidden="1" customHeight="1">
      <c r="E141" s="698" t="s">
        <v>641</v>
      </c>
      <c r="F141" s="829" t="s">
        <v>759</v>
      </c>
      <c r="G141" s="830"/>
      <c r="H141" s="830"/>
      <c r="I141" s="830"/>
      <c r="J141" s="830"/>
      <c r="K141" s="830"/>
      <c r="L141" s="831"/>
    </row>
    <row r="142" spans="5:12" ht="21" hidden="1" customHeight="1">
      <c r="E142" s="698" t="s">
        <v>576</v>
      </c>
      <c r="F142" s="829" t="s">
        <v>5</v>
      </c>
      <c r="G142" s="830"/>
      <c r="H142" s="830"/>
      <c r="I142" s="830"/>
      <c r="J142" s="830"/>
      <c r="K142" s="830"/>
      <c r="L142" s="831"/>
    </row>
    <row r="143" spans="5:12" ht="21" hidden="1" customHeight="1">
      <c r="E143" s="698" t="s">
        <v>646</v>
      </c>
      <c r="F143" s="829" t="s">
        <v>762</v>
      </c>
      <c r="G143" s="830"/>
      <c r="H143" s="830"/>
      <c r="I143" s="830"/>
      <c r="J143" s="830"/>
      <c r="K143" s="830"/>
      <c r="L143" s="831"/>
    </row>
    <row r="144" spans="5:12" ht="21.65" hidden="1" customHeight="1">
      <c r="E144" s="698" t="s">
        <v>578</v>
      </c>
      <c r="F144" s="829" t="s">
        <v>764</v>
      </c>
      <c r="G144" s="830"/>
      <c r="H144" s="830"/>
      <c r="I144" s="830"/>
      <c r="J144" s="830"/>
      <c r="K144" s="830"/>
      <c r="L144" s="831"/>
    </row>
    <row r="145" spans="5:12" ht="20.5" hidden="1" customHeight="1">
      <c r="E145" s="698" t="s">
        <v>651</v>
      </c>
      <c r="F145" s="829" t="s">
        <v>766</v>
      </c>
      <c r="G145" s="830"/>
      <c r="H145" s="830"/>
      <c r="I145" s="830"/>
      <c r="J145" s="830"/>
      <c r="K145" s="830"/>
      <c r="L145" s="831"/>
    </row>
    <row r="146" spans="5:12" ht="21" hidden="1" customHeight="1">
      <c r="E146" s="699" t="s">
        <v>655</v>
      </c>
      <c r="F146" s="820" t="s">
        <v>768</v>
      </c>
      <c r="G146" s="821"/>
      <c r="H146" s="821"/>
      <c r="I146" s="821"/>
      <c r="J146" s="821"/>
      <c r="K146" s="821"/>
      <c r="L146" s="822"/>
    </row>
    <row r="147" spans="5:12" ht="21" hidden="1" customHeight="1">
      <c r="E147" s="823" t="s">
        <v>771</v>
      </c>
      <c r="F147" s="824"/>
      <c r="G147" s="824"/>
      <c r="H147" s="824"/>
      <c r="I147" s="824"/>
      <c r="J147" s="824"/>
      <c r="K147" s="824"/>
      <c r="L147" s="825"/>
    </row>
    <row r="148" spans="5:12" ht="21.65" hidden="1" customHeight="1">
      <c r="E148" s="697" t="s">
        <v>567</v>
      </c>
      <c r="F148" s="826" t="s">
        <v>773</v>
      </c>
      <c r="G148" s="827"/>
      <c r="H148" s="827"/>
      <c r="I148" s="827"/>
      <c r="J148" s="827"/>
      <c r="K148" s="827"/>
      <c r="L148" s="828"/>
    </row>
    <row r="149" spans="5:12" ht="20.5" hidden="1" customHeight="1">
      <c r="E149" s="698" t="s">
        <v>662</v>
      </c>
      <c r="F149" s="829" t="s">
        <v>775</v>
      </c>
      <c r="G149" s="830"/>
      <c r="H149" s="830"/>
      <c r="I149" s="830"/>
      <c r="J149" s="830"/>
      <c r="K149" s="830"/>
      <c r="L149" s="831"/>
    </row>
    <row r="150" spans="5:12" ht="21" hidden="1" customHeight="1">
      <c r="E150" s="699" t="s">
        <v>665</v>
      </c>
      <c r="F150" s="820" t="s">
        <v>777</v>
      </c>
      <c r="G150" s="821"/>
      <c r="H150" s="821"/>
      <c r="I150" s="821"/>
      <c r="J150" s="821"/>
      <c r="K150" s="821"/>
      <c r="L150" s="822"/>
    </row>
    <row r="151" spans="5:12" ht="21.65" hidden="1" customHeight="1">
      <c r="E151" s="823" t="s">
        <v>780</v>
      </c>
      <c r="F151" s="824"/>
      <c r="G151" s="824"/>
      <c r="H151" s="824"/>
      <c r="I151" s="824"/>
      <c r="J151" s="824"/>
      <c r="K151" s="824"/>
      <c r="L151" s="825"/>
    </row>
    <row r="152" spans="5:12" ht="20.5" hidden="1" customHeight="1">
      <c r="E152" s="697" t="s">
        <v>669</v>
      </c>
      <c r="F152" s="826" t="s">
        <v>782</v>
      </c>
      <c r="G152" s="827"/>
      <c r="H152" s="827"/>
      <c r="I152" s="827"/>
      <c r="J152" s="827"/>
      <c r="K152" s="827"/>
      <c r="L152" s="828"/>
    </row>
    <row r="153" spans="5:12" ht="21" hidden="1" customHeight="1">
      <c r="E153" s="699" t="s">
        <v>672</v>
      </c>
      <c r="F153" s="820" t="s">
        <v>1009</v>
      </c>
      <c r="G153" s="821"/>
      <c r="H153" s="821"/>
      <c r="I153" s="821"/>
      <c r="J153" s="821"/>
      <c r="K153" s="821"/>
      <c r="L153" s="822"/>
    </row>
    <row r="154" spans="5:12" ht="21" hidden="1" customHeight="1">
      <c r="E154" s="823" t="s">
        <v>788</v>
      </c>
      <c r="F154" s="824"/>
      <c r="G154" s="824"/>
      <c r="H154" s="824"/>
      <c r="I154" s="824"/>
      <c r="J154" s="824"/>
      <c r="K154" s="824"/>
      <c r="L154" s="825"/>
    </row>
    <row r="155" spans="5:12" ht="21" hidden="1" customHeight="1">
      <c r="E155" s="697" t="s">
        <v>581</v>
      </c>
      <c r="F155" s="826" t="s">
        <v>790</v>
      </c>
      <c r="G155" s="827"/>
      <c r="H155" s="827"/>
      <c r="I155" s="827"/>
      <c r="J155" s="827"/>
      <c r="K155" s="827"/>
      <c r="L155" s="828"/>
    </row>
    <row r="156" spans="5:12" ht="21" hidden="1" customHeight="1">
      <c r="E156" s="698" t="s">
        <v>678</v>
      </c>
      <c r="F156" s="829" t="s">
        <v>793</v>
      </c>
      <c r="G156" s="830"/>
      <c r="H156" s="830"/>
      <c r="I156" s="830"/>
      <c r="J156" s="830"/>
      <c r="K156" s="830"/>
      <c r="L156" s="831"/>
    </row>
    <row r="157" spans="5:12" ht="21" hidden="1" customHeight="1">
      <c r="E157" s="698" t="s">
        <v>682</v>
      </c>
      <c r="F157" s="829" t="s">
        <v>795</v>
      </c>
      <c r="G157" s="830"/>
      <c r="H157" s="830"/>
      <c r="I157" s="830"/>
      <c r="J157" s="830"/>
      <c r="K157" s="830"/>
      <c r="L157" s="831"/>
    </row>
    <row r="158" spans="5:12" ht="21.65" hidden="1" customHeight="1">
      <c r="E158" s="698" t="s">
        <v>685</v>
      </c>
      <c r="F158" s="829" t="s">
        <v>797</v>
      </c>
      <c r="G158" s="830"/>
      <c r="H158" s="830"/>
      <c r="I158" s="830"/>
      <c r="J158" s="830"/>
      <c r="K158" s="830"/>
      <c r="L158" s="831"/>
    </row>
    <row r="159" spans="5:12" ht="20.5" hidden="1" customHeight="1">
      <c r="E159" s="698" t="s">
        <v>688</v>
      </c>
      <c r="F159" s="829" t="s">
        <v>645</v>
      </c>
      <c r="G159" s="830"/>
      <c r="H159" s="830"/>
      <c r="I159" s="830"/>
      <c r="J159" s="830"/>
      <c r="K159" s="830"/>
      <c r="L159" s="831"/>
    </row>
    <row r="160" spans="5:12" ht="21" hidden="1" customHeight="1">
      <c r="E160" s="699" t="s">
        <v>692</v>
      </c>
      <c r="F160" s="820" t="s">
        <v>801</v>
      </c>
      <c r="G160" s="821"/>
      <c r="H160" s="821"/>
      <c r="I160" s="821"/>
      <c r="J160" s="821"/>
      <c r="K160" s="821"/>
      <c r="L160" s="822"/>
    </row>
    <row r="161" spans="5:12" ht="21" hidden="1" customHeight="1">
      <c r="E161" s="823" t="s">
        <v>804</v>
      </c>
      <c r="F161" s="824"/>
      <c r="G161" s="824"/>
      <c r="H161" s="824"/>
      <c r="I161" s="824"/>
      <c r="J161" s="824"/>
      <c r="K161" s="824"/>
      <c r="L161" s="825"/>
    </row>
    <row r="162" spans="5:12" ht="21" hidden="1" customHeight="1">
      <c r="E162" s="700" t="s">
        <v>518</v>
      </c>
      <c r="F162" s="826" t="s">
        <v>806</v>
      </c>
      <c r="G162" s="827"/>
      <c r="H162" s="827"/>
      <c r="I162" s="827"/>
      <c r="J162" s="827"/>
      <c r="K162" s="827"/>
      <c r="L162" s="828"/>
    </row>
    <row r="163" spans="5:12" ht="21" hidden="1" customHeight="1">
      <c r="E163" s="701" t="s">
        <v>698</v>
      </c>
      <c r="F163" s="829" t="s">
        <v>808</v>
      </c>
      <c r="G163" s="830"/>
      <c r="H163" s="830"/>
      <c r="I163" s="830"/>
      <c r="J163" s="830"/>
      <c r="K163" s="830"/>
      <c r="L163" s="831"/>
    </row>
    <row r="164" spans="5:12" ht="21" hidden="1" customHeight="1">
      <c r="E164" s="701" t="s">
        <v>701</v>
      </c>
      <c r="F164" s="829" t="s">
        <v>810</v>
      </c>
      <c r="G164" s="830"/>
      <c r="H164" s="830"/>
      <c r="I164" s="830"/>
      <c r="J164" s="830"/>
      <c r="K164" s="830"/>
      <c r="L164" s="831"/>
    </row>
    <row r="165" spans="5:12" ht="21" hidden="1" customHeight="1">
      <c r="E165" s="701" t="s">
        <v>704</v>
      </c>
      <c r="F165" s="829" t="s">
        <v>812</v>
      </c>
      <c r="G165" s="830"/>
      <c r="H165" s="830"/>
      <c r="I165" s="830"/>
      <c r="J165" s="830"/>
      <c r="K165" s="830"/>
      <c r="L165" s="831"/>
    </row>
    <row r="166" spans="5:12" ht="21" hidden="1" customHeight="1">
      <c r="E166" s="701" t="s">
        <v>708</v>
      </c>
      <c r="F166" s="829" t="s">
        <v>814</v>
      </c>
      <c r="G166" s="830"/>
      <c r="H166" s="830"/>
      <c r="I166" s="830"/>
      <c r="J166" s="830"/>
      <c r="K166" s="830"/>
      <c r="L166" s="831"/>
    </row>
    <row r="167" spans="5:12" ht="21" hidden="1" customHeight="1">
      <c r="E167" s="701" t="s">
        <v>595</v>
      </c>
      <c r="F167" s="829" t="s">
        <v>816</v>
      </c>
      <c r="G167" s="830"/>
      <c r="H167" s="830"/>
      <c r="I167" s="830"/>
      <c r="J167" s="830"/>
      <c r="K167" s="830"/>
      <c r="L167" s="831"/>
    </row>
    <row r="168" spans="5:12" ht="21" hidden="1" customHeight="1">
      <c r="E168" s="701" t="s">
        <v>713</v>
      </c>
      <c r="F168" s="829" t="s">
        <v>818</v>
      </c>
      <c r="G168" s="830"/>
      <c r="H168" s="830"/>
      <c r="I168" s="830"/>
      <c r="J168" s="830"/>
      <c r="K168" s="830"/>
      <c r="L168" s="831"/>
    </row>
    <row r="169" spans="5:12" ht="21" hidden="1" customHeight="1">
      <c r="E169" s="701" t="s">
        <v>716</v>
      </c>
      <c r="F169" s="829" t="s">
        <v>35</v>
      </c>
      <c r="G169" s="830"/>
      <c r="H169" s="830"/>
      <c r="I169" s="830"/>
      <c r="J169" s="830"/>
      <c r="K169" s="830"/>
      <c r="L169" s="831"/>
    </row>
    <row r="170" spans="5:12" ht="21.65" hidden="1" customHeight="1">
      <c r="E170" s="701" t="s">
        <v>719</v>
      </c>
      <c r="F170" s="829" t="s">
        <v>821</v>
      </c>
      <c r="G170" s="830"/>
      <c r="H170" s="830"/>
      <c r="I170" s="830"/>
      <c r="J170" s="830"/>
      <c r="K170" s="830"/>
      <c r="L170" s="831"/>
    </row>
    <row r="171" spans="5:12" ht="20.5" hidden="1" customHeight="1">
      <c r="E171" s="701" t="s">
        <v>696</v>
      </c>
      <c r="F171" s="829" t="s">
        <v>823</v>
      </c>
      <c r="G171" s="830"/>
      <c r="H171" s="830"/>
      <c r="I171" s="830"/>
      <c r="J171" s="830"/>
      <c r="K171" s="830"/>
      <c r="L171" s="831"/>
    </row>
    <row r="172" spans="5:12" ht="21" hidden="1" customHeight="1">
      <c r="E172" s="702" t="s">
        <v>588</v>
      </c>
      <c r="F172" s="820" t="s">
        <v>825</v>
      </c>
      <c r="G172" s="821"/>
      <c r="H172" s="821"/>
      <c r="I172" s="821"/>
      <c r="J172" s="821"/>
      <c r="K172" s="821"/>
      <c r="L172" s="822"/>
    </row>
    <row r="173" spans="5:12" ht="21" hidden="1" customHeight="1">
      <c r="E173" s="823" t="s">
        <v>827</v>
      </c>
      <c r="F173" s="824"/>
      <c r="G173" s="824"/>
      <c r="H173" s="824"/>
      <c r="I173" s="824"/>
      <c r="J173" s="824"/>
      <c r="K173" s="824"/>
      <c r="L173" s="825"/>
    </row>
    <row r="174" spans="5:12" ht="21" hidden="1" customHeight="1">
      <c r="E174" s="697" t="s">
        <v>589</v>
      </c>
      <c r="F174" s="826" t="s">
        <v>829</v>
      </c>
      <c r="G174" s="827"/>
      <c r="H174" s="827"/>
      <c r="I174" s="827"/>
      <c r="J174" s="827"/>
      <c r="K174" s="827"/>
      <c r="L174" s="828"/>
    </row>
    <row r="175" spans="5:12" ht="21" hidden="1" customHeight="1">
      <c r="E175" s="698" t="s">
        <v>728</v>
      </c>
      <c r="F175" s="829" t="s">
        <v>831</v>
      </c>
      <c r="G175" s="830"/>
      <c r="H175" s="830"/>
      <c r="I175" s="830"/>
      <c r="J175" s="830"/>
      <c r="K175" s="830"/>
      <c r="L175" s="831"/>
    </row>
    <row r="176" spans="5:12" ht="21.65" hidden="1" customHeight="1">
      <c r="E176" s="698" t="s">
        <v>600</v>
      </c>
      <c r="F176" s="829" t="s">
        <v>832</v>
      </c>
      <c r="G176" s="830"/>
      <c r="H176" s="830"/>
      <c r="I176" s="830"/>
      <c r="J176" s="830"/>
      <c r="K176" s="830"/>
      <c r="L176" s="831"/>
    </row>
    <row r="177" spans="5:12" ht="21" hidden="1">
      <c r="E177" s="699" t="s">
        <v>603</v>
      </c>
      <c r="F177" s="820" t="s">
        <v>835</v>
      </c>
      <c r="G177" s="821"/>
      <c r="H177" s="821"/>
      <c r="I177" s="821"/>
      <c r="J177" s="821"/>
      <c r="K177" s="821"/>
      <c r="L177" s="822"/>
    </row>
    <row r="178" spans="5:12" ht="21.5" hidden="1" thickBot="1">
      <c r="E178" s="703" t="s">
        <v>597</v>
      </c>
      <c r="F178" s="832" t="s">
        <v>838</v>
      </c>
      <c r="G178" s="833"/>
      <c r="H178" s="833"/>
      <c r="I178" s="833"/>
      <c r="J178" s="833"/>
      <c r="K178" s="833"/>
      <c r="L178" s="834"/>
    </row>
    <row r="179" spans="5:12" ht="14.5" customHeight="1"/>
    <row r="180" spans="5:12" ht="14.5" customHeight="1"/>
    <row r="181" spans="5:12" ht="14.5" customHeight="1"/>
    <row r="182" spans="5:12" ht="14.5" customHeight="1"/>
    <row r="183" spans="5:12" ht="14.5" customHeight="1"/>
    <row r="184" spans="5:12" ht="14.5" customHeight="1"/>
    <row r="185" spans="5:12" ht="14.5" customHeight="1"/>
    <row r="186" spans="5:12" ht="14.5" customHeight="1"/>
    <row r="187" spans="5:12" ht="14.5" customHeight="1"/>
    <row r="188" spans="5:12" ht="14.5" customHeight="1"/>
    <row r="189" spans="5:12" ht="14.5" customHeight="1"/>
    <row r="190" spans="5:12" ht="14.5" customHeight="1"/>
    <row r="191" spans="5:12" ht="14.5" customHeight="1"/>
    <row r="192" spans="5:12" ht="14.5" customHeight="1"/>
    <row r="193" ht="14.5" customHeight="1"/>
    <row r="194" ht="14.5" customHeight="1"/>
    <row r="195" ht="14.5" customHeight="1"/>
    <row r="196" ht="14.5" customHeight="1"/>
    <row r="197" ht="14.5" customHeight="1"/>
  </sheetData>
  <sheetProtection autoFilter="0"/>
  <mergeCells count="198">
    <mergeCell ref="N4:AB4"/>
    <mergeCell ref="AJ2:AJ3"/>
    <mergeCell ref="AK2:AK3"/>
    <mergeCell ref="H7:K7"/>
    <mergeCell ref="H8:K8"/>
    <mergeCell ref="H9:K9"/>
    <mergeCell ref="D23:D24"/>
    <mergeCell ref="E23:E24"/>
    <mergeCell ref="F23:F24"/>
    <mergeCell ref="G23:G24"/>
    <mergeCell ref="H23:H24"/>
    <mergeCell ref="H10:K10"/>
    <mergeCell ref="H11:K11"/>
    <mergeCell ref="H12:K12"/>
    <mergeCell ref="H13:K13"/>
    <mergeCell ref="H14:K14"/>
    <mergeCell ref="D18:AC18"/>
    <mergeCell ref="I23:I24"/>
    <mergeCell ref="J23:J24"/>
    <mergeCell ref="K23:K24"/>
    <mergeCell ref="L23:L24"/>
    <mergeCell ref="M23:M24"/>
    <mergeCell ref="N23:N24"/>
    <mergeCell ref="U19:X20"/>
    <mergeCell ref="U21:U22"/>
    <mergeCell ref="V21:V22"/>
    <mergeCell ref="W21:W22"/>
    <mergeCell ref="X21:X22"/>
    <mergeCell ref="U23:X23"/>
    <mergeCell ref="Y23:Y24"/>
    <mergeCell ref="Z23:Z24"/>
    <mergeCell ref="AA23:AA24"/>
    <mergeCell ref="AB23:AB24"/>
    <mergeCell ref="AC23:AC24"/>
    <mergeCell ref="O23:O24"/>
    <mergeCell ref="P23:P24"/>
    <mergeCell ref="Q23:Q24"/>
    <mergeCell ref="R23:R24"/>
    <mergeCell ref="S23:S24"/>
    <mergeCell ref="T23:T24"/>
    <mergeCell ref="E50:F50"/>
    <mergeCell ref="G50:L50"/>
    <mergeCell ref="M50:X50"/>
    <mergeCell ref="E51:F51"/>
    <mergeCell ref="G51:L51"/>
    <mergeCell ref="M51:X51"/>
    <mergeCell ref="E48:F48"/>
    <mergeCell ref="G48:L48"/>
    <mergeCell ref="M48:X48"/>
    <mergeCell ref="E49:F49"/>
    <mergeCell ref="G49:L49"/>
    <mergeCell ref="M49:X49"/>
    <mergeCell ref="E54:F54"/>
    <mergeCell ref="G54:L54"/>
    <mergeCell ref="M54:X54"/>
    <mergeCell ref="E55:F55"/>
    <mergeCell ref="G55:L55"/>
    <mergeCell ref="M55:X55"/>
    <mergeCell ref="E52:F52"/>
    <mergeCell ref="G52:L52"/>
    <mergeCell ref="M52:X52"/>
    <mergeCell ref="E53:F53"/>
    <mergeCell ref="G53:L53"/>
    <mergeCell ref="M53:X53"/>
    <mergeCell ref="E58:F58"/>
    <mergeCell ref="G58:L58"/>
    <mergeCell ref="M58:X58"/>
    <mergeCell ref="E59:F59"/>
    <mergeCell ref="G59:L59"/>
    <mergeCell ref="M59:X59"/>
    <mergeCell ref="E56:F56"/>
    <mergeCell ref="G56:L56"/>
    <mergeCell ref="M56:X56"/>
    <mergeCell ref="E57:F57"/>
    <mergeCell ref="G57:L57"/>
    <mergeCell ref="M57:X57"/>
    <mergeCell ref="E63:F63"/>
    <mergeCell ref="G63:L63"/>
    <mergeCell ref="M63:X63"/>
    <mergeCell ref="E64:F64"/>
    <mergeCell ref="G64:L64"/>
    <mergeCell ref="M64:X64"/>
    <mergeCell ref="E60:F60"/>
    <mergeCell ref="G60:L60"/>
    <mergeCell ref="M60:X60"/>
    <mergeCell ref="E61:F61"/>
    <mergeCell ref="M61:X61"/>
    <mergeCell ref="E62:F62"/>
    <mergeCell ref="M62:X62"/>
    <mergeCell ref="F74:L74"/>
    <mergeCell ref="F75:L75"/>
    <mergeCell ref="F76:L76"/>
    <mergeCell ref="F77:L77"/>
    <mergeCell ref="F78:L78"/>
    <mergeCell ref="F79:L79"/>
    <mergeCell ref="F68:L68"/>
    <mergeCell ref="F69:L69"/>
    <mergeCell ref="F70:L70"/>
    <mergeCell ref="F71:L71"/>
    <mergeCell ref="F72:L72"/>
    <mergeCell ref="F73:L73"/>
    <mergeCell ref="F87:L87"/>
    <mergeCell ref="F89:L89"/>
    <mergeCell ref="E90:L90"/>
    <mergeCell ref="F91:L91"/>
    <mergeCell ref="F92:L92"/>
    <mergeCell ref="F93:L93"/>
    <mergeCell ref="F80:L80"/>
    <mergeCell ref="F81:L81"/>
    <mergeCell ref="F83:L83"/>
    <mergeCell ref="F84:L84"/>
    <mergeCell ref="F85:L85"/>
    <mergeCell ref="F86:L86"/>
    <mergeCell ref="E100:L100"/>
    <mergeCell ref="F101:L101"/>
    <mergeCell ref="F102:L102"/>
    <mergeCell ref="F103:L103"/>
    <mergeCell ref="F104:L104"/>
    <mergeCell ref="F105:L105"/>
    <mergeCell ref="E94:L94"/>
    <mergeCell ref="F95:L95"/>
    <mergeCell ref="F96:L96"/>
    <mergeCell ref="F97:L97"/>
    <mergeCell ref="F98:L98"/>
    <mergeCell ref="F99:L99"/>
    <mergeCell ref="F112:L112"/>
    <mergeCell ref="F113:L113"/>
    <mergeCell ref="F114:L114"/>
    <mergeCell ref="F115:L115"/>
    <mergeCell ref="F116:L116"/>
    <mergeCell ref="F117:L117"/>
    <mergeCell ref="F106:L106"/>
    <mergeCell ref="F107:L107"/>
    <mergeCell ref="F108:L108"/>
    <mergeCell ref="F109:L109"/>
    <mergeCell ref="F110:L110"/>
    <mergeCell ref="E111:L111"/>
    <mergeCell ref="E124:L124"/>
    <mergeCell ref="F125:L125"/>
    <mergeCell ref="F126:L126"/>
    <mergeCell ref="E127:L127"/>
    <mergeCell ref="F128:L128"/>
    <mergeCell ref="F129:L129"/>
    <mergeCell ref="F118:L118"/>
    <mergeCell ref="F119:L119"/>
    <mergeCell ref="F120:L120"/>
    <mergeCell ref="F121:L121"/>
    <mergeCell ref="F122:L122"/>
    <mergeCell ref="F123:L123"/>
    <mergeCell ref="F136:L136"/>
    <mergeCell ref="F137:L137"/>
    <mergeCell ref="E138:L138"/>
    <mergeCell ref="F139:L139"/>
    <mergeCell ref="F140:L140"/>
    <mergeCell ref="F141:L141"/>
    <mergeCell ref="F130:L130"/>
    <mergeCell ref="F131:L131"/>
    <mergeCell ref="F132:L132"/>
    <mergeCell ref="F133:L133"/>
    <mergeCell ref="F134:L134"/>
    <mergeCell ref="F135:L135"/>
    <mergeCell ref="F148:L148"/>
    <mergeCell ref="F149:L149"/>
    <mergeCell ref="F150:L150"/>
    <mergeCell ref="E151:L151"/>
    <mergeCell ref="F152:L152"/>
    <mergeCell ref="F153:L153"/>
    <mergeCell ref="F142:L142"/>
    <mergeCell ref="F143:L143"/>
    <mergeCell ref="F144:L144"/>
    <mergeCell ref="F145:L145"/>
    <mergeCell ref="F146:L146"/>
    <mergeCell ref="E147:L147"/>
    <mergeCell ref="F178:L178"/>
    <mergeCell ref="F172:L172"/>
    <mergeCell ref="E173:L173"/>
    <mergeCell ref="F174:L174"/>
    <mergeCell ref="F175:L175"/>
    <mergeCell ref="F176:L176"/>
    <mergeCell ref="F177:L177"/>
    <mergeCell ref="F166:L166"/>
    <mergeCell ref="F167:L167"/>
    <mergeCell ref="F168:L168"/>
    <mergeCell ref="F169:L169"/>
    <mergeCell ref="F170:L170"/>
    <mergeCell ref="F171:L171"/>
    <mergeCell ref="F160:L160"/>
    <mergeCell ref="E161:L161"/>
    <mergeCell ref="F162:L162"/>
    <mergeCell ref="F163:L163"/>
    <mergeCell ref="F164:L164"/>
    <mergeCell ref="F165:L165"/>
    <mergeCell ref="E154:L154"/>
    <mergeCell ref="F155:L155"/>
    <mergeCell ref="F156:L156"/>
    <mergeCell ref="F157:L157"/>
    <mergeCell ref="F158:L158"/>
    <mergeCell ref="F159:L159"/>
  </mergeCells>
  <conditionalFormatting sqref="D19:T22 D5:G14 D3:V3 L7:L14 D15:AC17 AC7:AC13 D40:AC42 Y19:AC22 M14:Z14 AB14:AC14 AA12:AA14 M12:Y13 N5:P7 H5:M6 M7:M11 D4:M4 X3:AC3 AD3:AD42 C3:C42 AC4 AB5:AB7 AB6:AC6 N8:AA8 Q5:AC5">
    <cfRule type="expression" dxfId="37" priority="41">
      <formula>$U$3=TRUE</formula>
    </cfRule>
  </conditionalFormatting>
  <conditionalFormatting sqref="T26:T35">
    <cfRule type="expression" dxfId="36" priority="40">
      <formula>AS26="Error"</formula>
    </cfRule>
  </conditionalFormatting>
  <conditionalFormatting sqref="AB12:AB13">
    <cfRule type="expression" dxfId="35" priority="39">
      <formula>$U$3=TRUE</formula>
    </cfRule>
  </conditionalFormatting>
  <conditionalFormatting sqref="Z12:Z13">
    <cfRule type="expression" dxfId="34" priority="38">
      <formula>$U$3=TRUE</formula>
    </cfRule>
  </conditionalFormatting>
  <conditionalFormatting sqref="U19">
    <cfRule type="expression" dxfId="33" priority="37">
      <formula>$U$3=TRUE</formula>
    </cfRule>
  </conditionalFormatting>
  <conditionalFormatting sqref="Z26:Z39">
    <cfRule type="expression" dxfId="32" priority="36">
      <formula>$AQ26="Error"</formula>
    </cfRule>
  </conditionalFormatting>
  <conditionalFormatting sqref="S26:S39">
    <cfRule type="expression" dxfId="31" priority="35">
      <formula>$AP26="Error"</formula>
    </cfRule>
  </conditionalFormatting>
  <conditionalFormatting sqref="N6:AA6">
    <cfRule type="expression" dxfId="30" priority="34">
      <formula>Q40=1</formula>
    </cfRule>
  </conditionalFormatting>
  <conditionalFormatting sqref="N9:O10 N8:AA8 R9:AA10">
    <cfRule type="expression" dxfId="29" priority="33">
      <formula>Q43=1</formula>
    </cfRule>
  </conditionalFormatting>
  <conditionalFormatting sqref="N9:O10 N11:AA11 R9:AA10">
    <cfRule type="expression" dxfId="28" priority="32">
      <formula>$U$3=TRUE</formula>
    </cfRule>
  </conditionalFormatting>
  <conditionalFormatting sqref="N11:AA11">
    <cfRule type="expression" dxfId="27" priority="31">
      <formula>Q46=1</formula>
    </cfRule>
  </conditionalFormatting>
  <conditionalFormatting sqref="N4">
    <cfRule type="expression" dxfId="26" priority="30">
      <formula>$U$3=TRUE</formula>
    </cfRule>
  </conditionalFormatting>
  <conditionalFormatting sqref="T25">
    <cfRule type="expression" dxfId="25" priority="23">
      <formula>AS25="Error"</formula>
    </cfRule>
  </conditionalFormatting>
  <conditionalFormatting sqref="Z25 Z35">
    <cfRule type="expression" dxfId="24" priority="22">
      <formula>$AQ25="Error"</formula>
    </cfRule>
  </conditionalFormatting>
  <conditionalFormatting sqref="S25 S35">
    <cfRule type="expression" dxfId="23" priority="21">
      <formula>$AP25="Error"</formula>
    </cfRule>
  </conditionalFormatting>
  <conditionalFormatting sqref="P9">
    <cfRule type="expression" dxfId="22" priority="13">
      <formula>$U$3=TRUE</formula>
    </cfRule>
  </conditionalFormatting>
  <conditionalFormatting sqref="P9">
    <cfRule type="expression" dxfId="21" priority="12">
      <formula>S44=1</formula>
    </cfRule>
  </conditionalFormatting>
  <conditionalFormatting sqref="P10 R10 T10 V10:AA10">
    <cfRule type="expression" dxfId="20" priority="9">
      <formula>$U$3=TRUE</formula>
    </cfRule>
  </conditionalFormatting>
  <conditionalFormatting sqref="P10">
    <cfRule type="expression" dxfId="19" priority="8">
      <formula>S45=1</formula>
    </cfRule>
  </conditionalFormatting>
  <conditionalFormatting sqref="R9 T9 V9:AA9">
    <cfRule type="expression" dxfId="18" priority="5">
      <formula>$U$3=TRUE</formula>
    </cfRule>
  </conditionalFormatting>
  <conditionalFormatting sqref="R9">
    <cfRule type="expression" dxfId="17" priority="4">
      <formula>U44=1</formula>
    </cfRule>
  </conditionalFormatting>
  <conditionalFormatting sqref="Q9:Q10">
    <cfRule type="expression" dxfId="16" priority="3">
      <formula>$U$3=TRUE</formula>
    </cfRule>
  </conditionalFormatting>
  <conditionalFormatting sqref="Q9:Q10">
    <cfRule type="expression" dxfId="15" priority="2">
      <formula>T44=1</formula>
    </cfRule>
  </conditionalFormatting>
  <conditionalFormatting sqref="W3">
    <cfRule type="expression" dxfId="14" priority="1">
      <formula>$U$3=TRUE</formula>
    </cfRule>
  </conditionalFormatting>
  <dataValidations count="5">
    <dataValidation type="list" allowBlank="1" showInputMessage="1" showErrorMessage="1" sqref="T36:T39" xr:uid="{63B16DD9-0CDF-4433-B5D0-9CF6B5F083E3}">
      <formula1>$E$49:$E$63</formula1>
    </dataValidation>
    <dataValidation type="list" allowBlank="1" showInputMessage="1" showErrorMessage="1" sqref="T25:T35" xr:uid="{B5FC5225-BF1F-4D2D-8F48-47A75190BE9A}">
      <formula1>$E$48:$E$62</formula1>
    </dataValidation>
    <dataValidation type="list" allowBlank="1" showInputMessage="1" showErrorMessage="1" sqref="S25:S39" xr:uid="{A302B112-F2B5-4150-9C09-0659E6228406}">
      <formula1>$AJ$7:$AJ$10</formula1>
    </dataValidation>
    <dataValidation type="date" operator="greaterThan" allowBlank="1" showInputMessage="1" showErrorMessage="1" sqref="E25:E39" xr:uid="{6E4C6B8A-170D-4340-92ED-C869BA327D21}">
      <formula1>1/1/1900</formula1>
    </dataValidation>
    <dataValidation type="list" allowBlank="1" showInputMessage="1" showErrorMessage="1" sqref="Y25:Y39" xr:uid="{EDE92351-B53C-42E8-9AB9-E24391550883}">
      <formula1>"Estimate,Firm Cost"</formula1>
    </dataValidation>
  </dataValidations>
  <pageMargins left="0.7" right="0.7" top="0.75" bottom="0.75" header="0.3" footer="0.3"/>
  <ignoredErrors>
    <ignoredError sqref="N25:P25 N27:P39 N26:O26"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eleteVar">
                <anchor moveWithCells="1" sizeWithCells="1">
                  <from>
                    <xdr:col>5</xdr:col>
                    <xdr:colOff>603250</xdr:colOff>
                    <xdr:row>5</xdr:row>
                    <xdr:rowOff>12700</xdr:rowOff>
                  </from>
                  <to>
                    <xdr:col>12</xdr:col>
                    <xdr:colOff>1136650</xdr:colOff>
                    <xdr:row>7</xdr:row>
                    <xdr:rowOff>146050</xdr:rowOff>
                  </to>
                </anchor>
              </controlPr>
            </control>
          </mc:Choice>
        </mc:AlternateContent>
        <mc:AlternateContent xmlns:mc="http://schemas.openxmlformats.org/markup-compatibility/2006">
          <mc:Choice Requires="x14">
            <control shapeId="8194" r:id="rId4" name="Button 2">
              <controlPr defaultSize="0" print="0" autoFill="0" autoPict="0" macro="[0]!InsertVar">
                <anchor moveWithCells="1" sizeWithCells="1">
                  <from>
                    <xdr:col>3</xdr:col>
                    <xdr:colOff>419100</xdr:colOff>
                    <xdr:row>5</xdr:row>
                    <xdr:rowOff>38100</xdr:rowOff>
                  </from>
                  <to>
                    <xdr:col>5</xdr:col>
                    <xdr:colOff>393700</xdr:colOff>
                    <xdr:row>7</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8E226C7-AD78-45AB-880C-A6D256FCC09F}">
          <x14:formula1>
            <xm:f>'GMP COST DATA'!$AF$8:$AF$80</xm:f>
          </x14:formula1>
          <xm:sqref>Q25:Q39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B7BDA-3BB1-4D02-B857-002A10D1ABF7}">
  <sheetPr codeName="Sheet5"/>
  <dimension ref="A1:Z89"/>
  <sheetViews>
    <sheetView topLeftCell="A4" zoomScale="55" zoomScaleNormal="55" workbookViewId="0">
      <selection activeCell="L16" sqref="L16"/>
    </sheetView>
  </sheetViews>
  <sheetFormatPr defaultRowHeight="14.5"/>
  <cols>
    <col min="1" max="1" width="3.54296875" customWidth="1"/>
    <col min="2" max="2" width="3.453125" customWidth="1"/>
    <col min="3" max="3" width="48.1796875" customWidth="1"/>
    <col min="4" max="4" width="22.81640625" customWidth="1"/>
    <col min="5" max="7" width="24.54296875" customWidth="1"/>
    <col min="8" max="9" width="15.54296875" customWidth="1"/>
    <col min="10" max="10" width="2.81640625" customWidth="1"/>
    <col min="11" max="14" width="20.1796875" customWidth="1"/>
    <col min="15" max="16" width="18" customWidth="1"/>
    <col min="17" max="17" width="2.81640625" customWidth="1"/>
    <col min="18" max="20" width="20.1796875" customWidth="1"/>
    <col min="21" max="21" width="2.81640625" customWidth="1"/>
    <col min="22" max="22" width="18" customWidth="1"/>
    <col min="23" max="23" width="22.1796875" customWidth="1"/>
    <col min="24" max="24" width="3.453125" customWidth="1"/>
    <col min="25" max="25" width="3.54296875" customWidth="1"/>
  </cols>
  <sheetData>
    <row r="1" spans="1:26" ht="15" thickBot="1">
      <c r="A1" s="492"/>
      <c r="B1" s="493"/>
      <c r="C1" s="493"/>
      <c r="D1" s="493"/>
      <c r="E1" s="493"/>
      <c r="F1" s="493"/>
      <c r="G1" s="493"/>
      <c r="H1" s="493"/>
      <c r="I1" s="493"/>
      <c r="J1" s="493"/>
      <c r="K1" s="493"/>
      <c r="L1" s="493"/>
      <c r="M1" s="493"/>
      <c r="N1" s="493"/>
      <c r="O1" s="493"/>
      <c r="P1" s="493"/>
      <c r="Q1" s="493"/>
      <c r="R1" s="493"/>
      <c r="S1" s="493"/>
      <c r="T1" s="493"/>
      <c r="U1" s="493"/>
      <c r="V1" s="493"/>
      <c r="W1" s="493"/>
      <c r="X1" s="493"/>
      <c r="Y1" s="494"/>
    </row>
    <row r="2" spans="1:26" ht="15" thickBot="1">
      <c r="A2" s="495"/>
      <c r="B2" s="496"/>
      <c r="C2" s="497"/>
      <c r="D2" s="497"/>
      <c r="E2" s="497"/>
      <c r="F2" s="497"/>
      <c r="G2" s="497"/>
      <c r="H2" s="497"/>
      <c r="I2" s="497"/>
      <c r="J2" s="497"/>
      <c r="K2" s="911" t="s">
        <v>1010</v>
      </c>
      <c r="L2" s="911"/>
      <c r="M2" s="911"/>
      <c r="N2" s="911"/>
      <c r="O2" s="911"/>
      <c r="P2" s="911"/>
      <c r="Q2" s="911"/>
      <c r="R2" s="911"/>
      <c r="S2" s="911"/>
      <c r="T2" s="911"/>
      <c r="U2" s="497"/>
      <c r="V2" s="497"/>
      <c r="W2" s="497"/>
      <c r="X2" s="498"/>
      <c r="Y2" s="499"/>
    </row>
    <row r="3" spans="1:26" ht="29.25" customHeight="1">
      <c r="A3" s="495"/>
      <c r="B3" s="500"/>
      <c r="C3" s="501" t="s">
        <v>1011</v>
      </c>
      <c r="D3" s="502"/>
      <c r="E3" s="502"/>
      <c r="F3" s="502"/>
      <c r="G3" s="502"/>
      <c r="H3" s="502"/>
      <c r="I3" s="503"/>
      <c r="J3" s="504"/>
      <c r="K3" s="912" t="s">
        <v>1012</v>
      </c>
      <c r="L3" s="913"/>
      <c r="M3" s="913"/>
      <c r="N3" s="913"/>
      <c r="O3" s="913"/>
      <c r="P3" s="914"/>
      <c r="Q3" s="505"/>
      <c r="R3" s="912" t="s">
        <v>1013</v>
      </c>
      <c r="S3" s="915"/>
      <c r="T3" s="914"/>
      <c r="U3" s="504"/>
      <c r="V3" s="506"/>
      <c r="W3" s="502"/>
      <c r="X3" s="507"/>
      <c r="Y3" s="499"/>
    </row>
    <row r="4" spans="1:26" ht="29.25" customHeight="1" thickBot="1">
      <c r="A4" s="495"/>
      <c r="B4" s="500"/>
      <c r="C4" s="501"/>
      <c r="D4" s="502"/>
      <c r="E4" s="502"/>
      <c r="F4" s="502"/>
      <c r="G4" s="502"/>
      <c r="H4" s="502"/>
      <c r="I4" s="503"/>
      <c r="J4" s="508"/>
      <c r="K4" s="509" t="s">
        <v>1014</v>
      </c>
      <c r="L4" s="510" t="s">
        <v>1015</v>
      </c>
      <c r="M4" s="510" t="s">
        <v>1016</v>
      </c>
      <c r="N4" s="510" t="s">
        <v>1017</v>
      </c>
      <c r="O4" s="510" t="s">
        <v>1018</v>
      </c>
      <c r="P4" s="511" t="s">
        <v>1018</v>
      </c>
      <c r="Q4" s="512"/>
      <c r="R4" s="509" t="s">
        <v>1019</v>
      </c>
      <c r="S4" s="513" t="s">
        <v>121</v>
      </c>
      <c r="T4" s="511" t="s">
        <v>1020</v>
      </c>
      <c r="U4" s="508"/>
      <c r="V4" s="514"/>
      <c r="W4" s="515"/>
      <c r="X4" s="507"/>
      <c r="Y4" s="499"/>
    </row>
    <row r="5" spans="1:26" ht="45" customHeight="1" thickBot="1">
      <c r="A5" s="495"/>
      <c r="B5" s="500"/>
      <c r="C5" s="515"/>
      <c r="D5" s="515"/>
      <c r="E5" s="515"/>
      <c r="F5" s="515"/>
      <c r="G5" s="515"/>
      <c r="H5" s="515"/>
      <c r="I5" s="516"/>
      <c r="J5" s="517"/>
      <c r="K5" s="518"/>
      <c r="L5" s="519"/>
      <c r="M5" s="519"/>
      <c r="N5" s="519"/>
      <c r="O5" s="519"/>
      <c r="P5" s="520"/>
      <c r="Q5" s="517"/>
      <c r="R5" s="518"/>
      <c r="S5" s="519"/>
      <c r="T5" s="521"/>
      <c r="U5" s="517"/>
      <c r="V5" s="903" t="s">
        <v>1021</v>
      </c>
      <c r="W5" s="905" t="s">
        <v>1022</v>
      </c>
      <c r="X5" s="507"/>
      <c r="Y5" s="499"/>
    </row>
    <row r="6" spans="1:26" ht="56.25" customHeight="1">
      <c r="A6" s="495"/>
      <c r="B6" s="500"/>
      <c r="C6" s="522" t="s">
        <v>1023</v>
      </c>
      <c r="D6" s="523" t="s">
        <v>829</v>
      </c>
      <c r="E6" s="524" t="s">
        <v>1024</v>
      </c>
      <c r="F6" s="524" t="str">
        <f>"Spent to End of "&amp;'[4]GMP COST DATA'!O10&amp;" "&amp;'[4]GMP COST DATA'!P10</f>
        <v>Spent to End of February 2022</v>
      </c>
      <c r="G6" s="524" t="s">
        <v>1025</v>
      </c>
      <c r="H6" s="524" t="s">
        <v>1026</v>
      </c>
      <c r="I6" s="525" t="s">
        <v>1027</v>
      </c>
      <c r="J6" s="517"/>
      <c r="K6" s="526"/>
      <c r="L6" s="527"/>
      <c r="M6" s="527"/>
      <c r="N6" s="527"/>
      <c r="O6" s="527"/>
      <c r="P6" s="528"/>
      <c r="Q6" s="529"/>
      <c r="R6" s="530"/>
      <c r="S6" s="531"/>
      <c r="T6" s="532"/>
      <c r="U6" s="517"/>
      <c r="V6" s="904"/>
      <c r="W6" s="906"/>
      <c r="X6" s="507"/>
      <c r="Y6" s="499"/>
      <c r="Z6" s="533"/>
    </row>
    <row r="7" spans="1:26" ht="15" customHeight="1">
      <c r="A7" s="495"/>
      <c r="B7" s="500"/>
      <c r="C7" s="534" t="s">
        <v>1028</v>
      </c>
      <c r="D7" s="535"/>
      <c r="E7" s="536"/>
      <c r="F7" s="536"/>
      <c r="G7" s="536"/>
      <c r="H7" s="537"/>
      <c r="I7" s="537"/>
      <c r="J7" s="538"/>
      <c r="K7" s="536"/>
      <c r="L7" s="536"/>
      <c r="M7" s="536"/>
      <c r="N7" s="536"/>
      <c r="O7" s="536"/>
      <c r="P7" s="536"/>
      <c r="Q7" s="539"/>
      <c r="R7" s="536"/>
      <c r="S7" s="536"/>
      <c r="T7" s="536"/>
      <c r="U7" s="538"/>
      <c r="V7" s="536"/>
      <c r="W7" s="540"/>
      <c r="X7" s="507">
        <v>1</v>
      </c>
      <c r="Y7" s="541">
        <v>8</v>
      </c>
      <c r="Z7" s="533"/>
    </row>
    <row r="8" spans="1:26" ht="15" customHeight="1">
      <c r="A8" s="495"/>
      <c r="B8" s="500"/>
      <c r="C8" s="542"/>
      <c r="D8" s="543"/>
      <c r="E8" s="544"/>
      <c r="F8" s="544"/>
      <c r="G8" s="544"/>
      <c r="H8" s="545"/>
      <c r="I8" s="546"/>
      <c r="J8" s="547"/>
      <c r="K8" s="548" t="str">
        <f t="shared" ref="K8:P50" si="0">IF($H8="","",IF($H8=K$5,$G8,""))</f>
        <v/>
      </c>
      <c r="L8" s="549" t="str">
        <f t="shared" si="0"/>
        <v/>
      </c>
      <c r="M8" s="549" t="str">
        <f t="shared" si="0"/>
        <v/>
      </c>
      <c r="N8" s="549" t="str">
        <f t="shared" si="0"/>
        <v/>
      </c>
      <c r="O8" s="549" t="str">
        <f t="shared" si="0"/>
        <v/>
      </c>
      <c r="P8" s="550" t="str">
        <f t="shared" si="0"/>
        <v/>
      </c>
      <c r="Q8" s="551"/>
      <c r="R8" s="552" t="str">
        <f>IF($H8="","",IF($H8=R$5,$G8,""))</f>
        <v/>
      </c>
      <c r="S8" s="553" t="str">
        <f t="shared" ref="S8:T57" si="1">IF($H8="","",IF($H8=S$5,$G8,""))</f>
        <v/>
      </c>
      <c r="T8" s="553" t="str">
        <f t="shared" si="1"/>
        <v/>
      </c>
      <c r="U8" s="547"/>
      <c r="V8" s="554">
        <f>SUM(K8:T8)</f>
        <v>0</v>
      </c>
      <c r="W8" s="555">
        <f t="shared" ref="W8:W57" si="2">V8-E8</f>
        <v>0</v>
      </c>
      <c r="X8" s="507"/>
      <c r="Y8" s="499"/>
      <c r="Z8" s="556" t="s">
        <v>1029</v>
      </c>
    </row>
    <row r="9" spans="1:26" ht="15" customHeight="1">
      <c r="A9" s="495"/>
      <c r="B9" s="500"/>
      <c r="C9" s="557"/>
      <c r="D9" s="543"/>
      <c r="E9" s="544"/>
      <c r="F9" s="544"/>
      <c r="G9" s="544"/>
      <c r="H9" s="545"/>
      <c r="I9" s="546"/>
      <c r="J9" s="547"/>
      <c r="K9" s="558" t="str">
        <f t="shared" si="0"/>
        <v/>
      </c>
      <c r="L9" s="559" t="str">
        <f t="shared" si="0"/>
        <v/>
      </c>
      <c r="M9" s="559" t="str">
        <f t="shared" si="0"/>
        <v/>
      </c>
      <c r="N9" s="559" t="str">
        <f t="shared" si="0"/>
        <v/>
      </c>
      <c r="O9" s="559" t="str">
        <f t="shared" si="0"/>
        <v/>
      </c>
      <c r="P9" s="560" t="str">
        <f t="shared" si="0"/>
        <v/>
      </c>
      <c r="Q9" s="551"/>
      <c r="R9" s="552" t="str">
        <f t="shared" ref="R9:R57" si="3">IF($H9="","",IF($H9=R$5,$G9,""))</f>
        <v/>
      </c>
      <c r="S9" s="553" t="str">
        <f t="shared" si="1"/>
        <v/>
      </c>
      <c r="T9" s="553" t="str">
        <f t="shared" si="1"/>
        <v/>
      </c>
      <c r="U9" s="547"/>
      <c r="V9" s="554">
        <f t="shared" ref="V9:V57" si="4">SUM(K9:T9)</f>
        <v>0</v>
      </c>
      <c r="W9" s="555">
        <f t="shared" si="2"/>
        <v>0</v>
      </c>
      <c r="X9" s="507" t="s">
        <v>949</v>
      </c>
      <c r="Y9" s="499"/>
      <c r="Z9" s="556"/>
    </row>
    <row r="10" spans="1:26" ht="15" customHeight="1">
      <c r="A10" s="495"/>
      <c r="B10" s="500"/>
      <c r="C10" s="542"/>
      <c r="D10" s="543"/>
      <c r="E10" s="544"/>
      <c r="F10" s="544"/>
      <c r="G10" s="544"/>
      <c r="H10" s="545"/>
      <c r="I10" s="546"/>
      <c r="J10" s="547"/>
      <c r="K10" s="558" t="str">
        <f t="shared" si="0"/>
        <v/>
      </c>
      <c r="L10" s="559" t="str">
        <f t="shared" si="0"/>
        <v/>
      </c>
      <c r="M10" s="559" t="str">
        <f t="shared" si="0"/>
        <v/>
      </c>
      <c r="N10" s="559" t="str">
        <f t="shared" si="0"/>
        <v/>
      </c>
      <c r="O10" s="559" t="str">
        <f t="shared" si="0"/>
        <v/>
      </c>
      <c r="P10" s="560" t="str">
        <f t="shared" si="0"/>
        <v/>
      </c>
      <c r="Q10" s="551"/>
      <c r="R10" s="552" t="str">
        <f t="shared" si="3"/>
        <v/>
      </c>
      <c r="S10" s="553" t="str">
        <f t="shared" si="1"/>
        <v/>
      </c>
      <c r="T10" s="553" t="str">
        <f t="shared" si="1"/>
        <v/>
      </c>
      <c r="U10" s="547"/>
      <c r="V10" s="554">
        <f t="shared" si="4"/>
        <v>0</v>
      </c>
      <c r="W10" s="555">
        <f t="shared" si="2"/>
        <v>0</v>
      </c>
      <c r="X10" s="507" t="s">
        <v>949</v>
      </c>
      <c r="Y10" s="499"/>
      <c r="Z10" s="556"/>
    </row>
    <row r="11" spans="1:26" ht="15" customHeight="1">
      <c r="A11" s="495"/>
      <c r="B11" s="500"/>
      <c r="C11" s="542"/>
      <c r="D11" s="543"/>
      <c r="E11" s="544"/>
      <c r="F11" s="544"/>
      <c r="G11" s="544"/>
      <c r="H11" s="545"/>
      <c r="I11" s="546"/>
      <c r="J11" s="547"/>
      <c r="K11" s="558" t="str">
        <f t="shared" si="0"/>
        <v/>
      </c>
      <c r="L11" s="559" t="str">
        <f t="shared" si="0"/>
        <v/>
      </c>
      <c r="M11" s="559" t="str">
        <f t="shared" si="0"/>
        <v/>
      </c>
      <c r="N11" s="559" t="str">
        <f t="shared" si="0"/>
        <v/>
      </c>
      <c r="O11" s="559" t="str">
        <f t="shared" si="0"/>
        <v/>
      </c>
      <c r="P11" s="560" t="str">
        <f t="shared" si="0"/>
        <v/>
      </c>
      <c r="Q11" s="551"/>
      <c r="R11" s="552" t="str">
        <f t="shared" si="3"/>
        <v/>
      </c>
      <c r="S11" s="553" t="str">
        <f t="shared" si="1"/>
        <v/>
      </c>
      <c r="T11" s="553" t="str">
        <f t="shared" si="1"/>
        <v/>
      </c>
      <c r="U11" s="547"/>
      <c r="V11" s="554">
        <f t="shared" si="4"/>
        <v>0</v>
      </c>
      <c r="W11" s="555">
        <f t="shared" si="2"/>
        <v>0</v>
      </c>
      <c r="X11" s="507" t="s">
        <v>949</v>
      </c>
      <c r="Y11" s="499"/>
      <c r="Z11" s="556"/>
    </row>
    <row r="12" spans="1:26" ht="15" customHeight="1">
      <c r="A12" s="495"/>
      <c r="B12" s="500"/>
      <c r="C12" s="542"/>
      <c r="D12" s="543"/>
      <c r="E12" s="544"/>
      <c r="F12" s="544"/>
      <c r="G12" s="544"/>
      <c r="H12" s="545"/>
      <c r="I12" s="546"/>
      <c r="J12" s="547"/>
      <c r="K12" s="558" t="str">
        <f t="shared" si="0"/>
        <v/>
      </c>
      <c r="L12" s="559" t="str">
        <f t="shared" si="0"/>
        <v/>
      </c>
      <c r="M12" s="559" t="str">
        <f t="shared" si="0"/>
        <v/>
      </c>
      <c r="N12" s="559" t="str">
        <f t="shared" si="0"/>
        <v/>
      </c>
      <c r="O12" s="559" t="str">
        <f t="shared" si="0"/>
        <v/>
      </c>
      <c r="P12" s="560" t="str">
        <f t="shared" si="0"/>
        <v/>
      </c>
      <c r="Q12" s="551"/>
      <c r="R12" s="552" t="str">
        <f t="shared" si="3"/>
        <v/>
      </c>
      <c r="S12" s="553" t="str">
        <f t="shared" si="1"/>
        <v/>
      </c>
      <c r="T12" s="553" t="str">
        <f t="shared" si="1"/>
        <v/>
      </c>
      <c r="U12" s="547"/>
      <c r="V12" s="554">
        <f t="shared" si="4"/>
        <v>0</v>
      </c>
      <c r="W12" s="555">
        <f t="shared" si="2"/>
        <v>0</v>
      </c>
      <c r="X12" s="507" t="s">
        <v>949</v>
      </c>
      <c r="Y12" s="499"/>
      <c r="Z12" s="556"/>
    </row>
    <row r="13" spans="1:26" ht="15" customHeight="1">
      <c r="A13" s="495"/>
      <c r="B13" s="500"/>
      <c r="C13" s="542"/>
      <c r="D13" s="543"/>
      <c r="E13" s="544"/>
      <c r="F13" s="544"/>
      <c r="G13" s="544"/>
      <c r="H13" s="545"/>
      <c r="I13" s="546"/>
      <c r="J13" s="547"/>
      <c r="K13" s="558" t="str">
        <f t="shared" si="0"/>
        <v/>
      </c>
      <c r="L13" s="559" t="str">
        <f t="shared" si="0"/>
        <v/>
      </c>
      <c r="M13" s="559" t="str">
        <f t="shared" si="0"/>
        <v/>
      </c>
      <c r="N13" s="559" t="str">
        <f t="shared" si="0"/>
        <v/>
      </c>
      <c r="O13" s="559" t="str">
        <f t="shared" si="0"/>
        <v/>
      </c>
      <c r="P13" s="560" t="str">
        <f t="shared" si="0"/>
        <v/>
      </c>
      <c r="Q13" s="551"/>
      <c r="R13" s="552" t="str">
        <f t="shared" si="3"/>
        <v/>
      </c>
      <c r="S13" s="553" t="str">
        <f t="shared" si="1"/>
        <v/>
      </c>
      <c r="T13" s="553" t="str">
        <f t="shared" si="1"/>
        <v/>
      </c>
      <c r="U13" s="547"/>
      <c r="V13" s="554">
        <f t="shared" si="4"/>
        <v>0</v>
      </c>
      <c r="W13" s="555">
        <f t="shared" si="2"/>
        <v>0</v>
      </c>
      <c r="X13" s="507" t="s">
        <v>949</v>
      </c>
      <c r="Y13" s="499"/>
      <c r="Z13" s="556"/>
    </row>
    <row r="14" spans="1:26" ht="15" customHeight="1">
      <c r="A14" s="495"/>
      <c r="B14" s="500"/>
      <c r="C14" s="542"/>
      <c r="D14" s="543"/>
      <c r="E14" s="544"/>
      <c r="F14" s="544"/>
      <c r="G14" s="544"/>
      <c r="H14" s="545"/>
      <c r="I14" s="546"/>
      <c r="J14" s="547"/>
      <c r="K14" s="558" t="str">
        <f t="shared" si="0"/>
        <v/>
      </c>
      <c r="L14" s="559" t="str">
        <f t="shared" si="0"/>
        <v/>
      </c>
      <c r="M14" s="559" t="str">
        <f t="shared" si="0"/>
        <v/>
      </c>
      <c r="N14" s="559" t="str">
        <f t="shared" si="0"/>
        <v/>
      </c>
      <c r="O14" s="559" t="str">
        <f t="shared" si="0"/>
        <v/>
      </c>
      <c r="P14" s="560" t="str">
        <f t="shared" si="0"/>
        <v/>
      </c>
      <c r="Q14" s="551"/>
      <c r="R14" s="552" t="str">
        <f t="shared" si="3"/>
        <v/>
      </c>
      <c r="S14" s="553" t="str">
        <f t="shared" si="1"/>
        <v/>
      </c>
      <c r="T14" s="553" t="str">
        <f t="shared" si="1"/>
        <v/>
      </c>
      <c r="U14" s="547"/>
      <c r="V14" s="554">
        <f t="shared" si="4"/>
        <v>0</v>
      </c>
      <c r="W14" s="555">
        <f t="shared" si="2"/>
        <v>0</v>
      </c>
      <c r="X14" s="507" t="s">
        <v>949</v>
      </c>
      <c r="Y14" s="499"/>
      <c r="Z14" s="556"/>
    </row>
    <row r="15" spans="1:26" ht="15" customHeight="1">
      <c r="A15" s="495"/>
      <c r="B15" s="500"/>
      <c r="C15" s="542"/>
      <c r="D15" s="543"/>
      <c r="E15" s="544"/>
      <c r="F15" s="544"/>
      <c r="G15" s="544"/>
      <c r="H15" s="545"/>
      <c r="I15" s="546"/>
      <c r="J15" s="547"/>
      <c r="K15" s="558" t="str">
        <f t="shared" si="0"/>
        <v/>
      </c>
      <c r="L15" s="559" t="str">
        <f t="shared" si="0"/>
        <v/>
      </c>
      <c r="M15" s="559" t="str">
        <f t="shared" si="0"/>
        <v/>
      </c>
      <c r="N15" s="559" t="str">
        <f t="shared" si="0"/>
        <v/>
      </c>
      <c r="O15" s="559" t="str">
        <f t="shared" si="0"/>
        <v/>
      </c>
      <c r="P15" s="560" t="str">
        <f t="shared" si="0"/>
        <v/>
      </c>
      <c r="Q15" s="551"/>
      <c r="R15" s="552" t="str">
        <f t="shared" si="3"/>
        <v/>
      </c>
      <c r="S15" s="553" t="str">
        <f t="shared" si="1"/>
        <v/>
      </c>
      <c r="T15" s="553" t="str">
        <f t="shared" si="1"/>
        <v/>
      </c>
      <c r="U15" s="547"/>
      <c r="V15" s="554">
        <f t="shared" si="4"/>
        <v>0</v>
      </c>
      <c r="W15" s="555">
        <f t="shared" si="2"/>
        <v>0</v>
      </c>
      <c r="X15" s="507" t="s">
        <v>949</v>
      </c>
      <c r="Y15" s="499"/>
      <c r="Z15" s="556"/>
    </row>
    <row r="16" spans="1:26" ht="15" customHeight="1">
      <c r="A16" s="495"/>
      <c r="B16" s="500"/>
      <c r="C16" s="542"/>
      <c r="D16" s="543"/>
      <c r="E16" s="544"/>
      <c r="F16" s="544"/>
      <c r="G16" s="544"/>
      <c r="H16" s="545"/>
      <c r="I16" s="546"/>
      <c r="J16" s="547"/>
      <c r="K16" s="558" t="str">
        <f t="shared" si="0"/>
        <v/>
      </c>
      <c r="L16" s="559" t="str">
        <f t="shared" si="0"/>
        <v/>
      </c>
      <c r="M16" s="559" t="str">
        <f t="shared" si="0"/>
        <v/>
      </c>
      <c r="N16" s="559" t="str">
        <f t="shared" si="0"/>
        <v/>
      </c>
      <c r="O16" s="559" t="str">
        <f t="shared" si="0"/>
        <v/>
      </c>
      <c r="P16" s="560" t="str">
        <f t="shared" si="0"/>
        <v/>
      </c>
      <c r="Q16" s="551"/>
      <c r="R16" s="552" t="str">
        <f t="shared" si="3"/>
        <v/>
      </c>
      <c r="S16" s="553" t="str">
        <f t="shared" si="1"/>
        <v/>
      </c>
      <c r="T16" s="553" t="str">
        <f t="shared" si="1"/>
        <v/>
      </c>
      <c r="U16" s="547"/>
      <c r="V16" s="554">
        <f t="shared" si="4"/>
        <v>0</v>
      </c>
      <c r="W16" s="555">
        <f t="shared" si="2"/>
        <v>0</v>
      </c>
      <c r="X16" s="507" t="s">
        <v>949</v>
      </c>
      <c r="Y16" s="499"/>
      <c r="Z16" s="556"/>
    </row>
    <row r="17" spans="1:26" ht="15" customHeight="1">
      <c r="A17" s="495"/>
      <c r="B17" s="500"/>
      <c r="C17" s="542"/>
      <c r="D17" s="543"/>
      <c r="E17" s="544"/>
      <c r="F17" s="544"/>
      <c r="G17" s="544"/>
      <c r="H17" s="545"/>
      <c r="I17" s="546"/>
      <c r="J17" s="547"/>
      <c r="K17" s="558" t="str">
        <f t="shared" si="0"/>
        <v/>
      </c>
      <c r="L17" s="559" t="str">
        <f t="shared" si="0"/>
        <v/>
      </c>
      <c r="M17" s="559" t="str">
        <f t="shared" si="0"/>
        <v/>
      </c>
      <c r="N17" s="559" t="str">
        <f t="shared" si="0"/>
        <v/>
      </c>
      <c r="O17" s="559" t="str">
        <f t="shared" si="0"/>
        <v/>
      </c>
      <c r="P17" s="560" t="str">
        <f t="shared" si="0"/>
        <v/>
      </c>
      <c r="Q17" s="551"/>
      <c r="R17" s="552" t="str">
        <f t="shared" si="3"/>
        <v/>
      </c>
      <c r="S17" s="553" t="str">
        <f t="shared" si="1"/>
        <v/>
      </c>
      <c r="T17" s="553" t="str">
        <f t="shared" si="1"/>
        <v/>
      </c>
      <c r="U17" s="547"/>
      <c r="V17" s="554">
        <f t="shared" si="4"/>
        <v>0</v>
      </c>
      <c r="W17" s="555">
        <f t="shared" si="2"/>
        <v>0</v>
      </c>
      <c r="X17" s="507" t="s">
        <v>949</v>
      </c>
      <c r="Y17" s="499"/>
      <c r="Z17" s="556"/>
    </row>
    <row r="18" spans="1:26" ht="15" customHeight="1">
      <c r="A18" s="495"/>
      <c r="B18" s="500"/>
      <c r="C18" s="542"/>
      <c r="D18" s="543"/>
      <c r="E18" s="544"/>
      <c r="F18" s="544"/>
      <c r="G18" s="544"/>
      <c r="H18" s="545"/>
      <c r="I18" s="546"/>
      <c r="J18" s="547"/>
      <c r="K18" s="558" t="str">
        <f t="shared" si="0"/>
        <v/>
      </c>
      <c r="L18" s="559" t="str">
        <f t="shared" si="0"/>
        <v/>
      </c>
      <c r="M18" s="559" t="str">
        <f t="shared" si="0"/>
        <v/>
      </c>
      <c r="N18" s="559" t="str">
        <f t="shared" si="0"/>
        <v/>
      </c>
      <c r="O18" s="559" t="str">
        <f t="shared" si="0"/>
        <v/>
      </c>
      <c r="P18" s="560" t="str">
        <f t="shared" si="0"/>
        <v/>
      </c>
      <c r="Q18" s="551"/>
      <c r="R18" s="552" t="str">
        <f t="shared" si="3"/>
        <v/>
      </c>
      <c r="S18" s="553" t="str">
        <f t="shared" si="1"/>
        <v/>
      </c>
      <c r="T18" s="553" t="str">
        <f t="shared" si="1"/>
        <v/>
      </c>
      <c r="U18" s="547"/>
      <c r="V18" s="554">
        <f t="shared" si="4"/>
        <v>0</v>
      </c>
      <c r="W18" s="555">
        <f t="shared" si="2"/>
        <v>0</v>
      </c>
      <c r="X18" s="507" t="s">
        <v>949</v>
      </c>
      <c r="Y18" s="499"/>
      <c r="Z18" s="556"/>
    </row>
    <row r="19" spans="1:26" ht="15" customHeight="1">
      <c r="A19" s="495"/>
      <c r="B19" s="500"/>
      <c r="C19" s="542"/>
      <c r="D19" s="543"/>
      <c r="E19" s="544"/>
      <c r="F19" s="544"/>
      <c r="G19" s="544"/>
      <c r="H19" s="545"/>
      <c r="I19" s="546"/>
      <c r="J19" s="547"/>
      <c r="K19" s="558" t="str">
        <f t="shared" si="0"/>
        <v/>
      </c>
      <c r="L19" s="559" t="str">
        <f t="shared" si="0"/>
        <v/>
      </c>
      <c r="M19" s="559" t="str">
        <f t="shared" si="0"/>
        <v/>
      </c>
      <c r="N19" s="559" t="str">
        <f t="shared" si="0"/>
        <v/>
      </c>
      <c r="O19" s="559" t="str">
        <f t="shared" si="0"/>
        <v/>
      </c>
      <c r="P19" s="560" t="str">
        <f t="shared" si="0"/>
        <v/>
      </c>
      <c r="Q19" s="551"/>
      <c r="R19" s="552" t="str">
        <f t="shared" si="3"/>
        <v/>
      </c>
      <c r="S19" s="553" t="str">
        <f t="shared" si="1"/>
        <v/>
      </c>
      <c r="T19" s="553" t="str">
        <f t="shared" si="1"/>
        <v/>
      </c>
      <c r="U19" s="547"/>
      <c r="V19" s="554">
        <f t="shared" si="4"/>
        <v>0</v>
      </c>
      <c r="W19" s="555">
        <f t="shared" si="2"/>
        <v>0</v>
      </c>
      <c r="X19" s="507" t="s">
        <v>949</v>
      </c>
      <c r="Y19" s="499"/>
      <c r="Z19" s="556"/>
    </row>
    <row r="20" spans="1:26" ht="15" customHeight="1">
      <c r="A20" s="495"/>
      <c r="B20" s="500"/>
      <c r="C20" s="542"/>
      <c r="D20" s="543"/>
      <c r="E20" s="544"/>
      <c r="F20" s="544"/>
      <c r="G20" s="544"/>
      <c r="H20" s="545"/>
      <c r="I20" s="546"/>
      <c r="J20" s="547"/>
      <c r="K20" s="558" t="str">
        <f t="shared" si="0"/>
        <v/>
      </c>
      <c r="L20" s="559" t="str">
        <f t="shared" si="0"/>
        <v/>
      </c>
      <c r="M20" s="559" t="str">
        <f t="shared" si="0"/>
        <v/>
      </c>
      <c r="N20" s="559" t="str">
        <f t="shared" si="0"/>
        <v/>
      </c>
      <c r="O20" s="559" t="str">
        <f t="shared" si="0"/>
        <v/>
      </c>
      <c r="P20" s="560" t="str">
        <f t="shared" si="0"/>
        <v/>
      </c>
      <c r="Q20" s="551"/>
      <c r="R20" s="552" t="str">
        <f t="shared" si="3"/>
        <v/>
      </c>
      <c r="S20" s="553" t="str">
        <f t="shared" si="1"/>
        <v/>
      </c>
      <c r="T20" s="553" t="str">
        <f t="shared" si="1"/>
        <v/>
      </c>
      <c r="U20" s="547"/>
      <c r="V20" s="554">
        <f t="shared" si="4"/>
        <v>0</v>
      </c>
      <c r="W20" s="555">
        <f t="shared" si="2"/>
        <v>0</v>
      </c>
      <c r="X20" s="507" t="s">
        <v>949</v>
      </c>
      <c r="Y20" s="499"/>
      <c r="Z20" s="556"/>
    </row>
    <row r="21" spans="1:26" ht="15" customHeight="1">
      <c r="A21" s="495"/>
      <c r="B21" s="500"/>
      <c r="C21" s="542"/>
      <c r="D21" s="543"/>
      <c r="E21" s="544"/>
      <c r="F21" s="544"/>
      <c r="G21" s="544"/>
      <c r="H21" s="545"/>
      <c r="I21" s="546"/>
      <c r="J21" s="547"/>
      <c r="K21" s="558" t="str">
        <f t="shared" si="0"/>
        <v/>
      </c>
      <c r="L21" s="559" t="str">
        <f t="shared" si="0"/>
        <v/>
      </c>
      <c r="M21" s="559" t="str">
        <f t="shared" si="0"/>
        <v/>
      </c>
      <c r="N21" s="559" t="str">
        <f t="shared" si="0"/>
        <v/>
      </c>
      <c r="O21" s="559" t="str">
        <f t="shared" si="0"/>
        <v/>
      </c>
      <c r="P21" s="560" t="str">
        <f t="shared" si="0"/>
        <v/>
      </c>
      <c r="Q21" s="551"/>
      <c r="R21" s="552" t="str">
        <f t="shared" si="3"/>
        <v/>
      </c>
      <c r="S21" s="553" t="str">
        <f t="shared" si="1"/>
        <v/>
      </c>
      <c r="T21" s="553" t="str">
        <f t="shared" si="1"/>
        <v/>
      </c>
      <c r="U21" s="547"/>
      <c r="V21" s="554">
        <f t="shared" si="4"/>
        <v>0</v>
      </c>
      <c r="W21" s="555">
        <f t="shared" si="2"/>
        <v>0</v>
      </c>
      <c r="X21" s="507" t="s">
        <v>949</v>
      </c>
      <c r="Y21" s="499"/>
      <c r="Z21" s="556"/>
    </row>
    <row r="22" spans="1:26" ht="15" customHeight="1">
      <c r="A22" s="495"/>
      <c r="B22" s="500"/>
      <c r="C22" s="542"/>
      <c r="D22" s="543"/>
      <c r="E22" s="544"/>
      <c r="F22" s="544"/>
      <c r="G22" s="544"/>
      <c r="H22" s="545"/>
      <c r="I22" s="546"/>
      <c r="J22" s="547"/>
      <c r="K22" s="558" t="str">
        <f t="shared" si="0"/>
        <v/>
      </c>
      <c r="L22" s="559" t="str">
        <f t="shared" si="0"/>
        <v/>
      </c>
      <c r="M22" s="559" t="str">
        <f t="shared" si="0"/>
        <v/>
      </c>
      <c r="N22" s="559" t="str">
        <f t="shared" si="0"/>
        <v/>
      </c>
      <c r="O22" s="559" t="str">
        <f t="shared" si="0"/>
        <v/>
      </c>
      <c r="P22" s="560" t="str">
        <f t="shared" si="0"/>
        <v/>
      </c>
      <c r="Q22" s="551"/>
      <c r="R22" s="552" t="str">
        <f t="shared" si="3"/>
        <v/>
      </c>
      <c r="S22" s="553" t="str">
        <f t="shared" si="1"/>
        <v/>
      </c>
      <c r="T22" s="553" t="str">
        <f t="shared" si="1"/>
        <v/>
      </c>
      <c r="U22" s="547"/>
      <c r="V22" s="554">
        <f t="shared" si="4"/>
        <v>0</v>
      </c>
      <c r="W22" s="555">
        <f t="shared" si="2"/>
        <v>0</v>
      </c>
      <c r="X22" s="507" t="s">
        <v>949</v>
      </c>
      <c r="Y22" s="499"/>
      <c r="Z22" s="556"/>
    </row>
    <row r="23" spans="1:26" ht="15" customHeight="1">
      <c r="A23" s="495"/>
      <c r="B23" s="500"/>
      <c r="C23" s="542"/>
      <c r="D23" s="543"/>
      <c r="E23" s="544"/>
      <c r="F23" s="544"/>
      <c r="G23" s="544"/>
      <c r="H23" s="545"/>
      <c r="I23" s="546"/>
      <c r="J23" s="547"/>
      <c r="K23" s="558" t="str">
        <f t="shared" si="0"/>
        <v/>
      </c>
      <c r="L23" s="559" t="str">
        <f t="shared" si="0"/>
        <v/>
      </c>
      <c r="M23" s="559" t="str">
        <f t="shared" si="0"/>
        <v/>
      </c>
      <c r="N23" s="559" t="str">
        <f t="shared" si="0"/>
        <v/>
      </c>
      <c r="O23" s="559" t="str">
        <f t="shared" si="0"/>
        <v/>
      </c>
      <c r="P23" s="560" t="str">
        <f t="shared" si="0"/>
        <v/>
      </c>
      <c r="Q23" s="551"/>
      <c r="R23" s="552" t="str">
        <f t="shared" si="3"/>
        <v/>
      </c>
      <c r="S23" s="553" t="str">
        <f t="shared" si="1"/>
        <v/>
      </c>
      <c r="T23" s="553" t="str">
        <f t="shared" si="1"/>
        <v/>
      </c>
      <c r="U23" s="547"/>
      <c r="V23" s="554">
        <f t="shared" si="4"/>
        <v>0</v>
      </c>
      <c r="W23" s="555">
        <f t="shared" si="2"/>
        <v>0</v>
      </c>
      <c r="X23" s="507" t="s">
        <v>949</v>
      </c>
      <c r="Y23" s="499"/>
      <c r="Z23" s="556"/>
    </row>
    <row r="24" spans="1:26" ht="15" customHeight="1">
      <c r="A24" s="495"/>
      <c r="B24" s="500"/>
      <c r="C24" s="557"/>
      <c r="D24" s="543"/>
      <c r="E24" s="544"/>
      <c r="F24" s="544"/>
      <c r="G24" s="544"/>
      <c r="H24" s="545"/>
      <c r="I24" s="546"/>
      <c r="J24" s="547"/>
      <c r="K24" s="558" t="str">
        <f t="shared" si="0"/>
        <v/>
      </c>
      <c r="L24" s="559" t="str">
        <f t="shared" si="0"/>
        <v/>
      </c>
      <c r="M24" s="559" t="str">
        <f t="shared" si="0"/>
        <v/>
      </c>
      <c r="N24" s="559" t="str">
        <f t="shared" si="0"/>
        <v/>
      </c>
      <c r="O24" s="559" t="str">
        <f t="shared" si="0"/>
        <v/>
      </c>
      <c r="P24" s="560" t="str">
        <f t="shared" si="0"/>
        <v/>
      </c>
      <c r="Q24" s="551"/>
      <c r="R24" s="552" t="str">
        <f t="shared" si="3"/>
        <v/>
      </c>
      <c r="S24" s="553" t="str">
        <f t="shared" si="1"/>
        <v/>
      </c>
      <c r="T24" s="553" t="str">
        <f t="shared" si="1"/>
        <v/>
      </c>
      <c r="U24" s="547"/>
      <c r="V24" s="554">
        <f t="shared" si="4"/>
        <v>0</v>
      </c>
      <c r="W24" s="555">
        <f t="shared" si="2"/>
        <v>0</v>
      </c>
      <c r="X24" s="507" t="s">
        <v>949</v>
      </c>
      <c r="Y24" s="499"/>
      <c r="Z24" s="556"/>
    </row>
    <row r="25" spans="1:26" ht="15" customHeight="1">
      <c r="A25" s="495"/>
      <c r="B25" s="500"/>
      <c r="C25" s="542"/>
      <c r="D25" s="543"/>
      <c r="E25" s="544"/>
      <c r="F25" s="544"/>
      <c r="G25" s="544"/>
      <c r="H25" s="545"/>
      <c r="I25" s="546"/>
      <c r="J25" s="547"/>
      <c r="K25" s="558" t="str">
        <f t="shared" si="0"/>
        <v/>
      </c>
      <c r="L25" s="559" t="str">
        <f t="shared" si="0"/>
        <v/>
      </c>
      <c r="M25" s="559" t="str">
        <f t="shared" si="0"/>
        <v/>
      </c>
      <c r="N25" s="559" t="str">
        <f t="shared" si="0"/>
        <v/>
      </c>
      <c r="O25" s="559" t="str">
        <f t="shared" si="0"/>
        <v/>
      </c>
      <c r="P25" s="560" t="str">
        <f t="shared" si="0"/>
        <v/>
      </c>
      <c r="Q25" s="551"/>
      <c r="R25" s="552" t="str">
        <f t="shared" si="3"/>
        <v/>
      </c>
      <c r="S25" s="553" t="str">
        <f t="shared" si="1"/>
        <v/>
      </c>
      <c r="T25" s="553" t="str">
        <f t="shared" si="1"/>
        <v/>
      </c>
      <c r="U25" s="547"/>
      <c r="V25" s="554">
        <f t="shared" si="4"/>
        <v>0</v>
      </c>
      <c r="W25" s="555">
        <f t="shared" si="2"/>
        <v>0</v>
      </c>
      <c r="X25" s="507" t="s">
        <v>949</v>
      </c>
      <c r="Y25" s="499"/>
      <c r="Z25" s="556"/>
    </row>
    <row r="26" spans="1:26" ht="15" customHeight="1">
      <c r="A26" s="495"/>
      <c r="B26" s="500"/>
      <c r="C26" s="542"/>
      <c r="D26" s="543"/>
      <c r="E26" s="544"/>
      <c r="F26" s="544"/>
      <c r="G26" s="544"/>
      <c r="H26" s="545"/>
      <c r="I26" s="546"/>
      <c r="J26" s="547"/>
      <c r="K26" s="558" t="str">
        <f t="shared" si="0"/>
        <v/>
      </c>
      <c r="L26" s="559" t="str">
        <f t="shared" si="0"/>
        <v/>
      </c>
      <c r="M26" s="559" t="str">
        <f t="shared" si="0"/>
        <v/>
      </c>
      <c r="N26" s="559" t="str">
        <f t="shared" si="0"/>
        <v/>
      </c>
      <c r="O26" s="559" t="str">
        <f t="shared" si="0"/>
        <v/>
      </c>
      <c r="P26" s="560" t="str">
        <f t="shared" si="0"/>
        <v/>
      </c>
      <c r="Q26" s="551"/>
      <c r="R26" s="552" t="str">
        <f t="shared" si="3"/>
        <v/>
      </c>
      <c r="S26" s="553" t="str">
        <f t="shared" si="1"/>
        <v/>
      </c>
      <c r="T26" s="553" t="str">
        <f t="shared" si="1"/>
        <v/>
      </c>
      <c r="U26" s="547"/>
      <c r="V26" s="554">
        <f t="shared" si="4"/>
        <v>0</v>
      </c>
      <c r="W26" s="555">
        <f t="shared" si="2"/>
        <v>0</v>
      </c>
      <c r="X26" s="507" t="s">
        <v>949</v>
      </c>
      <c r="Y26" s="499"/>
      <c r="Z26" s="556"/>
    </row>
    <row r="27" spans="1:26" ht="15" customHeight="1">
      <c r="A27" s="495"/>
      <c r="B27" s="500"/>
      <c r="C27" s="542"/>
      <c r="D27" s="543"/>
      <c r="E27" s="544"/>
      <c r="F27" s="544"/>
      <c r="G27" s="544"/>
      <c r="H27" s="545"/>
      <c r="I27" s="546"/>
      <c r="J27" s="547"/>
      <c r="K27" s="558" t="str">
        <f t="shared" si="0"/>
        <v/>
      </c>
      <c r="L27" s="559" t="str">
        <f t="shared" si="0"/>
        <v/>
      </c>
      <c r="M27" s="559" t="str">
        <f t="shared" si="0"/>
        <v/>
      </c>
      <c r="N27" s="559" t="str">
        <f t="shared" si="0"/>
        <v/>
      </c>
      <c r="O27" s="559" t="str">
        <f t="shared" si="0"/>
        <v/>
      </c>
      <c r="P27" s="560" t="str">
        <f t="shared" si="0"/>
        <v/>
      </c>
      <c r="Q27" s="551"/>
      <c r="R27" s="552" t="str">
        <f t="shared" si="3"/>
        <v/>
      </c>
      <c r="S27" s="553" t="str">
        <f t="shared" si="1"/>
        <v/>
      </c>
      <c r="T27" s="553" t="str">
        <f t="shared" si="1"/>
        <v/>
      </c>
      <c r="U27" s="547"/>
      <c r="V27" s="554">
        <f t="shared" si="4"/>
        <v>0</v>
      </c>
      <c r="W27" s="555">
        <f t="shared" si="2"/>
        <v>0</v>
      </c>
      <c r="X27" s="507" t="s">
        <v>949</v>
      </c>
      <c r="Y27" s="499"/>
      <c r="Z27" s="556"/>
    </row>
    <row r="28" spans="1:26" ht="15" customHeight="1">
      <c r="A28" s="495"/>
      <c r="B28" s="500"/>
      <c r="C28" s="542"/>
      <c r="D28" s="543"/>
      <c r="E28" s="544"/>
      <c r="F28" s="544"/>
      <c r="G28" s="544"/>
      <c r="H28" s="545"/>
      <c r="I28" s="546"/>
      <c r="J28" s="547"/>
      <c r="K28" s="558" t="str">
        <f t="shared" si="0"/>
        <v/>
      </c>
      <c r="L28" s="559" t="str">
        <f t="shared" si="0"/>
        <v/>
      </c>
      <c r="M28" s="559" t="str">
        <f t="shared" si="0"/>
        <v/>
      </c>
      <c r="N28" s="559" t="str">
        <f t="shared" si="0"/>
        <v/>
      </c>
      <c r="O28" s="559" t="str">
        <f t="shared" si="0"/>
        <v/>
      </c>
      <c r="P28" s="560" t="str">
        <f t="shared" si="0"/>
        <v/>
      </c>
      <c r="Q28" s="551"/>
      <c r="R28" s="552" t="str">
        <f t="shared" si="3"/>
        <v/>
      </c>
      <c r="S28" s="553" t="str">
        <f t="shared" si="1"/>
        <v/>
      </c>
      <c r="T28" s="553" t="str">
        <f t="shared" si="1"/>
        <v/>
      </c>
      <c r="U28" s="547"/>
      <c r="V28" s="554">
        <f t="shared" si="4"/>
        <v>0</v>
      </c>
      <c r="W28" s="555">
        <f t="shared" si="2"/>
        <v>0</v>
      </c>
      <c r="X28" s="507" t="s">
        <v>949</v>
      </c>
      <c r="Y28" s="499"/>
      <c r="Z28" s="556"/>
    </row>
    <row r="29" spans="1:26" ht="15" customHeight="1">
      <c r="A29" s="495"/>
      <c r="B29" s="500"/>
      <c r="C29" s="542"/>
      <c r="D29" s="543"/>
      <c r="E29" s="544"/>
      <c r="F29" s="544"/>
      <c r="G29" s="544"/>
      <c r="H29" s="545"/>
      <c r="I29" s="546"/>
      <c r="J29" s="547"/>
      <c r="K29" s="558" t="str">
        <f t="shared" si="0"/>
        <v/>
      </c>
      <c r="L29" s="559" t="str">
        <f t="shared" si="0"/>
        <v/>
      </c>
      <c r="M29" s="559" t="str">
        <f t="shared" si="0"/>
        <v/>
      </c>
      <c r="N29" s="559" t="str">
        <f t="shared" si="0"/>
        <v/>
      </c>
      <c r="O29" s="559" t="str">
        <f t="shared" si="0"/>
        <v/>
      </c>
      <c r="P29" s="560" t="str">
        <f t="shared" si="0"/>
        <v/>
      </c>
      <c r="Q29" s="551"/>
      <c r="R29" s="552" t="str">
        <f t="shared" si="3"/>
        <v/>
      </c>
      <c r="S29" s="553" t="str">
        <f t="shared" si="1"/>
        <v/>
      </c>
      <c r="T29" s="553" t="str">
        <f t="shared" si="1"/>
        <v/>
      </c>
      <c r="U29" s="547"/>
      <c r="V29" s="554">
        <f t="shared" si="4"/>
        <v>0</v>
      </c>
      <c r="W29" s="555">
        <f t="shared" si="2"/>
        <v>0</v>
      </c>
      <c r="X29" s="507" t="s">
        <v>949</v>
      </c>
      <c r="Y29" s="499"/>
      <c r="Z29" s="556"/>
    </row>
    <row r="30" spans="1:26" ht="15" customHeight="1">
      <c r="A30" s="495"/>
      <c r="B30" s="500"/>
      <c r="C30" s="542"/>
      <c r="D30" s="543"/>
      <c r="E30" s="544"/>
      <c r="F30" s="544"/>
      <c r="G30" s="544"/>
      <c r="H30" s="545"/>
      <c r="I30" s="546"/>
      <c r="J30" s="547"/>
      <c r="K30" s="558" t="str">
        <f t="shared" si="0"/>
        <v/>
      </c>
      <c r="L30" s="559" t="str">
        <f t="shared" si="0"/>
        <v/>
      </c>
      <c r="M30" s="559" t="str">
        <f t="shared" si="0"/>
        <v/>
      </c>
      <c r="N30" s="559" t="str">
        <f t="shared" si="0"/>
        <v/>
      </c>
      <c r="O30" s="559" t="str">
        <f t="shared" si="0"/>
        <v/>
      </c>
      <c r="P30" s="560" t="str">
        <f t="shared" si="0"/>
        <v/>
      </c>
      <c r="Q30" s="551"/>
      <c r="R30" s="552" t="str">
        <f t="shared" si="3"/>
        <v/>
      </c>
      <c r="S30" s="553" t="str">
        <f t="shared" si="1"/>
        <v/>
      </c>
      <c r="T30" s="553" t="str">
        <f t="shared" si="1"/>
        <v/>
      </c>
      <c r="U30" s="547"/>
      <c r="V30" s="554">
        <f t="shared" si="4"/>
        <v>0</v>
      </c>
      <c r="W30" s="555">
        <f t="shared" si="2"/>
        <v>0</v>
      </c>
      <c r="X30" s="507" t="s">
        <v>949</v>
      </c>
      <c r="Y30" s="499"/>
      <c r="Z30" s="556"/>
    </row>
    <row r="31" spans="1:26" ht="15" customHeight="1">
      <c r="A31" s="495"/>
      <c r="B31" s="500"/>
      <c r="C31" s="542"/>
      <c r="D31" s="543"/>
      <c r="E31" s="544"/>
      <c r="F31" s="544"/>
      <c r="G31" s="544"/>
      <c r="H31" s="545"/>
      <c r="I31" s="546"/>
      <c r="J31" s="547"/>
      <c r="K31" s="558" t="str">
        <f t="shared" si="0"/>
        <v/>
      </c>
      <c r="L31" s="559" t="str">
        <f t="shared" si="0"/>
        <v/>
      </c>
      <c r="M31" s="559" t="str">
        <f t="shared" si="0"/>
        <v/>
      </c>
      <c r="N31" s="559" t="str">
        <f t="shared" si="0"/>
        <v/>
      </c>
      <c r="O31" s="559" t="str">
        <f t="shared" si="0"/>
        <v/>
      </c>
      <c r="P31" s="560" t="str">
        <f t="shared" si="0"/>
        <v/>
      </c>
      <c r="Q31" s="551"/>
      <c r="R31" s="552" t="str">
        <f t="shared" si="3"/>
        <v/>
      </c>
      <c r="S31" s="553" t="str">
        <f t="shared" si="1"/>
        <v/>
      </c>
      <c r="T31" s="553" t="str">
        <f t="shared" si="1"/>
        <v/>
      </c>
      <c r="U31" s="547"/>
      <c r="V31" s="554">
        <f t="shared" si="4"/>
        <v>0</v>
      </c>
      <c r="W31" s="555">
        <f t="shared" si="2"/>
        <v>0</v>
      </c>
      <c r="X31" s="507" t="s">
        <v>949</v>
      </c>
      <c r="Y31" s="499"/>
      <c r="Z31" s="556"/>
    </row>
    <row r="32" spans="1:26" ht="15" customHeight="1">
      <c r="A32" s="495"/>
      <c r="B32" s="500"/>
      <c r="C32" s="542"/>
      <c r="D32" s="543"/>
      <c r="E32" s="544"/>
      <c r="F32" s="544"/>
      <c r="G32" s="544"/>
      <c r="H32" s="545"/>
      <c r="I32" s="546"/>
      <c r="J32" s="547"/>
      <c r="K32" s="558" t="str">
        <f t="shared" si="0"/>
        <v/>
      </c>
      <c r="L32" s="559" t="str">
        <f t="shared" si="0"/>
        <v/>
      </c>
      <c r="M32" s="559" t="str">
        <f t="shared" si="0"/>
        <v/>
      </c>
      <c r="N32" s="559" t="str">
        <f t="shared" si="0"/>
        <v/>
      </c>
      <c r="O32" s="559" t="str">
        <f t="shared" si="0"/>
        <v/>
      </c>
      <c r="P32" s="560" t="str">
        <f t="shared" si="0"/>
        <v/>
      </c>
      <c r="Q32" s="551"/>
      <c r="R32" s="552" t="str">
        <f t="shared" si="3"/>
        <v/>
      </c>
      <c r="S32" s="553" t="str">
        <f t="shared" si="1"/>
        <v/>
      </c>
      <c r="T32" s="553" t="str">
        <f t="shared" si="1"/>
        <v/>
      </c>
      <c r="U32" s="547"/>
      <c r="V32" s="554">
        <f t="shared" si="4"/>
        <v>0</v>
      </c>
      <c r="W32" s="555">
        <f t="shared" si="2"/>
        <v>0</v>
      </c>
      <c r="X32" s="507" t="s">
        <v>949</v>
      </c>
      <c r="Y32" s="499"/>
      <c r="Z32" s="556"/>
    </row>
    <row r="33" spans="1:26" ht="15" customHeight="1">
      <c r="A33" s="495"/>
      <c r="B33" s="500"/>
      <c r="C33" s="542"/>
      <c r="D33" s="543"/>
      <c r="E33" s="544"/>
      <c r="F33" s="544"/>
      <c r="G33" s="544"/>
      <c r="H33" s="545"/>
      <c r="I33" s="546"/>
      <c r="J33" s="547"/>
      <c r="K33" s="558" t="str">
        <f t="shared" si="0"/>
        <v/>
      </c>
      <c r="L33" s="559" t="str">
        <f t="shared" si="0"/>
        <v/>
      </c>
      <c r="M33" s="559" t="str">
        <f t="shared" si="0"/>
        <v/>
      </c>
      <c r="N33" s="559" t="str">
        <f t="shared" si="0"/>
        <v/>
      </c>
      <c r="O33" s="559" t="str">
        <f t="shared" si="0"/>
        <v/>
      </c>
      <c r="P33" s="560" t="str">
        <f t="shared" si="0"/>
        <v/>
      </c>
      <c r="Q33" s="551"/>
      <c r="R33" s="552" t="str">
        <f t="shared" si="3"/>
        <v/>
      </c>
      <c r="S33" s="553" t="str">
        <f t="shared" si="1"/>
        <v/>
      </c>
      <c r="T33" s="553" t="str">
        <f t="shared" si="1"/>
        <v/>
      </c>
      <c r="U33" s="547"/>
      <c r="V33" s="554">
        <f t="shared" si="4"/>
        <v>0</v>
      </c>
      <c r="W33" s="555">
        <f t="shared" si="2"/>
        <v>0</v>
      </c>
      <c r="X33" s="507" t="s">
        <v>949</v>
      </c>
      <c r="Y33" s="499"/>
      <c r="Z33" s="556"/>
    </row>
    <row r="34" spans="1:26" ht="15" customHeight="1">
      <c r="A34" s="495"/>
      <c r="B34" s="500"/>
      <c r="C34" s="542"/>
      <c r="D34" s="543"/>
      <c r="E34" s="544"/>
      <c r="F34" s="544"/>
      <c r="G34" s="544"/>
      <c r="H34" s="545"/>
      <c r="I34" s="546"/>
      <c r="J34" s="547"/>
      <c r="K34" s="558" t="str">
        <f t="shared" si="0"/>
        <v/>
      </c>
      <c r="L34" s="559" t="str">
        <f t="shared" si="0"/>
        <v/>
      </c>
      <c r="M34" s="559" t="str">
        <f t="shared" si="0"/>
        <v/>
      </c>
      <c r="N34" s="559" t="str">
        <f t="shared" si="0"/>
        <v/>
      </c>
      <c r="O34" s="559" t="str">
        <f t="shared" si="0"/>
        <v/>
      </c>
      <c r="P34" s="560" t="str">
        <f t="shared" si="0"/>
        <v/>
      </c>
      <c r="Q34" s="551"/>
      <c r="R34" s="552" t="str">
        <f t="shared" si="3"/>
        <v/>
      </c>
      <c r="S34" s="553" t="str">
        <f t="shared" si="1"/>
        <v/>
      </c>
      <c r="T34" s="553" t="str">
        <f t="shared" si="1"/>
        <v/>
      </c>
      <c r="U34" s="547"/>
      <c r="V34" s="554">
        <f t="shared" si="4"/>
        <v>0</v>
      </c>
      <c r="W34" s="555">
        <f t="shared" si="2"/>
        <v>0</v>
      </c>
      <c r="X34" s="507" t="s">
        <v>949</v>
      </c>
      <c r="Y34" s="499"/>
      <c r="Z34" s="556"/>
    </row>
    <row r="35" spans="1:26" ht="15" customHeight="1">
      <c r="A35" s="495"/>
      <c r="B35" s="500"/>
      <c r="C35" s="542"/>
      <c r="D35" s="543"/>
      <c r="E35" s="544"/>
      <c r="F35" s="544"/>
      <c r="G35" s="544"/>
      <c r="H35" s="545"/>
      <c r="I35" s="546"/>
      <c r="J35" s="547"/>
      <c r="K35" s="558" t="str">
        <f t="shared" si="0"/>
        <v/>
      </c>
      <c r="L35" s="559" t="str">
        <f t="shared" si="0"/>
        <v/>
      </c>
      <c r="M35" s="559" t="str">
        <f t="shared" si="0"/>
        <v/>
      </c>
      <c r="N35" s="559" t="str">
        <f t="shared" si="0"/>
        <v/>
      </c>
      <c r="O35" s="559" t="str">
        <f t="shared" si="0"/>
        <v/>
      </c>
      <c r="P35" s="560" t="str">
        <f t="shared" si="0"/>
        <v/>
      </c>
      <c r="Q35" s="551"/>
      <c r="R35" s="552" t="str">
        <f t="shared" si="3"/>
        <v/>
      </c>
      <c r="S35" s="553" t="str">
        <f t="shared" si="1"/>
        <v/>
      </c>
      <c r="T35" s="553" t="str">
        <f t="shared" si="1"/>
        <v/>
      </c>
      <c r="U35" s="547"/>
      <c r="V35" s="554">
        <f t="shared" si="4"/>
        <v>0</v>
      </c>
      <c r="W35" s="555">
        <f t="shared" si="2"/>
        <v>0</v>
      </c>
      <c r="X35" s="507" t="s">
        <v>949</v>
      </c>
      <c r="Y35" s="499"/>
      <c r="Z35" s="556"/>
    </row>
    <row r="36" spans="1:26" ht="15" customHeight="1">
      <c r="A36" s="495"/>
      <c r="B36" s="500"/>
      <c r="C36" s="542"/>
      <c r="D36" s="543"/>
      <c r="E36" s="544"/>
      <c r="F36" s="544"/>
      <c r="G36" s="544"/>
      <c r="H36" s="545"/>
      <c r="I36" s="546"/>
      <c r="J36" s="547"/>
      <c r="K36" s="558" t="str">
        <f t="shared" si="0"/>
        <v/>
      </c>
      <c r="L36" s="559" t="str">
        <f t="shared" si="0"/>
        <v/>
      </c>
      <c r="M36" s="559" t="str">
        <f t="shared" si="0"/>
        <v/>
      </c>
      <c r="N36" s="559" t="str">
        <f t="shared" si="0"/>
        <v/>
      </c>
      <c r="O36" s="559" t="str">
        <f t="shared" si="0"/>
        <v/>
      </c>
      <c r="P36" s="560" t="str">
        <f t="shared" si="0"/>
        <v/>
      </c>
      <c r="Q36" s="551"/>
      <c r="R36" s="552" t="str">
        <f t="shared" si="3"/>
        <v/>
      </c>
      <c r="S36" s="553" t="str">
        <f t="shared" si="1"/>
        <v/>
      </c>
      <c r="T36" s="553" t="str">
        <f t="shared" si="1"/>
        <v/>
      </c>
      <c r="U36" s="547"/>
      <c r="V36" s="554">
        <f t="shared" si="4"/>
        <v>0</v>
      </c>
      <c r="W36" s="555">
        <f t="shared" si="2"/>
        <v>0</v>
      </c>
      <c r="X36" s="507" t="s">
        <v>949</v>
      </c>
      <c r="Y36" s="499"/>
      <c r="Z36" s="556"/>
    </row>
    <row r="37" spans="1:26" ht="15" customHeight="1">
      <c r="A37" s="495"/>
      <c r="B37" s="500"/>
      <c r="C37" s="542"/>
      <c r="D37" s="543"/>
      <c r="E37" s="544"/>
      <c r="F37" s="544"/>
      <c r="G37" s="544"/>
      <c r="H37" s="545"/>
      <c r="I37" s="546"/>
      <c r="J37" s="547"/>
      <c r="K37" s="558" t="str">
        <f t="shared" si="0"/>
        <v/>
      </c>
      <c r="L37" s="559" t="str">
        <f t="shared" si="0"/>
        <v/>
      </c>
      <c r="M37" s="559" t="str">
        <f t="shared" si="0"/>
        <v/>
      </c>
      <c r="N37" s="559" t="str">
        <f t="shared" si="0"/>
        <v/>
      </c>
      <c r="O37" s="559" t="str">
        <f t="shared" si="0"/>
        <v/>
      </c>
      <c r="P37" s="560" t="str">
        <f t="shared" si="0"/>
        <v/>
      </c>
      <c r="Q37" s="551"/>
      <c r="R37" s="552" t="str">
        <f t="shared" si="3"/>
        <v/>
      </c>
      <c r="S37" s="553" t="str">
        <f t="shared" si="1"/>
        <v/>
      </c>
      <c r="T37" s="553" t="str">
        <f t="shared" si="1"/>
        <v/>
      </c>
      <c r="U37" s="547"/>
      <c r="V37" s="554">
        <f t="shared" si="4"/>
        <v>0</v>
      </c>
      <c r="W37" s="555">
        <f t="shared" si="2"/>
        <v>0</v>
      </c>
      <c r="X37" s="507" t="s">
        <v>949</v>
      </c>
      <c r="Y37" s="499"/>
      <c r="Z37" s="556"/>
    </row>
    <row r="38" spans="1:26" ht="15" customHeight="1">
      <c r="A38" s="495"/>
      <c r="B38" s="500"/>
      <c r="C38" s="542"/>
      <c r="D38" s="543"/>
      <c r="E38" s="544"/>
      <c r="F38" s="544"/>
      <c r="G38" s="544"/>
      <c r="H38" s="545"/>
      <c r="I38" s="546"/>
      <c r="J38" s="547"/>
      <c r="K38" s="558" t="str">
        <f t="shared" si="0"/>
        <v/>
      </c>
      <c r="L38" s="559" t="str">
        <f t="shared" si="0"/>
        <v/>
      </c>
      <c r="M38" s="559" t="str">
        <f t="shared" si="0"/>
        <v/>
      </c>
      <c r="N38" s="559" t="str">
        <f t="shared" si="0"/>
        <v/>
      </c>
      <c r="O38" s="559" t="str">
        <f t="shared" si="0"/>
        <v/>
      </c>
      <c r="P38" s="560" t="str">
        <f t="shared" si="0"/>
        <v/>
      </c>
      <c r="Q38" s="551"/>
      <c r="R38" s="552" t="str">
        <f t="shared" si="3"/>
        <v/>
      </c>
      <c r="S38" s="553" t="str">
        <f t="shared" si="1"/>
        <v/>
      </c>
      <c r="T38" s="553" t="str">
        <f t="shared" si="1"/>
        <v/>
      </c>
      <c r="U38" s="547"/>
      <c r="V38" s="554">
        <f t="shared" si="4"/>
        <v>0</v>
      </c>
      <c r="W38" s="555">
        <f t="shared" si="2"/>
        <v>0</v>
      </c>
      <c r="X38" s="507" t="s">
        <v>949</v>
      </c>
      <c r="Y38" s="499"/>
      <c r="Z38" s="556"/>
    </row>
    <row r="39" spans="1:26" ht="15" customHeight="1">
      <c r="A39" s="495"/>
      <c r="B39" s="500"/>
      <c r="C39" s="542"/>
      <c r="D39" s="543"/>
      <c r="E39" s="544"/>
      <c r="F39" s="544"/>
      <c r="G39" s="544"/>
      <c r="H39" s="545"/>
      <c r="I39" s="546"/>
      <c r="J39" s="547"/>
      <c r="K39" s="558" t="str">
        <f t="shared" si="0"/>
        <v/>
      </c>
      <c r="L39" s="559" t="str">
        <f t="shared" si="0"/>
        <v/>
      </c>
      <c r="M39" s="559" t="str">
        <f t="shared" si="0"/>
        <v/>
      </c>
      <c r="N39" s="559" t="str">
        <f t="shared" si="0"/>
        <v/>
      </c>
      <c r="O39" s="559" t="str">
        <f t="shared" si="0"/>
        <v/>
      </c>
      <c r="P39" s="560" t="str">
        <f t="shared" si="0"/>
        <v/>
      </c>
      <c r="Q39" s="551"/>
      <c r="R39" s="552" t="str">
        <f t="shared" si="3"/>
        <v/>
      </c>
      <c r="S39" s="553" t="str">
        <f t="shared" si="1"/>
        <v/>
      </c>
      <c r="T39" s="553" t="str">
        <f t="shared" si="1"/>
        <v/>
      </c>
      <c r="U39" s="547"/>
      <c r="V39" s="554">
        <f t="shared" si="4"/>
        <v>0</v>
      </c>
      <c r="W39" s="555">
        <f t="shared" si="2"/>
        <v>0</v>
      </c>
      <c r="X39" s="507" t="s">
        <v>949</v>
      </c>
      <c r="Y39" s="499"/>
      <c r="Z39" s="556"/>
    </row>
    <row r="40" spans="1:26" ht="15" customHeight="1">
      <c r="A40" s="495"/>
      <c r="B40" s="500"/>
      <c r="C40" s="542"/>
      <c r="D40" s="543"/>
      <c r="E40" s="544"/>
      <c r="F40" s="544"/>
      <c r="G40" s="544"/>
      <c r="H40" s="545"/>
      <c r="I40" s="546"/>
      <c r="J40" s="547"/>
      <c r="K40" s="558" t="str">
        <f t="shared" si="0"/>
        <v/>
      </c>
      <c r="L40" s="559" t="str">
        <f t="shared" si="0"/>
        <v/>
      </c>
      <c r="M40" s="559" t="str">
        <f t="shared" si="0"/>
        <v/>
      </c>
      <c r="N40" s="559" t="str">
        <f t="shared" si="0"/>
        <v/>
      </c>
      <c r="O40" s="559" t="str">
        <f t="shared" si="0"/>
        <v/>
      </c>
      <c r="P40" s="560" t="str">
        <f t="shared" si="0"/>
        <v/>
      </c>
      <c r="Q40" s="551"/>
      <c r="R40" s="552" t="str">
        <f t="shared" si="3"/>
        <v/>
      </c>
      <c r="S40" s="553" t="str">
        <f t="shared" si="1"/>
        <v/>
      </c>
      <c r="T40" s="553" t="str">
        <f t="shared" si="1"/>
        <v/>
      </c>
      <c r="U40" s="547"/>
      <c r="V40" s="554">
        <f t="shared" si="4"/>
        <v>0</v>
      </c>
      <c r="W40" s="555">
        <f t="shared" si="2"/>
        <v>0</v>
      </c>
      <c r="X40" s="507" t="s">
        <v>949</v>
      </c>
      <c r="Y40" s="499"/>
      <c r="Z40" s="556"/>
    </row>
    <row r="41" spans="1:26" ht="15" customHeight="1">
      <c r="A41" s="495"/>
      <c r="B41" s="500"/>
      <c r="C41" s="542"/>
      <c r="D41" s="543"/>
      <c r="E41" s="544"/>
      <c r="F41" s="544"/>
      <c r="G41" s="544"/>
      <c r="H41" s="545"/>
      <c r="I41" s="546"/>
      <c r="J41" s="547"/>
      <c r="K41" s="558" t="str">
        <f t="shared" si="0"/>
        <v/>
      </c>
      <c r="L41" s="559" t="str">
        <f t="shared" si="0"/>
        <v/>
      </c>
      <c r="M41" s="559" t="str">
        <f t="shared" si="0"/>
        <v/>
      </c>
      <c r="N41" s="559" t="str">
        <f t="shared" si="0"/>
        <v/>
      </c>
      <c r="O41" s="559" t="str">
        <f t="shared" si="0"/>
        <v/>
      </c>
      <c r="P41" s="560" t="str">
        <f t="shared" si="0"/>
        <v/>
      </c>
      <c r="Q41" s="551"/>
      <c r="R41" s="552" t="str">
        <f t="shared" si="3"/>
        <v/>
      </c>
      <c r="S41" s="553" t="str">
        <f t="shared" si="1"/>
        <v/>
      </c>
      <c r="T41" s="553" t="str">
        <f t="shared" si="1"/>
        <v/>
      </c>
      <c r="U41" s="547"/>
      <c r="V41" s="554">
        <f t="shared" si="4"/>
        <v>0</v>
      </c>
      <c r="W41" s="555">
        <f t="shared" si="2"/>
        <v>0</v>
      </c>
      <c r="X41" s="507" t="s">
        <v>949</v>
      </c>
      <c r="Y41" s="499"/>
      <c r="Z41" s="556"/>
    </row>
    <row r="42" spans="1:26" ht="15" customHeight="1">
      <c r="A42" s="495"/>
      <c r="B42" s="500"/>
      <c r="C42" s="542"/>
      <c r="D42" s="543"/>
      <c r="E42" s="544"/>
      <c r="F42" s="544"/>
      <c r="G42" s="544"/>
      <c r="H42" s="545"/>
      <c r="I42" s="546"/>
      <c r="J42" s="547"/>
      <c r="K42" s="558" t="str">
        <f t="shared" si="0"/>
        <v/>
      </c>
      <c r="L42" s="559" t="str">
        <f t="shared" si="0"/>
        <v/>
      </c>
      <c r="M42" s="559" t="str">
        <f t="shared" si="0"/>
        <v/>
      </c>
      <c r="N42" s="559" t="str">
        <f t="shared" si="0"/>
        <v/>
      </c>
      <c r="O42" s="559" t="str">
        <f t="shared" si="0"/>
        <v/>
      </c>
      <c r="P42" s="560" t="str">
        <f t="shared" si="0"/>
        <v/>
      </c>
      <c r="Q42" s="551"/>
      <c r="R42" s="552" t="str">
        <f t="shared" si="3"/>
        <v/>
      </c>
      <c r="S42" s="553" t="str">
        <f t="shared" si="1"/>
        <v/>
      </c>
      <c r="T42" s="553" t="str">
        <f t="shared" si="1"/>
        <v/>
      </c>
      <c r="U42" s="547"/>
      <c r="V42" s="554">
        <f t="shared" si="4"/>
        <v>0</v>
      </c>
      <c r="W42" s="555">
        <f t="shared" si="2"/>
        <v>0</v>
      </c>
      <c r="X42" s="507" t="s">
        <v>949</v>
      </c>
      <c r="Y42" s="499"/>
      <c r="Z42" s="556"/>
    </row>
    <row r="43" spans="1:26" ht="15" customHeight="1">
      <c r="A43" s="495"/>
      <c r="B43" s="500"/>
      <c r="C43" s="542"/>
      <c r="D43" s="543"/>
      <c r="E43" s="544"/>
      <c r="F43" s="544"/>
      <c r="G43" s="544"/>
      <c r="H43" s="545"/>
      <c r="I43" s="546"/>
      <c r="J43" s="547"/>
      <c r="K43" s="558" t="str">
        <f t="shared" si="0"/>
        <v/>
      </c>
      <c r="L43" s="559" t="str">
        <f t="shared" si="0"/>
        <v/>
      </c>
      <c r="M43" s="559" t="str">
        <f t="shared" si="0"/>
        <v/>
      </c>
      <c r="N43" s="559" t="str">
        <f t="shared" si="0"/>
        <v/>
      </c>
      <c r="O43" s="559" t="str">
        <f t="shared" si="0"/>
        <v/>
      </c>
      <c r="P43" s="560" t="str">
        <f t="shared" si="0"/>
        <v/>
      </c>
      <c r="Q43" s="551"/>
      <c r="R43" s="552" t="str">
        <f t="shared" si="3"/>
        <v/>
      </c>
      <c r="S43" s="553" t="str">
        <f t="shared" si="1"/>
        <v/>
      </c>
      <c r="T43" s="553" t="str">
        <f t="shared" si="1"/>
        <v/>
      </c>
      <c r="U43" s="547"/>
      <c r="V43" s="554">
        <f t="shared" si="4"/>
        <v>0</v>
      </c>
      <c r="W43" s="555">
        <f t="shared" si="2"/>
        <v>0</v>
      </c>
      <c r="X43" s="507" t="s">
        <v>949</v>
      </c>
      <c r="Y43" s="499"/>
      <c r="Z43" s="556"/>
    </row>
    <row r="44" spans="1:26" ht="15" customHeight="1">
      <c r="A44" s="495"/>
      <c r="B44" s="500"/>
      <c r="C44" s="542"/>
      <c r="D44" s="543"/>
      <c r="E44" s="544"/>
      <c r="F44" s="544"/>
      <c r="G44" s="544"/>
      <c r="H44" s="545"/>
      <c r="I44" s="546"/>
      <c r="J44" s="547"/>
      <c r="K44" s="558" t="str">
        <f t="shared" si="0"/>
        <v/>
      </c>
      <c r="L44" s="559" t="str">
        <f t="shared" si="0"/>
        <v/>
      </c>
      <c r="M44" s="559" t="str">
        <f t="shared" si="0"/>
        <v/>
      </c>
      <c r="N44" s="559" t="str">
        <f t="shared" si="0"/>
        <v/>
      </c>
      <c r="O44" s="559" t="str">
        <f t="shared" si="0"/>
        <v/>
      </c>
      <c r="P44" s="560" t="str">
        <f t="shared" si="0"/>
        <v/>
      </c>
      <c r="Q44" s="551"/>
      <c r="R44" s="552" t="str">
        <f t="shared" si="3"/>
        <v/>
      </c>
      <c r="S44" s="553" t="str">
        <f t="shared" si="1"/>
        <v/>
      </c>
      <c r="T44" s="553" t="str">
        <f t="shared" si="1"/>
        <v/>
      </c>
      <c r="U44" s="547"/>
      <c r="V44" s="554">
        <f t="shared" si="4"/>
        <v>0</v>
      </c>
      <c r="W44" s="555">
        <f t="shared" si="2"/>
        <v>0</v>
      </c>
      <c r="X44" s="507" t="s">
        <v>949</v>
      </c>
      <c r="Y44" s="499"/>
      <c r="Z44" s="556"/>
    </row>
    <row r="45" spans="1:26" ht="15" customHeight="1">
      <c r="A45" s="495"/>
      <c r="B45" s="500"/>
      <c r="C45" s="542"/>
      <c r="D45" s="543"/>
      <c r="E45" s="544"/>
      <c r="F45" s="544"/>
      <c r="G45" s="544"/>
      <c r="H45" s="545"/>
      <c r="I45" s="546"/>
      <c r="J45" s="547"/>
      <c r="K45" s="558" t="str">
        <f t="shared" si="0"/>
        <v/>
      </c>
      <c r="L45" s="559" t="str">
        <f t="shared" si="0"/>
        <v/>
      </c>
      <c r="M45" s="559" t="str">
        <f t="shared" si="0"/>
        <v/>
      </c>
      <c r="N45" s="559" t="str">
        <f t="shared" si="0"/>
        <v/>
      </c>
      <c r="O45" s="559" t="str">
        <f t="shared" si="0"/>
        <v/>
      </c>
      <c r="P45" s="560" t="str">
        <f t="shared" si="0"/>
        <v/>
      </c>
      <c r="Q45" s="551"/>
      <c r="R45" s="552" t="str">
        <f t="shared" si="3"/>
        <v/>
      </c>
      <c r="S45" s="553" t="str">
        <f t="shared" si="1"/>
        <v/>
      </c>
      <c r="T45" s="553" t="str">
        <f t="shared" si="1"/>
        <v/>
      </c>
      <c r="U45" s="547"/>
      <c r="V45" s="554">
        <f t="shared" si="4"/>
        <v>0</v>
      </c>
      <c r="W45" s="555">
        <f t="shared" si="2"/>
        <v>0</v>
      </c>
      <c r="X45" s="507" t="s">
        <v>949</v>
      </c>
      <c r="Y45" s="499"/>
      <c r="Z45" s="556"/>
    </row>
    <row r="46" spans="1:26" ht="15" customHeight="1">
      <c r="A46" s="495"/>
      <c r="B46" s="500"/>
      <c r="C46" s="557"/>
      <c r="D46" s="543"/>
      <c r="E46" s="544"/>
      <c r="F46" s="544"/>
      <c r="G46" s="544"/>
      <c r="H46" s="545"/>
      <c r="I46" s="546"/>
      <c r="J46" s="547"/>
      <c r="K46" s="558" t="str">
        <f t="shared" si="0"/>
        <v/>
      </c>
      <c r="L46" s="559" t="str">
        <f t="shared" si="0"/>
        <v/>
      </c>
      <c r="M46" s="559" t="str">
        <f t="shared" si="0"/>
        <v/>
      </c>
      <c r="N46" s="559" t="str">
        <f t="shared" si="0"/>
        <v/>
      </c>
      <c r="O46" s="559" t="str">
        <f t="shared" si="0"/>
        <v/>
      </c>
      <c r="P46" s="560" t="str">
        <f t="shared" si="0"/>
        <v/>
      </c>
      <c r="Q46" s="551"/>
      <c r="R46" s="552" t="str">
        <f t="shared" si="3"/>
        <v/>
      </c>
      <c r="S46" s="553" t="str">
        <f t="shared" si="1"/>
        <v/>
      </c>
      <c r="T46" s="553" t="str">
        <f t="shared" si="1"/>
        <v/>
      </c>
      <c r="U46" s="547"/>
      <c r="V46" s="554">
        <f t="shared" si="4"/>
        <v>0</v>
      </c>
      <c r="W46" s="555">
        <f t="shared" si="2"/>
        <v>0</v>
      </c>
      <c r="X46" s="507" t="s">
        <v>949</v>
      </c>
      <c r="Y46" s="499"/>
      <c r="Z46" s="556"/>
    </row>
    <row r="47" spans="1:26" ht="15" customHeight="1">
      <c r="A47" s="495"/>
      <c r="B47" s="500"/>
      <c r="C47" s="557"/>
      <c r="D47" s="543"/>
      <c r="E47" s="544"/>
      <c r="F47" s="544"/>
      <c r="G47" s="544"/>
      <c r="H47" s="545"/>
      <c r="I47" s="546"/>
      <c r="J47" s="547"/>
      <c r="K47" s="558" t="str">
        <f t="shared" si="0"/>
        <v/>
      </c>
      <c r="L47" s="559" t="str">
        <f t="shared" si="0"/>
        <v/>
      </c>
      <c r="M47" s="559" t="str">
        <f t="shared" si="0"/>
        <v/>
      </c>
      <c r="N47" s="559" t="str">
        <f t="shared" si="0"/>
        <v/>
      </c>
      <c r="O47" s="559" t="str">
        <f t="shared" si="0"/>
        <v/>
      </c>
      <c r="P47" s="560" t="str">
        <f t="shared" si="0"/>
        <v/>
      </c>
      <c r="Q47" s="551"/>
      <c r="R47" s="552" t="str">
        <f t="shared" si="3"/>
        <v/>
      </c>
      <c r="S47" s="553" t="str">
        <f t="shared" si="1"/>
        <v/>
      </c>
      <c r="T47" s="553" t="str">
        <f t="shared" si="1"/>
        <v/>
      </c>
      <c r="U47" s="547"/>
      <c r="V47" s="554">
        <f t="shared" si="4"/>
        <v>0</v>
      </c>
      <c r="W47" s="555">
        <f t="shared" si="2"/>
        <v>0</v>
      </c>
      <c r="X47" s="507" t="s">
        <v>949</v>
      </c>
      <c r="Y47" s="499"/>
      <c r="Z47" s="556"/>
    </row>
    <row r="48" spans="1:26" ht="15" customHeight="1">
      <c r="A48" s="495"/>
      <c r="B48" s="500"/>
      <c r="C48" s="542"/>
      <c r="D48" s="543"/>
      <c r="E48" s="544"/>
      <c r="F48" s="544"/>
      <c r="G48" s="544"/>
      <c r="H48" s="545"/>
      <c r="I48" s="546"/>
      <c r="J48" s="547"/>
      <c r="K48" s="558" t="str">
        <f t="shared" si="0"/>
        <v/>
      </c>
      <c r="L48" s="559" t="str">
        <f t="shared" si="0"/>
        <v/>
      </c>
      <c r="M48" s="559" t="str">
        <f t="shared" si="0"/>
        <v/>
      </c>
      <c r="N48" s="559" t="str">
        <f t="shared" si="0"/>
        <v/>
      </c>
      <c r="O48" s="559" t="str">
        <f t="shared" si="0"/>
        <v/>
      </c>
      <c r="P48" s="560" t="str">
        <f t="shared" si="0"/>
        <v/>
      </c>
      <c r="Q48" s="551"/>
      <c r="R48" s="552" t="str">
        <f t="shared" si="3"/>
        <v/>
      </c>
      <c r="S48" s="553" t="str">
        <f t="shared" si="1"/>
        <v/>
      </c>
      <c r="T48" s="553" t="str">
        <f t="shared" si="1"/>
        <v/>
      </c>
      <c r="U48" s="547"/>
      <c r="V48" s="554">
        <f t="shared" si="4"/>
        <v>0</v>
      </c>
      <c r="W48" s="555">
        <f t="shared" si="2"/>
        <v>0</v>
      </c>
      <c r="X48" s="507" t="s">
        <v>949</v>
      </c>
      <c r="Y48" s="499"/>
      <c r="Z48" s="556"/>
    </row>
    <row r="49" spans="1:26" ht="15" customHeight="1">
      <c r="A49" s="495"/>
      <c r="B49" s="500"/>
      <c r="C49" s="542"/>
      <c r="D49" s="543"/>
      <c r="E49" s="544"/>
      <c r="F49" s="544"/>
      <c r="G49" s="544"/>
      <c r="H49" s="545"/>
      <c r="I49" s="546"/>
      <c r="J49" s="547"/>
      <c r="K49" s="558" t="str">
        <f t="shared" si="0"/>
        <v/>
      </c>
      <c r="L49" s="559" t="str">
        <f t="shared" si="0"/>
        <v/>
      </c>
      <c r="M49" s="559" t="str">
        <f t="shared" si="0"/>
        <v/>
      </c>
      <c r="N49" s="559" t="str">
        <f t="shared" si="0"/>
        <v/>
      </c>
      <c r="O49" s="559" t="str">
        <f t="shared" si="0"/>
        <v/>
      </c>
      <c r="P49" s="560" t="str">
        <f t="shared" si="0"/>
        <v/>
      </c>
      <c r="Q49" s="551"/>
      <c r="R49" s="552" t="str">
        <f t="shared" si="3"/>
        <v/>
      </c>
      <c r="S49" s="553" t="str">
        <f t="shared" si="1"/>
        <v/>
      </c>
      <c r="T49" s="553" t="str">
        <f t="shared" si="1"/>
        <v/>
      </c>
      <c r="U49" s="547"/>
      <c r="V49" s="554">
        <f t="shared" si="4"/>
        <v>0</v>
      </c>
      <c r="W49" s="555">
        <f t="shared" si="2"/>
        <v>0</v>
      </c>
      <c r="X49" s="507" t="s">
        <v>949</v>
      </c>
      <c r="Y49" s="499"/>
      <c r="Z49" s="556"/>
    </row>
    <row r="50" spans="1:26" ht="15" customHeight="1">
      <c r="A50" s="495"/>
      <c r="B50" s="500"/>
      <c r="C50" s="542"/>
      <c r="D50" s="543"/>
      <c r="E50" s="544"/>
      <c r="F50" s="544"/>
      <c r="G50" s="544"/>
      <c r="H50" s="545"/>
      <c r="I50" s="546"/>
      <c r="J50" s="547"/>
      <c r="K50" s="558" t="str">
        <f t="shared" si="0"/>
        <v/>
      </c>
      <c r="L50" s="559" t="str">
        <f t="shared" si="0"/>
        <v/>
      </c>
      <c r="M50" s="559" t="str">
        <f t="shared" si="0"/>
        <v/>
      </c>
      <c r="N50" s="559" t="str">
        <f t="shared" ref="K50:P57" si="5">IF($H50="","",IF($H50=N$5,$G50,""))</f>
        <v/>
      </c>
      <c r="O50" s="559" t="str">
        <f t="shared" si="5"/>
        <v/>
      </c>
      <c r="P50" s="560" t="str">
        <f t="shared" si="5"/>
        <v/>
      </c>
      <c r="Q50" s="551"/>
      <c r="R50" s="552" t="str">
        <f t="shared" si="3"/>
        <v/>
      </c>
      <c r="S50" s="553" t="str">
        <f t="shared" si="1"/>
        <v/>
      </c>
      <c r="T50" s="553" t="str">
        <f t="shared" si="1"/>
        <v/>
      </c>
      <c r="U50" s="547"/>
      <c r="V50" s="554">
        <f t="shared" si="4"/>
        <v>0</v>
      </c>
      <c r="W50" s="555">
        <f t="shared" si="2"/>
        <v>0</v>
      </c>
      <c r="X50" s="507" t="s">
        <v>949</v>
      </c>
      <c r="Y50" s="499"/>
      <c r="Z50" s="556"/>
    </row>
    <row r="51" spans="1:26" ht="15" customHeight="1">
      <c r="A51" s="495"/>
      <c r="B51" s="500"/>
      <c r="C51" s="542"/>
      <c r="D51" s="543"/>
      <c r="E51" s="544"/>
      <c r="F51" s="544"/>
      <c r="G51" s="544"/>
      <c r="H51" s="545"/>
      <c r="I51" s="546"/>
      <c r="J51" s="547"/>
      <c r="K51" s="558" t="str">
        <f t="shared" si="5"/>
        <v/>
      </c>
      <c r="L51" s="559" t="str">
        <f t="shared" si="5"/>
        <v/>
      </c>
      <c r="M51" s="559" t="str">
        <f t="shared" si="5"/>
        <v/>
      </c>
      <c r="N51" s="559" t="str">
        <f t="shared" si="5"/>
        <v/>
      </c>
      <c r="O51" s="559" t="str">
        <f t="shared" si="5"/>
        <v/>
      </c>
      <c r="P51" s="560" t="str">
        <f t="shared" si="5"/>
        <v/>
      </c>
      <c r="Q51" s="551"/>
      <c r="R51" s="552" t="str">
        <f t="shared" si="3"/>
        <v/>
      </c>
      <c r="S51" s="553" t="str">
        <f t="shared" si="1"/>
        <v/>
      </c>
      <c r="T51" s="553" t="str">
        <f t="shared" si="1"/>
        <v/>
      </c>
      <c r="U51" s="547"/>
      <c r="V51" s="554">
        <f t="shared" si="4"/>
        <v>0</v>
      </c>
      <c r="W51" s="555">
        <f t="shared" si="2"/>
        <v>0</v>
      </c>
      <c r="X51" s="507" t="s">
        <v>949</v>
      </c>
      <c r="Y51" s="499"/>
      <c r="Z51" s="556"/>
    </row>
    <row r="52" spans="1:26" ht="15" customHeight="1">
      <c r="A52" s="495"/>
      <c r="B52" s="500"/>
      <c r="C52" s="542"/>
      <c r="D52" s="543"/>
      <c r="E52" s="544"/>
      <c r="F52" s="544"/>
      <c r="G52" s="544"/>
      <c r="H52" s="545"/>
      <c r="I52" s="546"/>
      <c r="J52" s="547"/>
      <c r="K52" s="558" t="str">
        <f t="shared" si="5"/>
        <v/>
      </c>
      <c r="L52" s="559" t="str">
        <f t="shared" si="5"/>
        <v/>
      </c>
      <c r="M52" s="559" t="str">
        <f t="shared" si="5"/>
        <v/>
      </c>
      <c r="N52" s="559" t="str">
        <f t="shared" si="5"/>
        <v/>
      </c>
      <c r="O52" s="559" t="str">
        <f t="shared" si="5"/>
        <v/>
      </c>
      <c r="P52" s="560" t="str">
        <f t="shared" si="5"/>
        <v/>
      </c>
      <c r="Q52" s="551"/>
      <c r="R52" s="552" t="str">
        <f t="shared" si="3"/>
        <v/>
      </c>
      <c r="S52" s="553" t="str">
        <f t="shared" si="1"/>
        <v/>
      </c>
      <c r="T52" s="553" t="str">
        <f t="shared" si="1"/>
        <v/>
      </c>
      <c r="U52" s="547"/>
      <c r="V52" s="554">
        <f t="shared" si="4"/>
        <v>0</v>
      </c>
      <c r="W52" s="555">
        <f t="shared" si="2"/>
        <v>0</v>
      </c>
      <c r="X52" s="507" t="s">
        <v>949</v>
      </c>
      <c r="Y52" s="499"/>
      <c r="Z52" s="556"/>
    </row>
    <row r="53" spans="1:26" ht="15" customHeight="1">
      <c r="A53" s="495"/>
      <c r="B53" s="500"/>
      <c r="C53" s="542"/>
      <c r="D53" s="543"/>
      <c r="E53" s="544"/>
      <c r="F53" s="544"/>
      <c r="G53" s="544"/>
      <c r="H53" s="545"/>
      <c r="I53" s="546"/>
      <c r="J53" s="547"/>
      <c r="K53" s="558" t="str">
        <f t="shared" si="5"/>
        <v/>
      </c>
      <c r="L53" s="559" t="str">
        <f t="shared" si="5"/>
        <v/>
      </c>
      <c r="M53" s="559" t="str">
        <f t="shared" si="5"/>
        <v/>
      </c>
      <c r="N53" s="559" t="str">
        <f t="shared" si="5"/>
        <v/>
      </c>
      <c r="O53" s="559" t="str">
        <f t="shared" si="5"/>
        <v/>
      </c>
      <c r="P53" s="560" t="str">
        <f t="shared" si="5"/>
        <v/>
      </c>
      <c r="Q53" s="551"/>
      <c r="R53" s="552" t="str">
        <f t="shared" si="3"/>
        <v/>
      </c>
      <c r="S53" s="553" t="str">
        <f t="shared" si="1"/>
        <v/>
      </c>
      <c r="T53" s="553" t="str">
        <f t="shared" si="1"/>
        <v/>
      </c>
      <c r="U53" s="547"/>
      <c r="V53" s="554">
        <f t="shared" si="4"/>
        <v>0</v>
      </c>
      <c r="W53" s="555">
        <f t="shared" si="2"/>
        <v>0</v>
      </c>
      <c r="X53" s="507" t="s">
        <v>949</v>
      </c>
      <c r="Y53" s="499"/>
      <c r="Z53" s="556"/>
    </row>
    <row r="54" spans="1:26" ht="15" customHeight="1">
      <c r="A54" s="495"/>
      <c r="B54" s="500"/>
      <c r="C54" s="542"/>
      <c r="D54" s="543"/>
      <c r="E54" s="544"/>
      <c r="F54" s="544"/>
      <c r="G54" s="544"/>
      <c r="H54" s="545"/>
      <c r="I54" s="546"/>
      <c r="J54" s="547"/>
      <c r="K54" s="558" t="str">
        <f t="shared" si="5"/>
        <v/>
      </c>
      <c r="L54" s="559" t="str">
        <f t="shared" si="5"/>
        <v/>
      </c>
      <c r="M54" s="559" t="str">
        <f t="shared" si="5"/>
        <v/>
      </c>
      <c r="N54" s="559" t="str">
        <f t="shared" si="5"/>
        <v/>
      </c>
      <c r="O54" s="559" t="str">
        <f t="shared" si="5"/>
        <v/>
      </c>
      <c r="P54" s="560" t="str">
        <f t="shared" si="5"/>
        <v/>
      </c>
      <c r="Q54" s="551"/>
      <c r="R54" s="552" t="str">
        <f t="shared" si="3"/>
        <v/>
      </c>
      <c r="S54" s="553" t="str">
        <f t="shared" si="1"/>
        <v/>
      </c>
      <c r="T54" s="553" t="str">
        <f t="shared" si="1"/>
        <v/>
      </c>
      <c r="U54" s="547"/>
      <c r="V54" s="554">
        <f t="shared" si="4"/>
        <v>0</v>
      </c>
      <c r="W54" s="555">
        <f t="shared" si="2"/>
        <v>0</v>
      </c>
      <c r="X54" s="507" t="s">
        <v>949</v>
      </c>
      <c r="Y54" s="499"/>
      <c r="Z54" s="556"/>
    </row>
    <row r="55" spans="1:26" ht="15" customHeight="1">
      <c r="A55" s="495"/>
      <c r="B55" s="500"/>
      <c r="C55" s="542"/>
      <c r="D55" s="543"/>
      <c r="E55" s="544"/>
      <c r="F55" s="544"/>
      <c r="G55" s="544"/>
      <c r="H55" s="545"/>
      <c r="I55" s="546"/>
      <c r="J55" s="547"/>
      <c r="K55" s="558" t="str">
        <f t="shared" si="5"/>
        <v/>
      </c>
      <c r="L55" s="559" t="str">
        <f t="shared" si="5"/>
        <v/>
      </c>
      <c r="M55" s="559" t="str">
        <f t="shared" si="5"/>
        <v/>
      </c>
      <c r="N55" s="559" t="str">
        <f t="shared" si="5"/>
        <v/>
      </c>
      <c r="O55" s="559" t="str">
        <f t="shared" si="5"/>
        <v/>
      </c>
      <c r="P55" s="560" t="str">
        <f t="shared" si="5"/>
        <v/>
      </c>
      <c r="Q55" s="551"/>
      <c r="R55" s="552" t="str">
        <f t="shared" si="3"/>
        <v/>
      </c>
      <c r="S55" s="553" t="str">
        <f t="shared" si="1"/>
        <v/>
      </c>
      <c r="T55" s="553" t="str">
        <f t="shared" si="1"/>
        <v/>
      </c>
      <c r="U55" s="547"/>
      <c r="V55" s="554">
        <f t="shared" si="4"/>
        <v>0</v>
      </c>
      <c r="W55" s="555">
        <f t="shared" si="2"/>
        <v>0</v>
      </c>
      <c r="X55" s="507" t="s">
        <v>949</v>
      </c>
      <c r="Y55" s="499"/>
      <c r="Z55" s="556"/>
    </row>
    <row r="56" spans="1:26" ht="15" customHeight="1">
      <c r="A56" s="495"/>
      <c r="B56" s="500"/>
      <c r="C56" s="542"/>
      <c r="D56" s="543"/>
      <c r="E56" s="544"/>
      <c r="F56" s="544"/>
      <c r="G56" s="544"/>
      <c r="H56" s="545"/>
      <c r="I56" s="546"/>
      <c r="J56" s="547"/>
      <c r="K56" s="558" t="str">
        <f t="shared" si="5"/>
        <v/>
      </c>
      <c r="L56" s="559" t="str">
        <f t="shared" si="5"/>
        <v/>
      </c>
      <c r="M56" s="559" t="str">
        <f t="shared" si="5"/>
        <v/>
      </c>
      <c r="N56" s="559" t="str">
        <f t="shared" si="5"/>
        <v/>
      </c>
      <c r="O56" s="559" t="str">
        <f t="shared" si="5"/>
        <v/>
      </c>
      <c r="P56" s="560" t="str">
        <f t="shared" si="5"/>
        <v/>
      </c>
      <c r="Q56" s="551"/>
      <c r="R56" s="552" t="str">
        <f t="shared" si="3"/>
        <v/>
      </c>
      <c r="S56" s="553" t="str">
        <f t="shared" si="1"/>
        <v/>
      </c>
      <c r="T56" s="553" t="str">
        <f t="shared" si="1"/>
        <v/>
      </c>
      <c r="U56" s="547"/>
      <c r="V56" s="554">
        <f t="shared" si="4"/>
        <v>0</v>
      </c>
      <c r="W56" s="555">
        <f t="shared" si="2"/>
        <v>0</v>
      </c>
      <c r="X56" s="507" t="s">
        <v>949</v>
      </c>
      <c r="Y56" s="499"/>
      <c r="Z56" s="556"/>
    </row>
    <row r="57" spans="1:26" ht="15" customHeight="1">
      <c r="A57" s="495"/>
      <c r="B57" s="500"/>
      <c r="C57" s="542"/>
      <c r="D57" s="543"/>
      <c r="E57" s="544"/>
      <c r="F57" s="544"/>
      <c r="G57" s="544"/>
      <c r="H57" s="561"/>
      <c r="I57" s="562"/>
      <c r="J57" s="563"/>
      <c r="K57" s="558" t="str">
        <f t="shared" si="5"/>
        <v/>
      </c>
      <c r="L57" s="559" t="str">
        <f t="shared" si="5"/>
        <v/>
      </c>
      <c r="M57" s="559" t="str">
        <f t="shared" si="5"/>
        <v/>
      </c>
      <c r="N57" s="559" t="str">
        <f t="shared" si="5"/>
        <v/>
      </c>
      <c r="O57" s="559" t="str">
        <f t="shared" si="5"/>
        <v/>
      </c>
      <c r="P57" s="560" t="str">
        <f t="shared" si="5"/>
        <v/>
      </c>
      <c r="Q57" s="564"/>
      <c r="R57" s="552" t="str">
        <f t="shared" si="3"/>
        <v/>
      </c>
      <c r="S57" s="553" t="str">
        <f t="shared" si="1"/>
        <v/>
      </c>
      <c r="T57" s="553" t="str">
        <f t="shared" si="1"/>
        <v/>
      </c>
      <c r="U57" s="563"/>
      <c r="V57" s="554">
        <f t="shared" si="4"/>
        <v>0</v>
      </c>
      <c r="W57" s="565">
        <f t="shared" si="2"/>
        <v>0</v>
      </c>
      <c r="X57" s="507" t="s">
        <v>949</v>
      </c>
      <c r="Y57" s="499"/>
      <c r="Z57" s="556" t="s">
        <v>1029</v>
      </c>
    </row>
    <row r="58" spans="1:26" ht="15" customHeight="1">
      <c r="A58" s="495"/>
      <c r="B58" s="500"/>
      <c r="C58" s="566" t="s">
        <v>1030</v>
      </c>
      <c r="D58" s="567"/>
      <c r="E58" s="568">
        <f>SUM(E8:E57)</f>
        <v>0</v>
      </c>
      <c r="F58" s="568"/>
      <c r="G58" s="568">
        <f>SUM(G8:G57)</f>
        <v>0</v>
      </c>
      <c r="H58" s="568"/>
      <c r="I58" s="568"/>
      <c r="J58" s="569"/>
      <c r="K58" s="570">
        <f t="shared" ref="K58:P58" si="6">SUM(K8:K57)</f>
        <v>0</v>
      </c>
      <c r="L58" s="571">
        <f t="shared" si="6"/>
        <v>0</v>
      </c>
      <c r="M58" s="571">
        <f t="shared" si="6"/>
        <v>0</v>
      </c>
      <c r="N58" s="571">
        <f t="shared" si="6"/>
        <v>0</v>
      </c>
      <c r="O58" s="571">
        <f t="shared" si="6"/>
        <v>0</v>
      </c>
      <c r="P58" s="572">
        <f t="shared" si="6"/>
        <v>0</v>
      </c>
      <c r="Q58" s="569"/>
      <c r="R58" s="573">
        <f>SUM(R8:R57)</f>
        <v>0</v>
      </c>
      <c r="S58" s="572">
        <f>SUM(S8:S57)</f>
        <v>0</v>
      </c>
      <c r="T58" s="572">
        <f>SUM(T8:T57)</f>
        <v>0</v>
      </c>
      <c r="U58" s="569"/>
      <c r="V58" s="568">
        <f>SUM(V8:V57)</f>
        <v>0</v>
      </c>
      <c r="W58" s="574">
        <f>SUM(W8:W57)</f>
        <v>0</v>
      </c>
      <c r="X58" s="507"/>
      <c r="Y58" s="499"/>
      <c r="Z58" s="556"/>
    </row>
    <row r="59" spans="1:26" ht="7.5" customHeight="1">
      <c r="A59" s="495"/>
      <c r="B59" s="500"/>
      <c r="C59" s="575"/>
      <c r="D59" s="576"/>
      <c r="E59" s="577"/>
      <c r="F59" s="577"/>
      <c r="G59" s="577"/>
      <c r="H59" s="576"/>
      <c r="I59" s="578"/>
      <c r="J59" s="579"/>
      <c r="K59" s="580"/>
      <c r="L59" s="581"/>
      <c r="M59" s="581"/>
      <c r="N59" s="581"/>
      <c r="O59" s="581"/>
      <c r="P59" s="582"/>
      <c r="Q59" s="564"/>
      <c r="R59" s="580"/>
      <c r="S59" s="581"/>
      <c r="T59" s="582"/>
      <c r="U59" s="579"/>
      <c r="V59" s="580"/>
      <c r="W59" s="583"/>
      <c r="X59" s="507"/>
      <c r="Y59" s="499"/>
      <c r="Z59" s="556"/>
    </row>
    <row r="60" spans="1:26" ht="15" customHeight="1">
      <c r="A60" s="495"/>
      <c r="B60" s="500"/>
      <c r="C60" s="584" t="s">
        <v>1031</v>
      </c>
      <c r="D60" s="535"/>
      <c r="E60" s="536"/>
      <c r="F60" s="536"/>
      <c r="G60" s="536"/>
      <c r="H60" s="537"/>
      <c r="I60" s="537"/>
      <c r="J60" s="538"/>
      <c r="K60" s="536"/>
      <c r="L60" s="536"/>
      <c r="M60" s="536"/>
      <c r="N60" s="536"/>
      <c r="O60" s="536"/>
      <c r="P60" s="536"/>
      <c r="Q60" s="539"/>
      <c r="R60" s="536"/>
      <c r="S60" s="536"/>
      <c r="T60" s="536"/>
      <c r="U60" s="538"/>
      <c r="V60" s="536"/>
      <c r="W60" s="540"/>
      <c r="X60" s="507"/>
      <c r="Y60" s="499"/>
      <c r="Z60" s="556"/>
    </row>
    <row r="61" spans="1:26" ht="15" customHeight="1">
      <c r="A61" s="495"/>
      <c r="B61" s="500"/>
      <c r="C61" s="542"/>
      <c r="D61" s="543"/>
      <c r="E61" s="544"/>
      <c r="F61" s="544"/>
      <c r="G61" s="544"/>
      <c r="H61" s="561"/>
      <c r="I61" s="585"/>
      <c r="J61" s="579"/>
      <c r="K61" s="548" t="str">
        <f t="shared" ref="K61:P70" si="7">IF($H61="","",IF($H61=K$5,$G61,""))</f>
        <v/>
      </c>
      <c r="L61" s="549" t="str">
        <f t="shared" si="7"/>
        <v/>
      </c>
      <c r="M61" s="549" t="str">
        <f t="shared" si="7"/>
        <v/>
      </c>
      <c r="N61" s="549" t="str">
        <f t="shared" si="7"/>
        <v/>
      </c>
      <c r="O61" s="549" t="str">
        <f t="shared" si="7"/>
        <v/>
      </c>
      <c r="P61" s="550" t="str">
        <f t="shared" si="7"/>
        <v/>
      </c>
      <c r="Q61" s="564"/>
      <c r="R61" s="552" t="str">
        <f t="shared" ref="R61:T70" si="8">IF($H61="","",IF($H61=R$5,$G61,""))</f>
        <v/>
      </c>
      <c r="S61" s="553" t="str">
        <f t="shared" si="8"/>
        <v/>
      </c>
      <c r="T61" s="553" t="str">
        <f t="shared" si="8"/>
        <v/>
      </c>
      <c r="U61" s="579"/>
      <c r="V61" s="586">
        <f t="shared" ref="V61:V70" si="9">SUM(K61:P61)</f>
        <v>0</v>
      </c>
      <c r="W61" s="555">
        <f t="shared" ref="W61:W70" si="10">V61-E61</f>
        <v>0</v>
      </c>
      <c r="X61" s="507"/>
      <c r="Y61" s="499"/>
      <c r="Z61" s="556" t="s">
        <v>1029</v>
      </c>
    </row>
    <row r="62" spans="1:26" ht="15" customHeight="1">
      <c r="A62" s="495"/>
      <c r="B62" s="500"/>
      <c r="C62" s="542"/>
      <c r="D62" s="543"/>
      <c r="E62" s="544"/>
      <c r="F62" s="544"/>
      <c r="G62" s="544"/>
      <c r="H62" s="561"/>
      <c r="I62" s="585"/>
      <c r="J62" s="579"/>
      <c r="K62" s="558" t="str">
        <f t="shared" si="7"/>
        <v/>
      </c>
      <c r="L62" s="559" t="str">
        <f t="shared" si="7"/>
        <v/>
      </c>
      <c r="M62" s="559" t="str">
        <f t="shared" si="7"/>
        <v/>
      </c>
      <c r="N62" s="559" t="str">
        <f t="shared" si="7"/>
        <v/>
      </c>
      <c r="O62" s="559" t="str">
        <f t="shared" si="7"/>
        <v/>
      </c>
      <c r="P62" s="560" t="str">
        <f t="shared" si="7"/>
        <v/>
      </c>
      <c r="Q62" s="564"/>
      <c r="R62" s="552" t="str">
        <f t="shared" si="8"/>
        <v/>
      </c>
      <c r="S62" s="553" t="str">
        <f t="shared" si="8"/>
        <v/>
      </c>
      <c r="T62" s="553" t="str">
        <f t="shared" si="8"/>
        <v/>
      </c>
      <c r="U62" s="579"/>
      <c r="V62" s="586">
        <f t="shared" si="9"/>
        <v>0</v>
      </c>
      <c r="W62" s="555">
        <f t="shared" si="10"/>
        <v>0</v>
      </c>
      <c r="X62" s="507" t="s">
        <v>949</v>
      </c>
      <c r="Y62" s="499"/>
      <c r="Z62" s="556"/>
    </row>
    <row r="63" spans="1:26" ht="15" customHeight="1">
      <c r="A63" s="495"/>
      <c r="B63" s="500"/>
      <c r="C63" s="542"/>
      <c r="D63" s="543"/>
      <c r="E63" s="544"/>
      <c r="F63" s="544"/>
      <c r="G63" s="544"/>
      <c r="H63" s="561"/>
      <c r="I63" s="585"/>
      <c r="J63" s="579"/>
      <c r="K63" s="558" t="str">
        <f t="shared" si="7"/>
        <v/>
      </c>
      <c r="L63" s="559" t="str">
        <f t="shared" si="7"/>
        <v/>
      </c>
      <c r="M63" s="559" t="str">
        <f t="shared" si="7"/>
        <v/>
      </c>
      <c r="N63" s="559" t="str">
        <f t="shared" si="7"/>
        <v/>
      </c>
      <c r="O63" s="559" t="str">
        <f t="shared" si="7"/>
        <v/>
      </c>
      <c r="P63" s="560" t="str">
        <f t="shared" si="7"/>
        <v/>
      </c>
      <c r="Q63" s="564"/>
      <c r="R63" s="552" t="str">
        <f t="shared" si="8"/>
        <v/>
      </c>
      <c r="S63" s="553" t="str">
        <f t="shared" si="8"/>
        <v/>
      </c>
      <c r="T63" s="553" t="str">
        <f t="shared" si="8"/>
        <v/>
      </c>
      <c r="U63" s="579"/>
      <c r="V63" s="586">
        <f t="shared" si="9"/>
        <v>0</v>
      </c>
      <c r="W63" s="555">
        <f t="shared" si="10"/>
        <v>0</v>
      </c>
      <c r="X63" s="507" t="s">
        <v>949</v>
      </c>
      <c r="Y63" s="499"/>
      <c r="Z63" s="556"/>
    </row>
    <row r="64" spans="1:26" ht="15" customHeight="1">
      <c r="A64" s="495"/>
      <c r="B64" s="500"/>
      <c r="C64" s="542"/>
      <c r="D64" s="543"/>
      <c r="E64" s="544"/>
      <c r="F64" s="544"/>
      <c r="G64" s="544"/>
      <c r="H64" s="561"/>
      <c r="I64" s="585"/>
      <c r="J64" s="579"/>
      <c r="K64" s="558" t="str">
        <f t="shared" si="7"/>
        <v/>
      </c>
      <c r="L64" s="559" t="str">
        <f t="shared" si="7"/>
        <v/>
      </c>
      <c r="M64" s="559" t="str">
        <f t="shared" si="7"/>
        <v/>
      </c>
      <c r="N64" s="559" t="str">
        <f t="shared" si="7"/>
        <v/>
      </c>
      <c r="O64" s="559" t="str">
        <f t="shared" si="7"/>
        <v/>
      </c>
      <c r="P64" s="560" t="str">
        <f t="shared" si="7"/>
        <v/>
      </c>
      <c r="Q64" s="564"/>
      <c r="R64" s="552" t="str">
        <f t="shared" si="8"/>
        <v/>
      </c>
      <c r="S64" s="553" t="str">
        <f t="shared" si="8"/>
        <v/>
      </c>
      <c r="T64" s="553" t="str">
        <f t="shared" si="8"/>
        <v/>
      </c>
      <c r="U64" s="579"/>
      <c r="V64" s="586">
        <f t="shared" si="9"/>
        <v>0</v>
      </c>
      <c r="W64" s="555">
        <f t="shared" si="10"/>
        <v>0</v>
      </c>
      <c r="X64" s="507" t="s">
        <v>949</v>
      </c>
      <c r="Y64" s="499"/>
      <c r="Z64" s="556"/>
    </row>
    <row r="65" spans="1:26" ht="15" customHeight="1">
      <c r="A65" s="495"/>
      <c r="B65" s="500"/>
      <c r="C65" s="542"/>
      <c r="D65" s="543"/>
      <c r="E65" s="544"/>
      <c r="F65" s="544"/>
      <c r="G65" s="544"/>
      <c r="H65" s="561"/>
      <c r="I65" s="585"/>
      <c r="J65" s="579"/>
      <c r="K65" s="558" t="str">
        <f t="shared" si="7"/>
        <v/>
      </c>
      <c r="L65" s="559" t="str">
        <f t="shared" si="7"/>
        <v/>
      </c>
      <c r="M65" s="559" t="str">
        <f t="shared" si="7"/>
        <v/>
      </c>
      <c r="N65" s="559" t="str">
        <f t="shared" si="7"/>
        <v/>
      </c>
      <c r="O65" s="559" t="str">
        <f t="shared" si="7"/>
        <v/>
      </c>
      <c r="P65" s="560" t="str">
        <f t="shared" si="7"/>
        <v/>
      </c>
      <c r="Q65" s="564"/>
      <c r="R65" s="552" t="str">
        <f t="shared" si="8"/>
        <v/>
      </c>
      <c r="S65" s="553" t="str">
        <f t="shared" si="8"/>
        <v/>
      </c>
      <c r="T65" s="553" t="str">
        <f t="shared" si="8"/>
        <v/>
      </c>
      <c r="U65" s="579"/>
      <c r="V65" s="586">
        <f t="shared" si="9"/>
        <v>0</v>
      </c>
      <c r="W65" s="555">
        <f t="shared" si="10"/>
        <v>0</v>
      </c>
      <c r="X65" s="507" t="s">
        <v>949</v>
      </c>
      <c r="Y65" s="499"/>
      <c r="Z65" s="556"/>
    </row>
    <row r="66" spans="1:26" ht="15" customHeight="1">
      <c r="A66" s="495"/>
      <c r="B66" s="500"/>
      <c r="C66" s="542"/>
      <c r="D66" s="543"/>
      <c r="E66" s="544"/>
      <c r="F66" s="544"/>
      <c r="G66" s="544"/>
      <c r="H66" s="561"/>
      <c r="I66" s="585"/>
      <c r="J66" s="579"/>
      <c r="K66" s="558" t="str">
        <f t="shared" si="7"/>
        <v/>
      </c>
      <c r="L66" s="559" t="str">
        <f t="shared" si="7"/>
        <v/>
      </c>
      <c r="M66" s="559" t="str">
        <f t="shared" si="7"/>
        <v/>
      </c>
      <c r="N66" s="559" t="str">
        <f t="shared" si="7"/>
        <v/>
      </c>
      <c r="O66" s="559" t="str">
        <f t="shared" si="7"/>
        <v/>
      </c>
      <c r="P66" s="560" t="str">
        <f t="shared" si="7"/>
        <v/>
      </c>
      <c r="Q66" s="564"/>
      <c r="R66" s="552" t="str">
        <f t="shared" si="8"/>
        <v/>
      </c>
      <c r="S66" s="553" t="str">
        <f t="shared" si="8"/>
        <v/>
      </c>
      <c r="T66" s="553" t="str">
        <f t="shared" si="8"/>
        <v/>
      </c>
      <c r="U66" s="579"/>
      <c r="V66" s="586">
        <f t="shared" si="9"/>
        <v>0</v>
      </c>
      <c r="W66" s="555">
        <f t="shared" si="10"/>
        <v>0</v>
      </c>
      <c r="X66" s="507" t="s">
        <v>949</v>
      </c>
      <c r="Y66" s="499"/>
      <c r="Z66" s="556"/>
    </row>
    <row r="67" spans="1:26" ht="15" customHeight="1">
      <c r="A67" s="495"/>
      <c r="B67" s="500"/>
      <c r="C67" s="542"/>
      <c r="D67" s="543"/>
      <c r="E67" s="544"/>
      <c r="F67" s="544"/>
      <c r="G67" s="544"/>
      <c r="H67" s="561"/>
      <c r="I67" s="585"/>
      <c r="J67" s="579"/>
      <c r="K67" s="558" t="str">
        <f t="shared" si="7"/>
        <v/>
      </c>
      <c r="L67" s="559" t="str">
        <f t="shared" si="7"/>
        <v/>
      </c>
      <c r="M67" s="559" t="str">
        <f t="shared" si="7"/>
        <v/>
      </c>
      <c r="N67" s="559" t="str">
        <f t="shared" si="7"/>
        <v/>
      </c>
      <c r="O67" s="559" t="str">
        <f t="shared" si="7"/>
        <v/>
      </c>
      <c r="P67" s="560" t="str">
        <f t="shared" si="7"/>
        <v/>
      </c>
      <c r="Q67" s="564"/>
      <c r="R67" s="552" t="str">
        <f t="shared" si="8"/>
        <v/>
      </c>
      <c r="S67" s="553" t="str">
        <f t="shared" si="8"/>
        <v/>
      </c>
      <c r="T67" s="553" t="str">
        <f t="shared" si="8"/>
        <v/>
      </c>
      <c r="U67" s="579"/>
      <c r="V67" s="586">
        <f t="shared" si="9"/>
        <v>0</v>
      </c>
      <c r="W67" s="555">
        <f t="shared" si="10"/>
        <v>0</v>
      </c>
      <c r="X67" s="507" t="s">
        <v>949</v>
      </c>
      <c r="Y67" s="499"/>
      <c r="Z67" s="556"/>
    </row>
    <row r="68" spans="1:26" ht="15" customHeight="1">
      <c r="A68" s="495"/>
      <c r="B68" s="500"/>
      <c r="C68" s="542"/>
      <c r="D68" s="543"/>
      <c r="E68" s="544"/>
      <c r="F68" s="544"/>
      <c r="G68" s="544"/>
      <c r="H68" s="561"/>
      <c r="I68" s="585"/>
      <c r="J68" s="579"/>
      <c r="K68" s="558" t="str">
        <f t="shared" si="7"/>
        <v/>
      </c>
      <c r="L68" s="559" t="str">
        <f t="shared" si="7"/>
        <v/>
      </c>
      <c r="M68" s="559" t="str">
        <f t="shared" si="7"/>
        <v/>
      </c>
      <c r="N68" s="559" t="str">
        <f t="shared" si="7"/>
        <v/>
      </c>
      <c r="O68" s="559" t="str">
        <f t="shared" si="7"/>
        <v/>
      </c>
      <c r="P68" s="560" t="str">
        <f t="shared" si="7"/>
        <v/>
      </c>
      <c r="Q68" s="564"/>
      <c r="R68" s="552" t="str">
        <f t="shared" si="8"/>
        <v/>
      </c>
      <c r="S68" s="553" t="str">
        <f t="shared" si="8"/>
        <v/>
      </c>
      <c r="T68" s="553" t="str">
        <f t="shared" si="8"/>
        <v/>
      </c>
      <c r="U68" s="579"/>
      <c r="V68" s="586">
        <f t="shared" si="9"/>
        <v>0</v>
      </c>
      <c r="W68" s="555">
        <f t="shared" si="10"/>
        <v>0</v>
      </c>
      <c r="X68" s="507" t="s">
        <v>949</v>
      </c>
      <c r="Y68" s="499"/>
      <c r="Z68" s="556"/>
    </row>
    <row r="69" spans="1:26" ht="15" customHeight="1">
      <c r="A69" s="495"/>
      <c r="B69" s="500"/>
      <c r="C69" s="542"/>
      <c r="D69" s="543"/>
      <c r="E69" s="544"/>
      <c r="F69" s="544"/>
      <c r="G69" s="544"/>
      <c r="H69" s="561"/>
      <c r="I69" s="585"/>
      <c r="J69" s="579"/>
      <c r="K69" s="558" t="str">
        <f t="shared" si="7"/>
        <v/>
      </c>
      <c r="L69" s="559" t="str">
        <f t="shared" si="7"/>
        <v/>
      </c>
      <c r="M69" s="559" t="str">
        <f t="shared" si="7"/>
        <v/>
      </c>
      <c r="N69" s="559" t="str">
        <f t="shared" si="7"/>
        <v/>
      </c>
      <c r="O69" s="559" t="str">
        <f t="shared" si="7"/>
        <v/>
      </c>
      <c r="P69" s="560" t="str">
        <f t="shared" si="7"/>
        <v/>
      </c>
      <c r="Q69" s="564"/>
      <c r="R69" s="552" t="str">
        <f t="shared" si="8"/>
        <v/>
      </c>
      <c r="S69" s="553" t="str">
        <f t="shared" si="8"/>
        <v/>
      </c>
      <c r="T69" s="553" t="str">
        <f t="shared" si="8"/>
        <v/>
      </c>
      <c r="U69" s="579"/>
      <c r="V69" s="586">
        <f t="shared" si="9"/>
        <v>0</v>
      </c>
      <c r="W69" s="555">
        <f t="shared" si="10"/>
        <v>0</v>
      </c>
      <c r="X69" s="507" t="s">
        <v>949</v>
      </c>
      <c r="Y69" s="499"/>
      <c r="Z69" s="556"/>
    </row>
    <row r="70" spans="1:26" ht="15" customHeight="1">
      <c r="A70" s="495"/>
      <c r="B70" s="500"/>
      <c r="C70" s="542"/>
      <c r="D70" s="543"/>
      <c r="E70" s="544"/>
      <c r="F70" s="544"/>
      <c r="G70" s="544"/>
      <c r="H70" s="561"/>
      <c r="I70" s="562"/>
      <c r="J70" s="563"/>
      <c r="K70" s="558" t="str">
        <f t="shared" si="7"/>
        <v/>
      </c>
      <c r="L70" s="559" t="str">
        <f t="shared" si="7"/>
        <v/>
      </c>
      <c r="M70" s="559" t="str">
        <f t="shared" si="7"/>
        <v/>
      </c>
      <c r="N70" s="559" t="str">
        <f t="shared" si="7"/>
        <v/>
      </c>
      <c r="O70" s="559" t="str">
        <f t="shared" si="7"/>
        <v/>
      </c>
      <c r="P70" s="560" t="str">
        <f t="shared" si="7"/>
        <v/>
      </c>
      <c r="Q70" s="564"/>
      <c r="R70" s="552" t="str">
        <f t="shared" si="8"/>
        <v/>
      </c>
      <c r="S70" s="553" t="str">
        <f t="shared" si="8"/>
        <v/>
      </c>
      <c r="T70" s="553" t="str">
        <f t="shared" si="8"/>
        <v/>
      </c>
      <c r="U70" s="563"/>
      <c r="V70" s="587">
        <f t="shared" si="9"/>
        <v>0</v>
      </c>
      <c r="W70" s="565">
        <f t="shared" si="10"/>
        <v>0</v>
      </c>
      <c r="X70" s="507" t="s">
        <v>949</v>
      </c>
      <c r="Y70" s="499"/>
      <c r="Z70" s="556" t="s">
        <v>1029</v>
      </c>
    </row>
    <row r="71" spans="1:26" ht="15" customHeight="1">
      <c r="A71" s="495"/>
      <c r="B71" s="500"/>
      <c r="C71" s="566" t="s">
        <v>1032</v>
      </c>
      <c r="D71" s="567"/>
      <c r="E71" s="568">
        <f>SUM(E61:E70)</f>
        <v>0</v>
      </c>
      <c r="F71" s="568"/>
      <c r="G71" s="568">
        <f>SUM(G61:G70)</f>
        <v>0</v>
      </c>
      <c r="H71" s="568"/>
      <c r="I71" s="568"/>
      <c r="J71" s="569"/>
      <c r="K71" s="570">
        <f t="shared" ref="K71:P71" si="11">SUM(K61:K70)</f>
        <v>0</v>
      </c>
      <c r="L71" s="571">
        <f t="shared" si="11"/>
        <v>0</v>
      </c>
      <c r="M71" s="571">
        <f t="shared" si="11"/>
        <v>0</v>
      </c>
      <c r="N71" s="571">
        <f t="shared" si="11"/>
        <v>0</v>
      </c>
      <c r="O71" s="571">
        <f t="shared" si="11"/>
        <v>0</v>
      </c>
      <c r="P71" s="572">
        <f t="shared" si="11"/>
        <v>0</v>
      </c>
      <c r="Q71" s="569"/>
      <c r="R71" s="573">
        <f>SUM(R61:R70)</f>
        <v>0</v>
      </c>
      <c r="S71" s="572">
        <f>SUM(S61:S70)</f>
        <v>0</v>
      </c>
      <c r="T71" s="572">
        <f>SUM(T61:T70)</f>
        <v>0</v>
      </c>
      <c r="U71" s="569"/>
      <c r="V71" s="568">
        <f>SUM(V61:V70)</f>
        <v>0</v>
      </c>
      <c r="W71" s="574">
        <f>SUM(W61:W70)</f>
        <v>0</v>
      </c>
      <c r="X71" s="507"/>
      <c r="Y71" s="499"/>
      <c r="Z71" s="556"/>
    </row>
    <row r="72" spans="1:26" ht="7.5" customHeight="1">
      <c r="A72" s="495"/>
      <c r="B72" s="500"/>
      <c r="C72" s="588"/>
      <c r="D72" s="576"/>
      <c r="E72" s="589"/>
      <c r="F72" s="589"/>
      <c r="G72" s="589"/>
      <c r="H72" s="590"/>
      <c r="I72" s="591"/>
      <c r="J72" s="563"/>
      <c r="K72" s="592"/>
      <c r="L72" s="589"/>
      <c r="M72" s="589"/>
      <c r="N72" s="589"/>
      <c r="O72" s="589"/>
      <c r="P72" s="593"/>
      <c r="Q72" s="564"/>
      <c r="R72" s="592"/>
      <c r="S72" s="589"/>
      <c r="T72" s="593"/>
      <c r="U72" s="563"/>
      <c r="V72" s="592"/>
      <c r="W72" s="594"/>
      <c r="X72" s="507"/>
      <c r="Y72" s="499"/>
      <c r="Z72" s="556"/>
    </row>
    <row r="73" spans="1:26" ht="15" customHeight="1">
      <c r="A73" s="495"/>
      <c r="B73" s="500"/>
      <c r="C73" s="584" t="s">
        <v>1033</v>
      </c>
      <c r="D73" s="535"/>
      <c r="E73" s="536"/>
      <c r="F73" s="536"/>
      <c r="G73" s="536"/>
      <c r="H73" s="537"/>
      <c r="I73" s="537"/>
      <c r="J73" s="538"/>
      <c r="K73" s="536"/>
      <c r="L73" s="536"/>
      <c r="M73" s="536"/>
      <c r="N73" s="536"/>
      <c r="O73" s="536"/>
      <c r="P73" s="536"/>
      <c r="Q73" s="539"/>
      <c r="R73" s="536"/>
      <c r="S73" s="536"/>
      <c r="T73" s="536"/>
      <c r="U73" s="538"/>
      <c r="V73" s="536"/>
      <c r="W73" s="540"/>
      <c r="X73" s="507"/>
      <c r="Y73" s="499"/>
      <c r="Z73" s="556"/>
    </row>
    <row r="74" spans="1:26" ht="15" customHeight="1">
      <c r="A74" s="495"/>
      <c r="B74" s="500"/>
      <c r="C74" s="542"/>
      <c r="D74" s="543"/>
      <c r="E74" s="544"/>
      <c r="F74" s="544"/>
      <c r="G74" s="544"/>
      <c r="H74" s="561"/>
      <c r="I74" s="562"/>
      <c r="J74" s="563"/>
      <c r="K74" s="548" t="str">
        <f t="shared" ref="K74:P83" si="12">IF($H74="","",IF($H74=K$5,$G74,""))</f>
        <v/>
      </c>
      <c r="L74" s="549" t="str">
        <f t="shared" si="12"/>
        <v/>
      </c>
      <c r="M74" s="549" t="str">
        <f t="shared" si="12"/>
        <v/>
      </c>
      <c r="N74" s="549" t="str">
        <f t="shared" si="12"/>
        <v/>
      </c>
      <c r="O74" s="549" t="str">
        <f t="shared" si="12"/>
        <v/>
      </c>
      <c r="P74" s="550" t="str">
        <f t="shared" si="12"/>
        <v/>
      </c>
      <c r="Q74" s="564"/>
      <c r="R74" s="552" t="str">
        <f t="shared" ref="R74:T83" si="13">IF($H74="","",IF($H74=R$5,$G74,""))</f>
        <v/>
      </c>
      <c r="S74" s="553" t="str">
        <f t="shared" si="13"/>
        <v/>
      </c>
      <c r="T74" s="553" t="str">
        <f t="shared" si="13"/>
        <v/>
      </c>
      <c r="U74" s="563"/>
      <c r="V74" s="587">
        <f t="shared" ref="V74:V83" si="14">SUM(K74:P74)</f>
        <v>0</v>
      </c>
      <c r="W74" s="565">
        <f t="shared" ref="W74:W86" si="15">V74-E74</f>
        <v>0</v>
      </c>
      <c r="X74" s="507"/>
      <c r="Y74" s="499"/>
      <c r="Z74" s="556" t="s">
        <v>1029</v>
      </c>
    </row>
    <row r="75" spans="1:26" ht="15" customHeight="1">
      <c r="A75" s="495"/>
      <c r="B75" s="500"/>
      <c r="C75" s="542"/>
      <c r="D75" s="543"/>
      <c r="E75" s="544"/>
      <c r="F75" s="544"/>
      <c r="G75" s="544"/>
      <c r="H75" s="561"/>
      <c r="I75" s="562"/>
      <c r="J75" s="563"/>
      <c r="K75" s="558" t="str">
        <f t="shared" si="12"/>
        <v/>
      </c>
      <c r="L75" s="559" t="str">
        <f t="shared" si="12"/>
        <v/>
      </c>
      <c r="M75" s="559" t="str">
        <f t="shared" si="12"/>
        <v/>
      </c>
      <c r="N75" s="559" t="str">
        <f t="shared" si="12"/>
        <v/>
      </c>
      <c r="O75" s="559" t="str">
        <f t="shared" si="12"/>
        <v/>
      </c>
      <c r="P75" s="560" t="str">
        <f t="shared" si="12"/>
        <v/>
      </c>
      <c r="Q75" s="564"/>
      <c r="R75" s="552" t="str">
        <f t="shared" si="13"/>
        <v/>
      </c>
      <c r="S75" s="553" t="str">
        <f t="shared" si="13"/>
        <v/>
      </c>
      <c r="T75" s="553" t="str">
        <f t="shared" si="13"/>
        <v/>
      </c>
      <c r="U75" s="563"/>
      <c r="V75" s="587">
        <f t="shared" si="14"/>
        <v>0</v>
      </c>
      <c r="W75" s="565">
        <f t="shared" si="15"/>
        <v>0</v>
      </c>
      <c r="X75" s="507" t="s">
        <v>949</v>
      </c>
      <c r="Y75" s="499"/>
      <c r="Z75" s="556"/>
    </row>
    <row r="76" spans="1:26" ht="15" customHeight="1">
      <c r="A76" s="495"/>
      <c r="B76" s="500"/>
      <c r="C76" s="542"/>
      <c r="D76" s="543"/>
      <c r="E76" s="544"/>
      <c r="F76" s="544"/>
      <c r="G76" s="544"/>
      <c r="H76" s="561"/>
      <c r="I76" s="562"/>
      <c r="J76" s="563"/>
      <c r="K76" s="558" t="str">
        <f t="shared" si="12"/>
        <v/>
      </c>
      <c r="L76" s="559" t="str">
        <f t="shared" si="12"/>
        <v/>
      </c>
      <c r="M76" s="559" t="str">
        <f t="shared" si="12"/>
        <v/>
      </c>
      <c r="N76" s="559" t="str">
        <f t="shared" si="12"/>
        <v/>
      </c>
      <c r="O76" s="559" t="str">
        <f t="shared" si="12"/>
        <v/>
      </c>
      <c r="P76" s="560" t="str">
        <f t="shared" si="12"/>
        <v/>
      </c>
      <c r="Q76" s="564"/>
      <c r="R76" s="552" t="str">
        <f t="shared" si="13"/>
        <v/>
      </c>
      <c r="S76" s="553" t="str">
        <f t="shared" si="13"/>
        <v/>
      </c>
      <c r="T76" s="553" t="str">
        <f t="shared" si="13"/>
        <v/>
      </c>
      <c r="U76" s="563"/>
      <c r="V76" s="587">
        <f t="shared" si="14"/>
        <v>0</v>
      </c>
      <c r="W76" s="565">
        <f t="shared" si="15"/>
        <v>0</v>
      </c>
      <c r="X76" s="507" t="s">
        <v>949</v>
      </c>
      <c r="Y76" s="499"/>
      <c r="Z76" s="556"/>
    </row>
    <row r="77" spans="1:26" ht="15" customHeight="1">
      <c r="A77" s="495"/>
      <c r="B77" s="500"/>
      <c r="C77" s="542"/>
      <c r="D77" s="543"/>
      <c r="E77" s="544"/>
      <c r="F77" s="544"/>
      <c r="G77" s="544"/>
      <c r="H77" s="561"/>
      <c r="I77" s="562"/>
      <c r="J77" s="563"/>
      <c r="K77" s="558" t="str">
        <f t="shared" si="12"/>
        <v/>
      </c>
      <c r="L77" s="559" t="str">
        <f t="shared" si="12"/>
        <v/>
      </c>
      <c r="M77" s="559" t="str">
        <f t="shared" si="12"/>
        <v/>
      </c>
      <c r="N77" s="559" t="str">
        <f t="shared" si="12"/>
        <v/>
      </c>
      <c r="O77" s="559" t="str">
        <f t="shared" si="12"/>
        <v/>
      </c>
      <c r="P77" s="560" t="str">
        <f t="shared" si="12"/>
        <v/>
      </c>
      <c r="Q77" s="564"/>
      <c r="R77" s="552" t="str">
        <f t="shared" si="13"/>
        <v/>
      </c>
      <c r="S77" s="553" t="str">
        <f t="shared" si="13"/>
        <v/>
      </c>
      <c r="T77" s="553" t="str">
        <f t="shared" si="13"/>
        <v/>
      </c>
      <c r="U77" s="563"/>
      <c r="V77" s="587">
        <f t="shared" si="14"/>
        <v>0</v>
      </c>
      <c r="W77" s="565">
        <f t="shared" si="15"/>
        <v>0</v>
      </c>
      <c r="X77" s="507" t="s">
        <v>949</v>
      </c>
      <c r="Y77" s="499"/>
      <c r="Z77" s="556"/>
    </row>
    <row r="78" spans="1:26" ht="15" customHeight="1">
      <c r="A78" s="495"/>
      <c r="B78" s="500"/>
      <c r="C78" s="542"/>
      <c r="D78" s="543"/>
      <c r="E78" s="544"/>
      <c r="F78" s="544"/>
      <c r="G78" s="544"/>
      <c r="H78" s="561"/>
      <c r="I78" s="562"/>
      <c r="J78" s="563"/>
      <c r="K78" s="558" t="str">
        <f t="shared" si="12"/>
        <v/>
      </c>
      <c r="L78" s="559" t="str">
        <f t="shared" si="12"/>
        <v/>
      </c>
      <c r="M78" s="559" t="str">
        <f t="shared" si="12"/>
        <v/>
      </c>
      <c r="N78" s="559" t="str">
        <f t="shared" si="12"/>
        <v/>
      </c>
      <c r="O78" s="559" t="str">
        <f t="shared" si="12"/>
        <v/>
      </c>
      <c r="P78" s="560" t="str">
        <f t="shared" si="12"/>
        <v/>
      </c>
      <c r="Q78" s="564"/>
      <c r="R78" s="552" t="str">
        <f t="shared" si="13"/>
        <v/>
      </c>
      <c r="S78" s="553" t="str">
        <f t="shared" si="13"/>
        <v/>
      </c>
      <c r="T78" s="553" t="str">
        <f t="shared" si="13"/>
        <v/>
      </c>
      <c r="U78" s="563"/>
      <c r="V78" s="587">
        <f t="shared" si="14"/>
        <v>0</v>
      </c>
      <c r="W78" s="565">
        <f t="shared" si="15"/>
        <v>0</v>
      </c>
      <c r="X78" s="507" t="s">
        <v>949</v>
      </c>
      <c r="Y78" s="499"/>
      <c r="Z78" s="556"/>
    </row>
    <row r="79" spans="1:26" ht="15" customHeight="1">
      <c r="A79" s="495"/>
      <c r="B79" s="500"/>
      <c r="C79" s="542"/>
      <c r="D79" s="543"/>
      <c r="E79" s="544"/>
      <c r="F79" s="544"/>
      <c r="G79" s="544"/>
      <c r="H79" s="561"/>
      <c r="I79" s="562"/>
      <c r="J79" s="563"/>
      <c r="K79" s="558" t="str">
        <f t="shared" si="12"/>
        <v/>
      </c>
      <c r="L79" s="559" t="str">
        <f t="shared" si="12"/>
        <v/>
      </c>
      <c r="M79" s="559" t="str">
        <f t="shared" si="12"/>
        <v/>
      </c>
      <c r="N79" s="559" t="str">
        <f t="shared" si="12"/>
        <v/>
      </c>
      <c r="O79" s="559" t="str">
        <f t="shared" si="12"/>
        <v/>
      </c>
      <c r="P79" s="560" t="str">
        <f t="shared" si="12"/>
        <v/>
      </c>
      <c r="Q79" s="564"/>
      <c r="R79" s="552" t="str">
        <f t="shared" si="13"/>
        <v/>
      </c>
      <c r="S79" s="553" t="str">
        <f t="shared" si="13"/>
        <v/>
      </c>
      <c r="T79" s="553" t="str">
        <f t="shared" si="13"/>
        <v/>
      </c>
      <c r="U79" s="563"/>
      <c r="V79" s="587">
        <f t="shared" si="14"/>
        <v>0</v>
      </c>
      <c r="W79" s="565">
        <f t="shared" si="15"/>
        <v>0</v>
      </c>
      <c r="X79" s="507" t="s">
        <v>949</v>
      </c>
      <c r="Y79" s="499"/>
      <c r="Z79" s="556"/>
    </row>
    <row r="80" spans="1:26" ht="15" customHeight="1">
      <c r="A80" s="495"/>
      <c r="B80" s="500"/>
      <c r="C80" s="542"/>
      <c r="D80" s="543"/>
      <c r="E80" s="544"/>
      <c r="F80" s="544"/>
      <c r="G80" s="544"/>
      <c r="H80" s="561"/>
      <c r="I80" s="562"/>
      <c r="J80" s="563"/>
      <c r="K80" s="558" t="str">
        <f t="shared" si="12"/>
        <v/>
      </c>
      <c r="L80" s="559" t="str">
        <f t="shared" si="12"/>
        <v/>
      </c>
      <c r="M80" s="559" t="str">
        <f t="shared" si="12"/>
        <v/>
      </c>
      <c r="N80" s="559" t="str">
        <f t="shared" si="12"/>
        <v/>
      </c>
      <c r="O80" s="559" t="str">
        <f t="shared" si="12"/>
        <v/>
      </c>
      <c r="P80" s="560" t="str">
        <f t="shared" si="12"/>
        <v/>
      </c>
      <c r="Q80" s="564"/>
      <c r="R80" s="552" t="str">
        <f t="shared" si="13"/>
        <v/>
      </c>
      <c r="S80" s="553" t="str">
        <f t="shared" si="13"/>
        <v/>
      </c>
      <c r="T80" s="553" t="str">
        <f t="shared" si="13"/>
        <v/>
      </c>
      <c r="U80" s="563"/>
      <c r="V80" s="587">
        <f t="shared" si="14"/>
        <v>0</v>
      </c>
      <c r="W80" s="565">
        <f t="shared" si="15"/>
        <v>0</v>
      </c>
      <c r="X80" s="507" t="s">
        <v>949</v>
      </c>
      <c r="Y80" s="499"/>
      <c r="Z80" s="556"/>
    </row>
    <row r="81" spans="1:26" ht="15" customHeight="1">
      <c r="A81" s="495"/>
      <c r="B81" s="500"/>
      <c r="C81" s="542"/>
      <c r="D81" s="543"/>
      <c r="E81" s="544"/>
      <c r="F81" s="544"/>
      <c r="G81" s="544"/>
      <c r="H81" s="561"/>
      <c r="I81" s="562"/>
      <c r="J81" s="563"/>
      <c r="K81" s="558" t="str">
        <f t="shared" si="12"/>
        <v/>
      </c>
      <c r="L81" s="559" t="str">
        <f t="shared" si="12"/>
        <v/>
      </c>
      <c r="M81" s="559" t="str">
        <f t="shared" si="12"/>
        <v/>
      </c>
      <c r="N81" s="559" t="str">
        <f t="shared" si="12"/>
        <v/>
      </c>
      <c r="O81" s="559" t="str">
        <f t="shared" si="12"/>
        <v/>
      </c>
      <c r="P81" s="560" t="str">
        <f t="shared" si="12"/>
        <v/>
      </c>
      <c r="Q81" s="564"/>
      <c r="R81" s="552" t="str">
        <f t="shared" si="13"/>
        <v/>
      </c>
      <c r="S81" s="553" t="str">
        <f t="shared" si="13"/>
        <v/>
      </c>
      <c r="T81" s="553" t="str">
        <f t="shared" si="13"/>
        <v/>
      </c>
      <c r="U81" s="563"/>
      <c r="V81" s="587">
        <f t="shared" si="14"/>
        <v>0</v>
      </c>
      <c r="W81" s="565">
        <f t="shared" si="15"/>
        <v>0</v>
      </c>
      <c r="X81" s="507" t="s">
        <v>949</v>
      </c>
      <c r="Y81" s="499"/>
      <c r="Z81" s="556"/>
    </row>
    <row r="82" spans="1:26" ht="15" customHeight="1">
      <c r="A82" s="495"/>
      <c r="B82" s="500"/>
      <c r="C82" s="542"/>
      <c r="D82" s="543"/>
      <c r="E82" s="544"/>
      <c r="F82" s="544"/>
      <c r="G82" s="544"/>
      <c r="H82" s="561"/>
      <c r="I82" s="562"/>
      <c r="J82" s="563"/>
      <c r="K82" s="558" t="str">
        <f t="shared" si="12"/>
        <v/>
      </c>
      <c r="L82" s="559" t="str">
        <f t="shared" si="12"/>
        <v/>
      </c>
      <c r="M82" s="559" t="str">
        <f t="shared" si="12"/>
        <v/>
      </c>
      <c r="N82" s="559" t="str">
        <f t="shared" si="12"/>
        <v/>
      </c>
      <c r="O82" s="559" t="str">
        <f t="shared" si="12"/>
        <v/>
      </c>
      <c r="P82" s="560" t="str">
        <f t="shared" si="12"/>
        <v/>
      </c>
      <c r="Q82" s="564"/>
      <c r="R82" s="552" t="str">
        <f t="shared" si="13"/>
        <v/>
      </c>
      <c r="S82" s="553" t="str">
        <f t="shared" si="13"/>
        <v/>
      </c>
      <c r="T82" s="553" t="str">
        <f t="shared" si="13"/>
        <v/>
      </c>
      <c r="U82" s="563"/>
      <c r="V82" s="587">
        <f t="shared" si="14"/>
        <v>0</v>
      </c>
      <c r="W82" s="565">
        <f t="shared" si="15"/>
        <v>0</v>
      </c>
      <c r="X82" s="507" t="s">
        <v>949</v>
      </c>
      <c r="Y82" s="499"/>
      <c r="Z82" s="556"/>
    </row>
    <row r="83" spans="1:26" ht="15" customHeight="1">
      <c r="A83" s="495"/>
      <c r="B83" s="500"/>
      <c r="C83" s="542"/>
      <c r="D83" s="543"/>
      <c r="E83" s="544"/>
      <c r="F83" s="544"/>
      <c r="G83" s="544"/>
      <c r="H83" s="561"/>
      <c r="I83" s="562"/>
      <c r="J83" s="563"/>
      <c r="K83" s="595" t="str">
        <f t="shared" si="12"/>
        <v/>
      </c>
      <c r="L83" s="596" t="str">
        <f t="shared" si="12"/>
        <v/>
      </c>
      <c r="M83" s="596" t="str">
        <f t="shared" si="12"/>
        <v/>
      </c>
      <c r="N83" s="596" t="str">
        <f t="shared" si="12"/>
        <v/>
      </c>
      <c r="O83" s="596" t="str">
        <f t="shared" si="12"/>
        <v/>
      </c>
      <c r="P83" s="597" t="str">
        <f t="shared" si="12"/>
        <v/>
      </c>
      <c r="Q83" s="564"/>
      <c r="R83" s="552" t="str">
        <f t="shared" si="13"/>
        <v/>
      </c>
      <c r="S83" s="553" t="str">
        <f t="shared" si="13"/>
        <v/>
      </c>
      <c r="T83" s="553" t="str">
        <f t="shared" si="13"/>
        <v/>
      </c>
      <c r="U83" s="563"/>
      <c r="V83" s="587">
        <f t="shared" si="14"/>
        <v>0</v>
      </c>
      <c r="W83" s="565">
        <f t="shared" si="15"/>
        <v>0</v>
      </c>
      <c r="X83" s="507" t="s">
        <v>949</v>
      </c>
      <c r="Y83" s="499"/>
      <c r="Z83" s="556" t="s">
        <v>1029</v>
      </c>
    </row>
    <row r="84" spans="1:26" ht="15" customHeight="1">
      <c r="A84" s="495"/>
      <c r="B84" s="500"/>
      <c r="C84" s="566" t="s">
        <v>1034</v>
      </c>
      <c r="D84" s="567"/>
      <c r="E84" s="568">
        <f>SUM(E74:E83)</f>
        <v>0</v>
      </c>
      <c r="F84" s="568"/>
      <c r="G84" s="568">
        <f>SUM(G74:G83)</f>
        <v>0</v>
      </c>
      <c r="H84" s="568"/>
      <c r="I84" s="568"/>
      <c r="J84" s="569"/>
      <c r="K84" s="570">
        <f t="shared" ref="K84:P84" si="16">SUM(K74:K83)</f>
        <v>0</v>
      </c>
      <c r="L84" s="571">
        <f t="shared" si="16"/>
        <v>0</v>
      </c>
      <c r="M84" s="571">
        <f t="shared" si="16"/>
        <v>0</v>
      </c>
      <c r="N84" s="571">
        <f t="shared" si="16"/>
        <v>0</v>
      </c>
      <c r="O84" s="571">
        <f t="shared" si="16"/>
        <v>0</v>
      </c>
      <c r="P84" s="572">
        <f t="shared" si="16"/>
        <v>0</v>
      </c>
      <c r="Q84" s="569"/>
      <c r="R84" s="573">
        <f>SUM(R74:R83)</f>
        <v>0</v>
      </c>
      <c r="S84" s="572">
        <f>SUM(S74:S83)</f>
        <v>0</v>
      </c>
      <c r="T84" s="572">
        <f>SUM(T74:T83)</f>
        <v>0</v>
      </c>
      <c r="U84" s="569"/>
      <c r="V84" s="568">
        <f>SUM(V74:V83)</f>
        <v>0</v>
      </c>
      <c r="W84" s="574">
        <f t="shared" si="15"/>
        <v>0</v>
      </c>
      <c r="X84" s="507"/>
      <c r="Y84" s="499"/>
      <c r="Z84" s="556"/>
    </row>
    <row r="85" spans="1:26">
      <c r="A85" s="495"/>
      <c r="B85" s="500"/>
      <c r="C85" s="542"/>
      <c r="D85" s="543"/>
      <c r="E85" s="544"/>
      <c r="F85" s="544"/>
      <c r="G85" s="544"/>
      <c r="H85" s="561"/>
      <c r="I85" s="562"/>
      <c r="J85" s="563"/>
      <c r="K85" s="548" t="str">
        <f t="shared" ref="K85:P86" si="17">IF($H85="","",IF($H85=K$5,$G85,""))</f>
        <v/>
      </c>
      <c r="L85" s="549" t="str">
        <f t="shared" si="17"/>
        <v/>
      </c>
      <c r="M85" s="549" t="str">
        <f t="shared" si="17"/>
        <v/>
      </c>
      <c r="N85" s="549" t="str">
        <f t="shared" si="17"/>
        <v/>
      </c>
      <c r="O85" s="549" t="str">
        <f t="shared" si="17"/>
        <v/>
      </c>
      <c r="P85" s="550" t="str">
        <f t="shared" si="17"/>
        <v/>
      </c>
      <c r="Q85" s="564"/>
      <c r="R85" s="552" t="str">
        <f t="shared" ref="R85:T86" si="18">IF($H85="","",IF($H85=R$5,$G85,""))</f>
        <v/>
      </c>
      <c r="S85" s="553" t="str">
        <f t="shared" si="18"/>
        <v/>
      </c>
      <c r="T85" s="553" t="str">
        <f t="shared" si="18"/>
        <v/>
      </c>
      <c r="U85" s="563"/>
      <c r="V85" s="587">
        <f>SUM(K85:P85)</f>
        <v>0</v>
      </c>
      <c r="W85" s="565">
        <f t="shared" si="15"/>
        <v>0</v>
      </c>
      <c r="X85" s="507"/>
      <c r="Y85" s="499"/>
      <c r="Z85" s="556" t="s">
        <v>1029</v>
      </c>
    </row>
    <row r="86" spans="1:26">
      <c r="A86" s="495"/>
      <c r="B86" s="500"/>
      <c r="C86" s="542"/>
      <c r="D86" s="543"/>
      <c r="E86" s="544"/>
      <c r="F86" s="544"/>
      <c r="G86" s="544"/>
      <c r="H86" s="561"/>
      <c r="I86" s="562"/>
      <c r="J86" s="563"/>
      <c r="K86" s="558" t="str">
        <f t="shared" si="17"/>
        <v/>
      </c>
      <c r="L86" s="559" t="str">
        <f t="shared" si="17"/>
        <v/>
      </c>
      <c r="M86" s="559" t="str">
        <f t="shared" si="17"/>
        <v/>
      </c>
      <c r="N86" s="559" t="str">
        <f t="shared" si="17"/>
        <v/>
      </c>
      <c r="O86" s="559" t="str">
        <f t="shared" si="17"/>
        <v/>
      </c>
      <c r="P86" s="560" t="str">
        <f t="shared" si="17"/>
        <v/>
      </c>
      <c r="Q86" s="564"/>
      <c r="R86" s="552" t="str">
        <f t="shared" si="18"/>
        <v/>
      </c>
      <c r="S86" s="553" t="str">
        <f t="shared" si="18"/>
        <v/>
      </c>
      <c r="T86" s="553" t="str">
        <f t="shared" si="18"/>
        <v/>
      </c>
      <c r="U86" s="563"/>
      <c r="V86" s="587">
        <f>SUM(K86:P86)</f>
        <v>0</v>
      </c>
      <c r="W86" s="565">
        <f t="shared" si="15"/>
        <v>0</v>
      </c>
      <c r="X86" s="507" t="s">
        <v>949</v>
      </c>
      <c r="Y86" s="499"/>
      <c r="Z86" s="556" t="s">
        <v>1029</v>
      </c>
    </row>
    <row r="87" spans="1:26" ht="24" thickBot="1">
      <c r="A87" s="495"/>
      <c r="B87" s="500"/>
      <c r="C87" s="907" t="s">
        <v>1035</v>
      </c>
      <c r="D87" s="908"/>
      <c r="E87" s="598">
        <f>E84+E71+E58+SUM(E85:E86)</f>
        <v>0</v>
      </c>
      <c r="F87" s="598"/>
      <c r="G87" s="598">
        <f>G84+G71+G58+SUM(G85:G86)</f>
        <v>0</v>
      </c>
      <c r="H87" s="909"/>
      <c r="I87" s="910"/>
      <c r="J87" s="599"/>
      <c r="K87" s="600">
        <f t="shared" ref="K87:P87" si="19">K84+K71+K58+SUM(K85:K86)</f>
        <v>0</v>
      </c>
      <c r="L87" s="601">
        <f t="shared" si="19"/>
        <v>0</v>
      </c>
      <c r="M87" s="601">
        <f t="shared" si="19"/>
        <v>0</v>
      </c>
      <c r="N87" s="601">
        <f t="shared" si="19"/>
        <v>0</v>
      </c>
      <c r="O87" s="601">
        <f t="shared" si="19"/>
        <v>0</v>
      </c>
      <c r="P87" s="602">
        <f t="shared" si="19"/>
        <v>0</v>
      </c>
      <c r="Q87" s="603"/>
      <c r="R87" s="604">
        <f>R84+R71+R58+SUM(R85:R86)</f>
        <v>0</v>
      </c>
      <c r="S87" s="605">
        <f>S84+S71+S58+SUM(S85:S86)</f>
        <v>0</v>
      </c>
      <c r="T87" s="605">
        <f>T84+T71+T58+SUM(T85:T86)</f>
        <v>0</v>
      </c>
      <c r="U87" s="606"/>
      <c r="V87" s="607">
        <f>V84+V71+V58+SUM(V85:V86)</f>
        <v>0</v>
      </c>
      <c r="W87" s="608">
        <f>W84+W71+W58+SUM(W85:W86)</f>
        <v>0</v>
      </c>
      <c r="X87" s="507"/>
      <c r="Y87" s="499"/>
      <c r="Z87" s="556"/>
    </row>
    <row r="88" spans="1:26" ht="15" thickBot="1">
      <c r="A88" s="495"/>
      <c r="B88" s="609"/>
      <c r="C88" s="610"/>
      <c r="D88" s="610"/>
      <c r="E88" s="610"/>
      <c r="F88" s="610"/>
      <c r="G88" s="610"/>
      <c r="H88" s="610"/>
      <c r="I88" s="610"/>
      <c r="J88" s="610"/>
      <c r="K88" s="610"/>
      <c r="L88" s="610"/>
      <c r="M88" s="610"/>
      <c r="N88" s="610"/>
      <c r="O88" s="610"/>
      <c r="P88" s="610"/>
      <c r="Q88" s="610"/>
      <c r="R88" s="610"/>
      <c r="S88" s="610"/>
      <c r="T88" s="610"/>
      <c r="U88" s="610"/>
      <c r="V88" s="610"/>
      <c r="W88" s="610"/>
      <c r="X88" s="611"/>
      <c r="Y88" s="499"/>
      <c r="Z88" s="556"/>
    </row>
    <row r="89" spans="1:26">
      <c r="A89" s="612"/>
      <c r="B89" s="613"/>
      <c r="C89" s="613"/>
      <c r="D89" s="613"/>
      <c r="E89" s="613"/>
      <c r="F89" s="613"/>
      <c r="G89" s="613"/>
      <c r="H89" s="613"/>
      <c r="I89" s="613"/>
      <c r="J89" s="613"/>
      <c r="K89" s="613"/>
      <c r="L89" s="613"/>
      <c r="M89" s="613"/>
      <c r="N89" s="613"/>
      <c r="O89" s="613"/>
      <c r="P89" s="613"/>
      <c r="Q89" s="613"/>
      <c r="R89" s="613"/>
      <c r="S89" s="613"/>
      <c r="T89" s="613"/>
      <c r="U89" s="613"/>
      <c r="V89" s="613"/>
      <c r="W89" s="613"/>
      <c r="X89" s="613"/>
      <c r="Y89" s="614"/>
      <c r="Z89" s="556"/>
    </row>
  </sheetData>
  <sheetProtection algorithmName="SHA-512" hashValue="b0ePVqGYRvCgTs1N/kh/CfyhLHeWVCYtFmZrcMJYvjSjk5IK5p8FQfsNsB02s4nJXV1h5QEFoOauzkjrtt00RQ==" saltValue="QhKXxY9dtEwYvKnyetFxNg==" spinCount="100000" sheet="1" objects="1" scenarios="1"/>
  <mergeCells count="7">
    <mergeCell ref="V5:V6"/>
    <mergeCell ref="W5:W6"/>
    <mergeCell ref="C87:D87"/>
    <mergeCell ref="H87:I87"/>
    <mergeCell ref="K2:T2"/>
    <mergeCell ref="K3:P3"/>
    <mergeCell ref="R3:T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4]!Delete3">
                <anchor moveWithCells="1" sizeWithCells="1">
                  <from>
                    <xdr:col>8</xdr:col>
                    <xdr:colOff>146050</xdr:colOff>
                    <xdr:row>4</xdr:row>
                    <xdr:rowOff>31750</xdr:rowOff>
                  </from>
                  <to>
                    <xdr:col>8</xdr:col>
                    <xdr:colOff>876300</xdr:colOff>
                    <xdr:row>4</xdr:row>
                    <xdr:rowOff>488950</xdr:rowOff>
                  </to>
                </anchor>
              </controlPr>
            </control>
          </mc:Choice>
        </mc:AlternateContent>
        <mc:AlternateContent xmlns:mc="http://schemas.openxmlformats.org/markup-compatibility/2006">
          <mc:Choice Requires="x14">
            <control shapeId="9218" r:id="rId4" name="Button 2">
              <controlPr defaultSize="0" print="0" autoFill="0" autoPict="0" macro="[4]!InsertNew4">
                <anchor moveWithCells="1" sizeWithCells="1">
                  <from>
                    <xdr:col>7</xdr:col>
                    <xdr:colOff>146050</xdr:colOff>
                    <xdr:row>4</xdr:row>
                    <xdr:rowOff>31750</xdr:rowOff>
                  </from>
                  <to>
                    <xdr:col>7</xdr:col>
                    <xdr:colOff>914400</xdr:colOff>
                    <xdr:row>4</xdr:row>
                    <xdr:rowOff>457200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01933-12C1-4A70-BAA2-E61B2CA55552}">
  <sheetPr codeName="Sheet1"/>
  <dimension ref="A1"/>
  <sheetViews>
    <sheetView workbookViewId="0">
      <selection activeCell="E11" sqref="E11"/>
    </sheetView>
  </sheetViews>
  <sheetFormatPr defaultRowHeight="14.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73FDD"/>
  </sheetPr>
  <dimension ref="A1:V56"/>
  <sheetViews>
    <sheetView topLeftCell="K1" zoomScale="115" zoomScaleNormal="115" workbookViewId="0">
      <selection activeCell="N25" sqref="N25"/>
    </sheetView>
  </sheetViews>
  <sheetFormatPr defaultRowHeight="14.5"/>
  <cols>
    <col min="1" max="1" width="14.1796875" bestFit="1" customWidth="1"/>
    <col min="2" max="2" width="25.1796875" bestFit="1" customWidth="1"/>
    <col min="3" max="3" width="15.54296875" bestFit="1" customWidth="1"/>
    <col min="4" max="4" width="12.453125" bestFit="1" customWidth="1"/>
    <col min="5" max="5" width="16.453125" bestFit="1" customWidth="1"/>
    <col min="6" max="6" width="16.1796875" bestFit="1" customWidth="1"/>
    <col min="7" max="7" width="23.54296875" bestFit="1" customWidth="1"/>
    <col min="8" max="8" width="20.54296875" bestFit="1" customWidth="1"/>
    <col min="9" max="9" width="29.81640625" bestFit="1" customWidth="1"/>
    <col min="10" max="10" width="51.1796875" bestFit="1" customWidth="1"/>
    <col min="11" max="11" width="19.453125" bestFit="1" customWidth="1"/>
    <col min="12" max="12" width="28.1796875" bestFit="1" customWidth="1"/>
    <col min="14" max="14" width="19.1796875" bestFit="1" customWidth="1"/>
    <col min="16" max="16" width="10" customWidth="1"/>
  </cols>
  <sheetData>
    <row r="1" spans="1:22">
      <c r="A1" t="s">
        <v>126</v>
      </c>
      <c r="B1" t="s">
        <v>209</v>
      </c>
      <c r="C1" t="s">
        <v>210</v>
      </c>
      <c r="D1" t="s">
        <v>211</v>
      </c>
      <c r="E1" t="s">
        <v>212</v>
      </c>
      <c r="F1" t="s">
        <v>215</v>
      </c>
      <c r="G1" s="149" t="s">
        <v>354</v>
      </c>
      <c r="H1" t="s">
        <v>462</v>
      </c>
      <c r="I1" t="s">
        <v>463</v>
      </c>
      <c r="J1" t="s">
        <v>464</v>
      </c>
      <c r="K1" t="s">
        <v>465</v>
      </c>
      <c r="L1" t="s">
        <v>466</v>
      </c>
      <c r="N1" t="s">
        <v>324</v>
      </c>
      <c r="P1" t="s">
        <v>469</v>
      </c>
      <c r="R1" s="202" t="s">
        <v>495</v>
      </c>
      <c r="T1" s="615" t="s">
        <v>1041</v>
      </c>
      <c r="V1" s="615" t="s">
        <v>519</v>
      </c>
    </row>
    <row r="2" spans="1:22">
      <c r="A2" t="s">
        <v>132</v>
      </c>
      <c r="B2" t="s">
        <v>181</v>
      </c>
      <c r="C2" t="s">
        <v>200</v>
      </c>
      <c r="D2" t="s">
        <v>1058</v>
      </c>
      <c r="E2" t="s">
        <v>191</v>
      </c>
      <c r="F2" t="s">
        <v>216</v>
      </c>
      <c r="G2" s="147" t="s">
        <v>373</v>
      </c>
      <c r="H2" t="s">
        <v>385</v>
      </c>
      <c r="I2" t="s">
        <v>405</v>
      </c>
      <c r="J2" t="s">
        <v>421</v>
      </c>
      <c r="K2" t="s">
        <v>434</v>
      </c>
      <c r="L2" t="s">
        <v>453</v>
      </c>
      <c r="N2" t="s">
        <v>355</v>
      </c>
      <c r="R2" s="202" t="s">
        <v>480</v>
      </c>
      <c r="T2" s="616" t="s">
        <v>1042</v>
      </c>
      <c r="V2" s="616">
        <v>2021</v>
      </c>
    </row>
    <row r="3" spans="1:22">
      <c r="A3" t="s">
        <v>133</v>
      </c>
      <c r="B3" t="s">
        <v>182</v>
      </c>
      <c r="C3" t="s">
        <v>201</v>
      </c>
      <c r="D3" t="s">
        <v>198</v>
      </c>
      <c r="E3" t="s">
        <v>192</v>
      </c>
      <c r="F3" t="s">
        <v>217</v>
      </c>
      <c r="G3" s="148" t="s">
        <v>374</v>
      </c>
      <c r="H3" t="s">
        <v>386</v>
      </c>
      <c r="I3" t="s">
        <v>406</v>
      </c>
      <c r="J3" t="s">
        <v>422</v>
      </c>
      <c r="K3" t="s">
        <v>435</v>
      </c>
      <c r="L3" t="s">
        <v>454</v>
      </c>
      <c r="N3" t="s">
        <v>325</v>
      </c>
      <c r="Q3" s="191"/>
      <c r="R3" s="202" t="s">
        <v>482</v>
      </c>
      <c r="T3" s="191" t="s">
        <v>523</v>
      </c>
      <c r="V3" s="191">
        <v>2022</v>
      </c>
    </row>
    <row r="4" spans="1:22">
      <c r="A4" t="s">
        <v>128</v>
      </c>
      <c r="B4" t="s">
        <v>183</v>
      </c>
      <c r="C4" t="s">
        <v>202</v>
      </c>
      <c r="D4" t="s">
        <v>199</v>
      </c>
      <c r="E4" t="s">
        <v>193</v>
      </c>
      <c r="F4" t="s">
        <v>218</v>
      </c>
      <c r="G4" s="147" t="s">
        <v>375</v>
      </c>
      <c r="H4" t="s">
        <v>387</v>
      </c>
      <c r="I4" t="s">
        <v>407</v>
      </c>
      <c r="J4" t="s">
        <v>423</v>
      </c>
      <c r="K4" t="s">
        <v>436</v>
      </c>
      <c r="L4" t="s">
        <v>455</v>
      </c>
      <c r="N4" t="s">
        <v>326</v>
      </c>
      <c r="R4" s="202" t="s">
        <v>484</v>
      </c>
      <c r="T4" s="616" t="s">
        <v>1043</v>
      </c>
      <c r="V4" s="616">
        <v>2023</v>
      </c>
    </row>
    <row r="5" spans="1:22">
      <c r="A5" t="s">
        <v>134</v>
      </c>
      <c r="B5" t="s">
        <v>184</v>
      </c>
      <c r="C5" t="s">
        <v>203</v>
      </c>
      <c r="D5" t="s">
        <v>1059</v>
      </c>
      <c r="E5" t="s">
        <v>194</v>
      </c>
      <c r="F5" t="s">
        <v>219</v>
      </c>
      <c r="G5" s="148" t="s">
        <v>376</v>
      </c>
      <c r="H5" t="s">
        <v>388</v>
      </c>
      <c r="I5" t="s">
        <v>408</v>
      </c>
      <c r="J5" t="s">
        <v>424</v>
      </c>
      <c r="K5" t="s">
        <v>437</v>
      </c>
      <c r="L5" t="s">
        <v>456</v>
      </c>
      <c r="N5" t="s">
        <v>356</v>
      </c>
      <c r="R5" s="202" t="s">
        <v>486</v>
      </c>
      <c r="T5" s="191" t="s">
        <v>530</v>
      </c>
      <c r="V5" s="191">
        <v>2024</v>
      </c>
    </row>
    <row r="6" spans="1:22">
      <c r="A6" t="s">
        <v>135</v>
      </c>
      <c r="B6" t="s">
        <v>185</v>
      </c>
      <c r="C6" t="s">
        <v>204</v>
      </c>
      <c r="D6" t="s">
        <v>1060</v>
      </c>
      <c r="E6" t="s">
        <v>195</v>
      </c>
      <c r="F6" t="s">
        <v>220</v>
      </c>
      <c r="G6" s="147" t="s">
        <v>377</v>
      </c>
      <c r="H6" t="s">
        <v>389</v>
      </c>
      <c r="I6" t="s">
        <v>409</v>
      </c>
      <c r="J6" t="s">
        <v>425</v>
      </c>
      <c r="K6" t="s">
        <v>438</v>
      </c>
      <c r="L6" t="s">
        <v>457</v>
      </c>
      <c r="N6" t="s">
        <v>320</v>
      </c>
      <c r="R6" s="202" t="s">
        <v>487</v>
      </c>
      <c r="T6" s="616" t="s">
        <v>1044</v>
      </c>
      <c r="V6" s="616">
        <v>2025</v>
      </c>
    </row>
    <row r="7" spans="1:22">
      <c r="A7" t="s">
        <v>136</v>
      </c>
      <c r="B7" t="s">
        <v>186</v>
      </c>
      <c r="C7" t="s">
        <v>205</v>
      </c>
      <c r="D7" t="s">
        <v>1061</v>
      </c>
      <c r="E7" t="s">
        <v>196</v>
      </c>
      <c r="G7" s="148" t="s">
        <v>378</v>
      </c>
      <c r="H7" t="s">
        <v>390</v>
      </c>
      <c r="I7" t="s">
        <v>410</v>
      </c>
      <c r="J7" t="s">
        <v>426</v>
      </c>
      <c r="K7" t="s">
        <v>439</v>
      </c>
      <c r="L7" t="s">
        <v>458</v>
      </c>
      <c r="N7" t="s">
        <v>357</v>
      </c>
      <c r="R7" s="202" t="s">
        <v>488</v>
      </c>
      <c r="T7" s="191" t="s">
        <v>1045</v>
      </c>
      <c r="V7" s="191">
        <v>2026</v>
      </c>
    </row>
    <row r="8" spans="1:22">
      <c r="A8" t="s">
        <v>137</v>
      </c>
      <c r="B8" t="s">
        <v>187</v>
      </c>
      <c r="C8" t="s">
        <v>206</v>
      </c>
      <c r="E8" t="s">
        <v>197</v>
      </c>
      <c r="G8" s="147" t="s">
        <v>379</v>
      </c>
      <c r="H8" t="s">
        <v>391</v>
      </c>
      <c r="I8" t="s">
        <v>411</v>
      </c>
      <c r="J8" t="s">
        <v>427</v>
      </c>
      <c r="K8" t="s">
        <v>440</v>
      </c>
      <c r="L8" t="s">
        <v>459</v>
      </c>
      <c r="N8" t="s">
        <v>358</v>
      </c>
      <c r="R8" s="202" t="s">
        <v>489</v>
      </c>
      <c r="T8" s="616" t="s">
        <v>1046</v>
      </c>
      <c r="V8" s="616">
        <v>2027</v>
      </c>
    </row>
    <row r="9" spans="1:22">
      <c r="A9" t="s">
        <v>138</v>
      </c>
      <c r="B9" t="s">
        <v>188</v>
      </c>
      <c r="C9" t="s">
        <v>207</v>
      </c>
      <c r="G9" s="148" t="s">
        <v>380</v>
      </c>
      <c r="H9" t="s">
        <v>392</v>
      </c>
      <c r="I9" t="s">
        <v>412</v>
      </c>
      <c r="J9" t="s">
        <v>428</v>
      </c>
      <c r="K9" t="s">
        <v>441</v>
      </c>
      <c r="L9" t="s">
        <v>460</v>
      </c>
      <c r="N9" t="s">
        <v>327</v>
      </c>
      <c r="R9" s="202" t="s">
        <v>491</v>
      </c>
      <c r="T9" s="191" t="s">
        <v>1047</v>
      </c>
    </row>
    <row r="10" spans="1:22">
      <c r="A10" t="s">
        <v>139</v>
      </c>
      <c r="B10" t="s">
        <v>189</v>
      </c>
      <c r="C10" t="s">
        <v>208</v>
      </c>
      <c r="G10" s="147" t="s">
        <v>381</v>
      </c>
      <c r="H10" t="s">
        <v>393</v>
      </c>
      <c r="I10" t="s">
        <v>413</v>
      </c>
      <c r="J10" t="s">
        <v>429</v>
      </c>
      <c r="K10" t="s">
        <v>442</v>
      </c>
      <c r="L10" t="s">
        <v>461</v>
      </c>
      <c r="N10" t="s">
        <v>359</v>
      </c>
      <c r="R10" s="202" t="s">
        <v>492</v>
      </c>
      <c r="T10" s="616" t="s">
        <v>1048</v>
      </c>
    </row>
    <row r="11" spans="1:22">
      <c r="A11" t="s">
        <v>140</v>
      </c>
      <c r="B11" t="s">
        <v>190</v>
      </c>
      <c r="G11" s="148" t="s">
        <v>382</v>
      </c>
      <c r="H11" t="s">
        <v>394</v>
      </c>
      <c r="I11" t="s">
        <v>414</v>
      </c>
      <c r="J11" t="s">
        <v>430</v>
      </c>
      <c r="K11" t="s">
        <v>443</v>
      </c>
      <c r="N11" t="s">
        <v>317</v>
      </c>
      <c r="R11" s="202" t="s">
        <v>494</v>
      </c>
      <c r="T11" s="191" t="s">
        <v>1049</v>
      </c>
    </row>
    <row r="12" spans="1:22">
      <c r="A12" t="s">
        <v>141</v>
      </c>
      <c r="G12" s="147" t="s">
        <v>383</v>
      </c>
      <c r="H12" t="s">
        <v>395</v>
      </c>
      <c r="I12" t="s">
        <v>415</v>
      </c>
      <c r="J12" t="s">
        <v>431</v>
      </c>
      <c r="K12" t="s">
        <v>444</v>
      </c>
      <c r="N12" t="s">
        <v>468</v>
      </c>
      <c r="T12" s="616" t="s">
        <v>1050</v>
      </c>
    </row>
    <row r="13" spans="1:22">
      <c r="A13" t="s">
        <v>142</v>
      </c>
      <c r="G13" s="150" t="s">
        <v>384</v>
      </c>
      <c r="H13" t="s">
        <v>396</v>
      </c>
      <c r="I13" t="s">
        <v>416</v>
      </c>
      <c r="J13" t="s">
        <v>432</v>
      </c>
      <c r="K13" t="s">
        <v>445</v>
      </c>
      <c r="N13" t="s">
        <v>328</v>
      </c>
      <c r="T13" s="191" t="s">
        <v>1051</v>
      </c>
    </row>
    <row r="14" spans="1:22">
      <c r="A14" t="s">
        <v>143</v>
      </c>
      <c r="H14" t="s">
        <v>397</v>
      </c>
      <c r="I14" t="s">
        <v>417</v>
      </c>
      <c r="J14" t="s">
        <v>433</v>
      </c>
      <c r="K14" t="s">
        <v>446</v>
      </c>
      <c r="N14" t="s">
        <v>321</v>
      </c>
    </row>
    <row r="15" spans="1:22">
      <c r="A15" t="s">
        <v>144</v>
      </c>
      <c r="H15" t="s">
        <v>398</v>
      </c>
      <c r="I15" t="s">
        <v>418</v>
      </c>
      <c r="K15" t="s">
        <v>447</v>
      </c>
      <c r="N15" t="s">
        <v>342</v>
      </c>
    </row>
    <row r="16" spans="1:22">
      <c r="A16" t="s">
        <v>145</v>
      </c>
      <c r="H16" t="s">
        <v>399</v>
      </c>
      <c r="I16" t="s">
        <v>419</v>
      </c>
      <c r="K16" t="s">
        <v>448</v>
      </c>
      <c r="N16" t="s">
        <v>470</v>
      </c>
    </row>
    <row r="17" spans="1:14">
      <c r="A17" t="s">
        <v>146</v>
      </c>
      <c r="H17" t="s">
        <v>400</v>
      </c>
      <c r="I17" t="s">
        <v>420</v>
      </c>
      <c r="K17" t="s">
        <v>449</v>
      </c>
      <c r="N17" t="s">
        <v>329</v>
      </c>
    </row>
    <row r="18" spans="1:14">
      <c r="A18" t="s">
        <v>147</v>
      </c>
      <c r="H18" t="s">
        <v>401</v>
      </c>
      <c r="K18" t="s">
        <v>450</v>
      </c>
      <c r="N18" t="s">
        <v>360</v>
      </c>
    </row>
    <row r="19" spans="1:14">
      <c r="A19" t="s">
        <v>148</v>
      </c>
      <c r="H19" t="s">
        <v>402</v>
      </c>
      <c r="K19" t="s">
        <v>451</v>
      </c>
      <c r="N19" t="s">
        <v>361</v>
      </c>
    </row>
    <row r="20" spans="1:14">
      <c r="A20" t="s">
        <v>149</v>
      </c>
      <c r="H20" t="s">
        <v>403</v>
      </c>
      <c r="K20" t="s">
        <v>452</v>
      </c>
      <c r="N20" t="s">
        <v>362</v>
      </c>
    </row>
    <row r="21" spans="1:14">
      <c r="A21" t="s">
        <v>150</v>
      </c>
      <c r="H21" t="s">
        <v>404</v>
      </c>
      <c r="N21" t="s">
        <v>363</v>
      </c>
    </row>
    <row r="22" spans="1:14">
      <c r="A22" t="s">
        <v>151</v>
      </c>
      <c r="N22" t="s">
        <v>330</v>
      </c>
    </row>
    <row r="23" spans="1:14">
      <c r="A23" t="s">
        <v>152</v>
      </c>
      <c r="N23" t="s">
        <v>364</v>
      </c>
    </row>
    <row r="24" spans="1:14">
      <c r="A24" t="s">
        <v>153</v>
      </c>
      <c r="N24" t="s">
        <v>365</v>
      </c>
    </row>
    <row r="25" spans="1:14">
      <c r="A25" t="s">
        <v>154</v>
      </c>
      <c r="N25" t="s">
        <v>1053</v>
      </c>
    </row>
    <row r="26" spans="1:14">
      <c r="A26" t="s">
        <v>155</v>
      </c>
      <c r="N26" t="s">
        <v>318</v>
      </c>
    </row>
    <row r="27" spans="1:14">
      <c r="A27" t="s">
        <v>156</v>
      </c>
      <c r="N27" t="s">
        <v>331</v>
      </c>
    </row>
    <row r="28" spans="1:14">
      <c r="A28" t="s">
        <v>157</v>
      </c>
      <c r="N28" t="s">
        <v>471</v>
      </c>
    </row>
    <row r="29" spans="1:14">
      <c r="A29" t="s">
        <v>158</v>
      </c>
      <c r="N29" t="s">
        <v>472</v>
      </c>
    </row>
    <row r="30" spans="1:14">
      <c r="A30" t="s">
        <v>159</v>
      </c>
      <c r="N30" t="s">
        <v>467</v>
      </c>
    </row>
    <row r="31" spans="1:14">
      <c r="A31" t="s">
        <v>160</v>
      </c>
      <c r="N31" t="s">
        <v>366</v>
      </c>
    </row>
    <row r="32" spans="1:14">
      <c r="A32" t="s">
        <v>161</v>
      </c>
      <c r="N32" t="s">
        <v>332</v>
      </c>
    </row>
    <row r="33" spans="1:14">
      <c r="A33" t="s">
        <v>162</v>
      </c>
      <c r="N33" t="s">
        <v>473</v>
      </c>
    </row>
    <row r="34" spans="1:14">
      <c r="A34" t="s">
        <v>163</v>
      </c>
      <c r="N34" t="s">
        <v>333</v>
      </c>
    </row>
    <row r="35" spans="1:14">
      <c r="A35" t="s">
        <v>164</v>
      </c>
      <c r="N35" t="s">
        <v>367</v>
      </c>
    </row>
    <row r="36" spans="1:14">
      <c r="A36" t="s">
        <v>165</v>
      </c>
      <c r="N36" t="s">
        <v>368</v>
      </c>
    </row>
    <row r="37" spans="1:14">
      <c r="A37" t="s">
        <v>166</v>
      </c>
      <c r="N37" t="s">
        <v>474</v>
      </c>
    </row>
    <row r="38" spans="1:14">
      <c r="A38" t="s">
        <v>167</v>
      </c>
      <c r="N38" t="s">
        <v>343</v>
      </c>
    </row>
    <row r="39" spans="1:14">
      <c r="A39" t="s">
        <v>168</v>
      </c>
      <c r="N39" t="s">
        <v>369</v>
      </c>
    </row>
    <row r="40" spans="1:14">
      <c r="A40" t="s">
        <v>169</v>
      </c>
      <c r="N40" t="s">
        <v>334</v>
      </c>
    </row>
    <row r="41" spans="1:14">
      <c r="A41" t="s">
        <v>170</v>
      </c>
      <c r="N41" t="s">
        <v>335</v>
      </c>
    </row>
    <row r="42" spans="1:14">
      <c r="A42" t="s">
        <v>171</v>
      </c>
      <c r="N42" t="s">
        <v>319</v>
      </c>
    </row>
    <row r="43" spans="1:14">
      <c r="A43" t="s">
        <v>172</v>
      </c>
      <c r="N43" t="s">
        <v>336</v>
      </c>
    </row>
    <row r="44" spans="1:14">
      <c r="A44" t="s">
        <v>173</v>
      </c>
      <c r="N44" t="s">
        <v>323</v>
      </c>
    </row>
    <row r="45" spans="1:14">
      <c r="A45" t="s">
        <v>174</v>
      </c>
      <c r="N45" t="s">
        <v>337</v>
      </c>
    </row>
    <row r="46" spans="1:14">
      <c r="A46" t="s">
        <v>175</v>
      </c>
      <c r="N46" t="s">
        <v>322</v>
      </c>
    </row>
    <row r="47" spans="1:14">
      <c r="A47" t="s">
        <v>176</v>
      </c>
      <c r="N47" t="s">
        <v>344</v>
      </c>
    </row>
    <row r="48" spans="1:14">
      <c r="A48" t="s">
        <v>177</v>
      </c>
      <c r="N48" t="s">
        <v>338</v>
      </c>
    </row>
    <row r="49" spans="1:14">
      <c r="A49" t="s">
        <v>178</v>
      </c>
      <c r="N49" t="s">
        <v>339</v>
      </c>
    </row>
    <row r="50" spans="1:14">
      <c r="A50" t="s">
        <v>179</v>
      </c>
      <c r="N50" t="s">
        <v>370</v>
      </c>
    </row>
    <row r="51" spans="1:14">
      <c r="A51" t="s">
        <v>180</v>
      </c>
      <c r="N51" t="s">
        <v>371</v>
      </c>
    </row>
    <row r="52" spans="1:14">
      <c r="N52" t="s">
        <v>340</v>
      </c>
    </row>
    <row r="53" spans="1:14">
      <c r="N53" t="s">
        <v>341</v>
      </c>
    </row>
    <row r="54" spans="1:14">
      <c r="N54" t="s">
        <v>475</v>
      </c>
    </row>
    <row r="55" spans="1:14">
      <c r="N55" t="s">
        <v>372</v>
      </c>
    </row>
    <row r="56" spans="1:14">
      <c r="N56" t="str">
        <f>"--Not Listed--"</f>
        <v>--Not Listed--</v>
      </c>
    </row>
  </sheetData>
  <conditionalFormatting sqref="N56">
    <cfRule type="duplicateValues" dxfId="13" priority="3"/>
  </conditionalFormatting>
  <conditionalFormatting sqref="T2:T13">
    <cfRule type="duplicateValues" dxfId="12" priority="2"/>
  </conditionalFormatting>
  <conditionalFormatting sqref="V2:V8">
    <cfRule type="duplicateValues" dxfId="11" priority="1"/>
  </conditionalFormatting>
  <conditionalFormatting sqref="N2:N56">
    <cfRule type="duplicateValues" dxfId="10" priority="13"/>
  </conditionalFormatting>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689DE3F9553094282DC797F324481DA" ma:contentTypeVersion="1" ma:contentTypeDescription="Create a new document." ma:contentTypeScope="" ma:versionID="c97c7b4acf10ff140a590c1147966d0e">
  <xsd:schema xmlns:xsd="http://www.w3.org/2001/XMLSchema" xmlns:xs="http://www.w3.org/2001/XMLSchema" xmlns:p="http://schemas.microsoft.com/office/2006/metadata/properties" xmlns:ns2="5b107909-1e42-4520-8d74-3c53f5e40529" targetNamespace="http://schemas.microsoft.com/office/2006/metadata/properties" ma:root="true" ma:fieldsID="b6c57417e159be7ac378fd7cc208702f" ns2:_="">
    <xsd:import namespace="5b107909-1e42-4520-8d74-3c53f5e40529"/>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107909-1e42-4520-8d74-3c53f5e4052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D03BC9D-D174-434F-AC10-BF920E63A9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107909-1e42-4520-8d74-3c53f5e405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271AAAC-29B2-483D-95EE-F7E2F6AAB4B0}">
  <ds:schemaRefs>
    <ds:schemaRef ds:uri="http://purl.org/dc/elements/1.1/"/>
    <ds:schemaRef ds:uri="5b107909-1e42-4520-8d74-3c53f5e40529"/>
    <ds:schemaRef ds:uri="http://purl.org/dc/term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3C63519E-D602-4683-8C82-1F30299757B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Macro Instructions</vt:lpstr>
      <vt:lpstr>GMP COST DATA</vt:lpstr>
      <vt:lpstr>GMP-PO Breakdown</vt:lpstr>
      <vt:lpstr>Change Control Summary</vt:lpstr>
      <vt:lpstr>PO Tracker</vt:lpstr>
      <vt:lpstr>Cash Flow</vt:lpstr>
      <vt:lpstr>Drop Down Menus</vt:lpstr>
      <vt:lpstr>ApprovedBillings</vt:lpstr>
      <vt:lpstr>CarData</vt:lpstr>
      <vt:lpstr>carNum</vt:lpstr>
      <vt:lpstr>continueSummary</vt:lpstr>
      <vt:lpstr>ECaC</vt:lpstr>
      <vt:lpstr>'GMP-PO Breakdown'!Print_Area</vt:lpstr>
      <vt:lpstr>siteCode</vt:lpstr>
      <vt:lpstr>startCOMatrix</vt:lpstr>
      <vt:lpstr>startGMPdetail</vt:lpstr>
      <vt:lpstr>startSummary</vt:lpstr>
      <vt:lpstr>TotalAvailableBudget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Sheppard</dc:creator>
  <cp:lastModifiedBy>Ding, Long [C]</cp:lastModifiedBy>
  <cp:lastPrinted>2019-04-03T17:13:12Z</cp:lastPrinted>
  <dcterms:created xsi:type="dcterms:W3CDTF">2017-11-21T18:02:21Z</dcterms:created>
  <dcterms:modified xsi:type="dcterms:W3CDTF">2022-11-18T17:13:06Z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0x0101008689DE3F9553094282DC797F324481DA</vt:lpwstr>
  </property>
  <property fmtid="{D5CDD505-2E9C-101B-9397-08002B2CF9AE}" pid="3" name="WorkbookGuid">
    <vt:lpwstr>df7ac4a6-35d3-4fa0-8c35-0d76f8cf745d</vt:lpwstr>
  </property>
</Properties>
</file>