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1" codeName="{3D1A710C-6663-3D7B-7F91-EC182F24A4BC}"/>
  <workbookPr updateLinks="never" codeName="ThisWorkbook" defaultThemeVersion="166925"/>
  <mc:AlternateContent xmlns:mc="http://schemas.openxmlformats.org/markup-compatibility/2006">
    <mc:Choice Requires="x15">
      <x15ac:absPath xmlns:x15ac="http://schemas.microsoft.com/office/spreadsheetml/2010/11/ac" url="C:\Users\londing\Desktop\Macro Excel\construction\v3.0\dev\prod\"/>
    </mc:Choice>
  </mc:AlternateContent>
  <xr:revisionPtr revIDLastSave="0" documentId="13_ncr:1_{9EF4C8A8-AD76-4B4F-B730-229E9C40F06D}" xr6:coauthVersionLast="36" xr6:coauthVersionMax="36" xr10:uidLastSave="{00000000-0000-0000-0000-000000000000}"/>
  <workbookProtection workbookAlgorithmName="SHA-512" workbookHashValue="jVzRy8m+P+H8dzQG2Rkdit3157bw5ffFG/HlklKBDAgVisnMs9eWw7l4ShKhWczF+vINL2zgCZVviupQvz6h3Q==" workbookSaltValue="IFSegZ2xi6hnntp5Hj8oAQ==" workbookSpinCount="100000" lockStructure="1"/>
  <bookViews>
    <workbookView xWindow="0" yWindow="0" windowWidth="19200" windowHeight="6350" activeTab="4" xr2:uid="{DDFC1E1A-4E2E-4AA5-B280-15CA2CC99EE1}"/>
  </bookViews>
  <sheets>
    <sheet name="Instructions" sheetId="2" r:id="rId1"/>
    <sheet name="GMP-PO Breakdown" sheetId="1" r:id="rId2"/>
    <sheet name="Subcontractor Breakdown" sheetId="4" r:id="rId3"/>
    <sheet name="Cash Flow" sheetId="5" r:id="rId4"/>
    <sheet name="TI Allowance &amp; Contingency" sheetId="7" r:id="rId5"/>
    <sheet name="Developer Contingency" sheetId="8" r:id="rId6"/>
    <sheet name="Monthly Weather Report" sheetId="9" r:id="rId7"/>
    <sheet name="Construction Waste Tracker" sheetId="10" r:id="rId8"/>
    <sheet name="CM Worksheet" sheetId="14" r:id="rId9"/>
    <sheet name="Sustainability (GSF Only)" sheetId="11" r:id="rId10"/>
    <sheet name="Sheet1" sheetId="13" state="hidden" r:id="rId11"/>
    <sheet name="Drop Down" sheetId="12" state="hidden" r:id="rId12"/>
  </sheets>
  <externalReferences>
    <externalReference r:id="rId13"/>
    <externalReference r:id="rId14"/>
  </externalReferences>
  <definedNames>
    <definedName name="_xlnm._FilterDatabase" localSheetId="9" hidden="1">'Sustainability (GSF Only)'!$A$29:$H$55</definedName>
    <definedName name="ActualBill">'Cash Flow'!$O$25</definedName>
    <definedName name="ActualDevCont">'Cash Flow'!$R$25</definedName>
    <definedName name="ajalfdj" localSheetId="3" hidden="1">{"'vert'!$A$1:$T$117"}</definedName>
    <definedName name="ajalfdj" localSheetId="7" hidden="1">{"'vert'!$A$1:$T$117"}</definedName>
    <definedName name="ajalfdj" localSheetId="5" hidden="1">{"'vert'!$A$1:$T$117"}</definedName>
    <definedName name="ajalfdj" localSheetId="6" hidden="1">{"'vert'!$A$1:$T$117"}</definedName>
    <definedName name="ajalfdj" localSheetId="2" hidden="1">{"'vert'!$A$1:$T$117"}</definedName>
    <definedName name="ajalfdj" localSheetId="9" hidden="1">{"'vert'!$A$1:$T$117"}</definedName>
    <definedName name="ajalfdj" localSheetId="4" hidden="1">{"'vert'!$A$1:$T$117"}</definedName>
    <definedName name="ajalfdj" hidden="1">{"'vert'!$A$1:$T$117"}</definedName>
    <definedName name="ajalfdj_1" localSheetId="3" hidden="1">{"'vert'!$A$1:$T$117"}</definedName>
    <definedName name="ajalfdj_1" localSheetId="7" hidden="1">{"'vert'!$A$1:$T$117"}</definedName>
    <definedName name="ajalfdj_1" localSheetId="5" hidden="1">{"'vert'!$A$1:$T$117"}</definedName>
    <definedName name="ajalfdj_1" localSheetId="6" hidden="1">{"'vert'!$A$1:$T$117"}</definedName>
    <definedName name="ajalfdj_1" localSheetId="2" hidden="1">{"'vert'!$A$1:$T$117"}</definedName>
    <definedName name="ajalfdj_1" localSheetId="9" hidden="1">{"'vert'!$A$1:$T$117"}</definedName>
    <definedName name="ajalfdj_1" localSheetId="4" hidden="1">{"'vert'!$A$1:$T$117"}</definedName>
    <definedName name="ajalfdj_1" hidden="1">{"'vert'!$A$1:$T$117"}</definedName>
    <definedName name="Australia">Sheet1!$E$2:$E$8</definedName>
    <definedName name="bne" localSheetId="3" hidden="1">#REF!</definedName>
    <definedName name="bne" localSheetId="7" hidden="1">#REF!</definedName>
    <definedName name="bne" localSheetId="5" hidden="1">#REF!</definedName>
    <definedName name="bne" localSheetId="6" hidden="1">#REF!</definedName>
    <definedName name="bne" localSheetId="2" hidden="1">#REF!</definedName>
    <definedName name="bne" localSheetId="9" hidden="1">#REF!</definedName>
    <definedName name="bne" localSheetId="4" hidden="1">#REF!</definedName>
    <definedName name="bne" hidden="1">#REF!</definedName>
    <definedName name="BNE_MESSAGES_HIDDEN" localSheetId="3" hidden="1">#REF!</definedName>
    <definedName name="BNE_MESSAGES_HIDDEN" localSheetId="7" hidden="1">#REF!</definedName>
    <definedName name="BNE_MESSAGES_HIDDEN" localSheetId="5" hidden="1">#REF!</definedName>
    <definedName name="BNE_MESSAGES_HIDDEN" localSheetId="6" hidden="1">#REF!</definedName>
    <definedName name="BNE_MESSAGES_HIDDEN" localSheetId="2" hidden="1">#REF!</definedName>
    <definedName name="BNE_MESSAGES_HIDDEN" localSheetId="9" hidden="1">#REF!</definedName>
    <definedName name="BNE_MESSAGES_HIDDEN" localSheetId="4" hidden="1">#REF!</definedName>
    <definedName name="BNE_MESSAGES_HIDDEN" hidden="1">#REF!</definedName>
    <definedName name="Brazil">Sheet1!$D$2:$D$3</definedName>
    <definedName name="Canada">Sheet1!$B$2:$B$11</definedName>
    <definedName name="Change_log_Freez">'GMP-PO Breakdown'!$D$118</definedName>
    <definedName name="Change_log_unfreeze">'GMP-PO Breakdown'!$E$118</definedName>
    <definedName name="Comments">'Cash Flow'!$U$25</definedName>
    <definedName name="coop2" localSheetId="3" hidden="1">{"'vert'!$A$1:$T$117"}</definedName>
    <definedName name="coop2" localSheetId="7" hidden="1">{"'vert'!$A$1:$T$117"}</definedName>
    <definedName name="coop2" localSheetId="5" hidden="1">{"'vert'!$A$1:$T$117"}</definedName>
    <definedName name="coop2" localSheetId="6" hidden="1">{"'vert'!$A$1:$T$117"}</definedName>
    <definedName name="coop2" localSheetId="2" hidden="1">{"'vert'!$A$1:$T$117"}</definedName>
    <definedName name="coop2" localSheetId="9" hidden="1">{"'vert'!$A$1:$T$117"}</definedName>
    <definedName name="coop2" localSheetId="4" hidden="1">{"'vert'!$A$1:$T$117"}</definedName>
    <definedName name="coop2" hidden="1">{"'vert'!$A$1:$T$117"}</definedName>
    <definedName name="coop2_1" localSheetId="3" hidden="1">{"'vert'!$A$1:$T$117"}</definedName>
    <definedName name="coop2_1" localSheetId="7" hidden="1">{"'vert'!$A$1:$T$117"}</definedName>
    <definedName name="coop2_1" localSheetId="5" hidden="1">{"'vert'!$A$1:$T$117"}</definedName>
    <definedName name="coop2_1" localSheetId="6" hidden="1">{"'vert'!$A$1:$T$117"}</definedName>
    <definedName name="coop2_1" localSheetId="2" hidden="1">{"'vert'!$A$1:$T$117"}</definedName>
    <definedName name="coop2_1" localSheetId="9" hidden="1">{"'vert'!$A$1:$T$117"}</definedName>
    <definedName name="coop2_1" localSheetId="4" hidden="1">{"'vert'!$A$1:$T$117"}</definedName>
    <definedName name="coop2_1" hidden="1">{"'vert'!$A$1:$T$117"}</definedName>
    <definedName name="Country_Not_listed">Sheet1!$G$2</definedName>
    <definedName name="dfgdsfg" localSheetId="3" hidden="1">{"'vert'!$A$1:$T$117"}</definedName>
    <definedName name="dfgdsfg" localSheetId="7" hidden="1">{"'vert'!$A$1:$T$117"}</definedName>
    <definedName name="dfgdsfg" localSheetId="5" hidden="1">{"'vert'!$A$1:$T$117"}</definedName>
    <definedName name="dfgdsfg" localSheetId="6" hidden="1">{"'vert'!$A$1:$T$117"}</definedName>
    <definedName name="dfgdsfg" localSheetId="2" hidden="1">{"'vert'!$A$1:$T$117"}</definedName>
    <definedName name="dfgdsfg" localSheetId="9" hidden="1">{"'vert'!$A$1:$T$117"}</definedName>
    <definedName name="dfgdsfg" localSheetId="4" hidden="1">{"'vert'!$A$1:$T$117"}</definedName>
    <definedName name="dfgdsfg" hidden="1">{"'vert'!$A$1:$T$117"}</definedName>
    <definedName name="dfgdsfg_1" localSheetId="3" hidden="1">{"'vert'!$A$1:$T$117"}</definedName>
    <definedName name="dfgdsfg_1" localSheetId="7" hidden="1">{"'vert'!$A$1:$T$117"}</definedName>
    <definedName name="dfgdsfg_1" localSheetId="5" hidden="1">{"'vert'!$A$1:$T$117"}</definedName>
    <definedName name="dfgdsfg_1" localSheetId="6" hidden="1">{"'vert'!$A$1:$T$117"}</definedName>
    <definedName name="dfgdsfg_1" localSheetId="2" hidden="1">{"'vert'!$A$1:$T$117"}</definedName>
    <definedName name="dfgdsfg_1" localSheetId="9" hidden="1">{"'vert'!$A$1:$T$117"}</definedName>
    <definedName name="dfgdsfg_1" localSheetId="4" hidden="1">{"'vert'!$A$1:$T$117"}</definedName>
    <definedName name="dfgdsfg_1" hidden="1">{"'vert'!$A$1:$T$117"}</definedName>
    <definedName name="ECon" localSheetId="3" hidden="1">{"'vert'!$A$1:$T$117"}</definedName>
    <definedName name="ECon" localSheetId="7" hidden="1">{"'vert'!$A$1:$T$117"}</definedName>
    <definedName name="ECon" localSheetId="5" hidden="1">{"'vert'!$A$1:$T$117"}</definedName>
    <definedName name="ECon" localSheetId="6" hidden="1">{"'vert'!$A$1:$T$117"}</definedName>
    <definedName name="ECon" localSheetId="2" hidden="1">{"'vert'!$A$1:$T$117"}</definedName>
    <definedName name="ECon" localSheetId="9" hidden="1">{"'vert'!$A$1:$T$117"}</definedName>
    <definedName name="ECon" localSheetId="4" hidden="1">{"'vert'!$A$1:$T$117"}</definedName>
    <definedName name="ECon" hidden="1">{"'vert'!$A$1:$T$117"}</definedName>
    <definedName name="g" localSheetId="3" hidden="1">{"'vert'!$A$1:$T$117"}</definedName>
    <definedName name="g" localSheetId="7" hidden="1">{"'vert'!$A$1:$T$117"}</definedName>
    <definedName name="g" localSheetId="5" hidden="1">{"'vert'!$A$1:$T$117"}</definedName>
    <definedName name="g" localSheetId="6" hidden="1">{"'vert'!$A$1:$T$117"}</definedName>
    <definedName name="g" localSheetId="2" hidden="1">{"'vert'!$A$1:$T$117"}</definedName>
    <definedName name="g" localSheetId="9" hidden="1">{"'vert'!$A$1:$T$117"}</definedName>
    <definedName name="g" localSheetId="4" hidden="1">{"'vert'!$A$1:$T$117"}</definedName>
    <definedName name="g" hidden="1">{"'vert'!$A$1:$T$117"}</definedName>
    <definedName name="HTML_CodePage" hidden="1">1252</definedName>
    <definedName name="HTML_Cont" localSheetId="3" hidden="1">{"'vert'!$A$1:$T$117"}</definedName>
    <definedName name="HTML_Cont" localSheetId="7" hidden="1">{"'vert'!$A$1:$T$117"}</definedName>
    <definedName name="HTML_Cont" localSheetId="5" hidden="1">{"'vert'!$A$1:$T$117"}</definedName>
    <definedName name="HTML_Cont" localSheetId="6" hidden="1">{"'vert'!$A$1:$T$117"}</definedName>
    <definedName name="HTML_Cont" localSheetId="2" hidden="1">{"'vert'!$A$1:$T$117"}</definedName>
    <definedName name="HTML_Cont" localSheetId="9" hidden="1">{"'vert'!$A$1:$T$117"}</definedName>
    <definedName name="HTML_Cont" localSheetId="4" hidden="1">{"'vert'!$A$1:$T$117"}</definedName>
    <definedName name="HTML_Cont" hidden="1">{"'vert'!$A$1:$T$117"}</definedName>
    <definedName name="HTML_Cont_1" localSheetId="3" hidden="1">{"'vert'!$A$1:$T$117"}</definedName>
    <definedName name="HTML_Cont_1" localSheetId="7" hidden="1">{"'vert'!$A$1:$T$117"}</definedName>
    <definedName name="HTML_Cont_1" localSheetId="5" hidden="1">{"'vert'!$A$1:$T$117"}</definedName>
    <definedName name="HTML_Cont_1" localSheetId="6" hidden="1">{"'vert'!$A$1:$T$117"}</definedName>
    <definedName name="HTML_Cont_1" localSheetId="2" hidden="1">{"'vert'!$A$1:$T$117"}</definedName>
    <definedName name="HTML_Cont_1" localSheetId="9" hidden="1">{"'vert'!$A$1:$T$117"}</definedName>
    <definedName name="HTML_Cont_1" localSheetId="4" hidden="1">{"'vert'!$A$1:$T$117"}</definedName>
    <definedName name="HTML_Cont_1" hidden="1">{"'vert'!$A$1:$T$117"}</definedName>
    <definedName name="HTML_Control" localSheetId="3" hidden="1">{"'vert'!$A$1:$T$117"}</definedName>
    <definedName name="HTML_Control" localSheetId="7" hidden="1">{"'vert'!$A$1:$T$117"}</definedName>
    <definedName name="HTML_Control" localSheetId="5" hidden="1">{"'vert'!$A$1:$T$117"}</definedName>
    <definedName name="HTML_Control" localSheetId="6" hidden="1">{"'vert'!$A$1:$T$117"}</definedName>
    <definedName name="HTML_Control" localSheetId="2" hidden="1">{"'vert'!$A$1:$T$117"}</definedName>
    <definedName name="HTML_Control" localSheetId="9" hidden="1">{"'vert'!$A$1:$T$117"}</definedName>
    <definedName name="HTML_Control" localSheetId="4" hidden="1">{"'vert'!$A$1:$T$117"}</definedName>
    <definedName name="HTML_Control" hidden="1">{"'vert'!$A$1:$T$117"}</definedName>
    <definedName name="HTML_Control_1" localSheetId="3" hidden="1">{"'vert'!$A$1:$T$117"}</definedName>
    <definedName name="HTML_Control_1" localSheetId="7" hidden="1">{"'vert'!$A$1:$T$117"}</definedName>
    <definedName name="HTML_Control_1" localSheetId="5" hidden="1">{"'vert'!$A$1:$T$117"}</definedName>
    <definedName name="HTML_Control_1" localSheetId="6" hidden="1">{"'vert'!$A$1:$T$117"}</definedName>
    <definedName name="HTML_Control_1" localSheetId="2" hidden="1">{"'vert'!$A$1:$T$117"}</definedName>
    <definedName name="HTML_Control_1" localSheetId="9" hidden="1">{"'vert'!$A$1:$T$117"}</definedName>
    <definedName name="HTML_Control_1" localSheetId="4" hidden="1">{"'vert'!$A$1:$T$117"}</definedName>
    <definedName name="HTML_Control_1" hidden="1">{"'vert'!$A$1:$T$117"}</definedName>
    <definedName name="HTML_Description" hidden="1">""</definedName>
    <definedName name="HTML_Email" hidden="1">""</definedName>
    <definedName name="HTML_Header" hidden="1">"CS holiday scorecard"</definedName>
    <definedName name="HTML_LastUpdate" hidden="1">"10/25/00"</definedName>
    <definedName name="HTML_LineAfter" hidden="1">FALSE</definedName>
    <definedName name="HTML_LineBefore" hidden="1">FALSE</definedName>
    <definedName name="HTML_Name" hidden="1">"emily alford"</definedName>
    <definedName name="HTML_OBDlg2" hidden="1">TRUE</definedName>
    <definedName name="HTML_OBDlg4" hidden="1">TRUE</definedName>
    <definedName name="HTML_OS" hidden="1">0</definedName>
    <definedName name="HTML_PathFile" hidden="1">"I:\dept\cs\us\manager\metrics\secure\holidayscorecard.html.htm"</definedName>
    <definedName name="HTML_Title" hidden="1">"CS holiday scorecard"</definedName>
    <definedName name="kakaw" localSheetId="3" hidden="1">{"'vert'!$A$1:$T$117"}</definedName>
    <definedName name="kakaw" localSheetId="7" hidden="1">{"'vert'!$A$1:$T$117"}</definedName>
    <definedName name="kakaw" localSheetId="5" hidden="1">{"'vert'!$A$1:$T$117"}</definedName>
    <definedName name="kakaw" localSheetId="6" hidden="1">{"'vert'!$A$1:$T$117"}</definedName>
    <definedName name="kakaw" localSheetId="2" hidden="1">{"'vert'!$A$1:$T$117"}</definedName>
    <definedName name="kakaw" localSheetId="9" hidden="1">{"'vert'!$A$1:$T$117"}</definedName>
    <definedName name="kakaw" localSheetId="4" hidden="1">{"'vert'!$A$1:$T$117"}</definedName>
    <definedName name="kakaw" hidden="1">{"'vert'!$A$1:$T$117"}</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matrix_Freeze">'GMP-PO Breakdown'!$D$141</definedName>
    <definedName name="matrix_unfreeze">'GMP-PO Breakdown'!$E$141</definedName>
    <definedName name="Mexico">Sheet1!$C$2:$C$10</definedName>
    <definedName name="PopCache_GL_INTERFACE_REFERENCE7" hidden="1">[1]PopCache!$A$1:$A$2</definedName>
    <definedName name="_xlnm.Print_Area" localSheetId="5">'Developer Contingency'!$A$14:$D$118</definedName>
    <definedName name="_xlnm.Print_Area" localSheetId="1">'GMP-PO Breakdown'!$B$2:$H$116</definedName>
    <definedName name="_xlnm.Print_Area" localSheetId="6">'Monthly Weather Report'!$B$13:$D$98</definedName>
    <definedName name="_xlnm.Print_Area" localSheetId="4">'TI Allowance &amp; Contingency'!$B$14:$F$118</definedName>
    <definedName name="ProjDevCont">'Cash Flow'!$F$25</definedName>
    <definedName name="RevProjBill">'Cash Flow'!$I$25</definedName>
    <definedName name="Singapore">Sheet1!$F$2:$F$6</definedName>
    <definedName name="startCashFlow">'Cash Flow'!$B$25</definedName>
    <definedName name="startChangeDescri">'GMP-PO Breakdown'!$C$120</definedName>
    <definedName name="startSummary">'GMP-PO Breakdown'!$C$5</definedName>
    <definedName name="USA">Sheet1!$A$2:$A$51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40" i="7" l="1"/>
  <c r="B94" i="10" l="1"/>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G37" i="11" l="1"/>
  <c r="H73" i="9" l="1"/>
  <c r="G57" i="9"/>
  <c r="G58" i="9"/>
  <c r="G59" i="9"/>
  <c r="G60" i="9"/>
  <c r="G61" i="9"/>
  <c r="G62" i="9"/>
  <c r="G63" i="9"/>
  <c r="G64" i="9"/>
  <c r="G65" i="9"/>
  <c r="G66" i="9"/>
  <c r="G67" i="9"/>
  <c r="G68" i="9"/>
  <c r="G69" i="9"/>
  <c r="G70" i="9"/>
  <c r="G71" i="9"/>
  <c r="G72" i="9"/>
  <c r="H84" i="1" l="1"/>
  <c r="G85" i="1"/>
  <c r="F85" i="1"/>
  <c r="E85" i="1"/>
  <c r="I68" i="5" l="1"/>
  <c r="C68" i="5" l="1"/>
  <c r="D25" i="5"/>
  <c r="D26" i="5" s="1"/>
  <c r="H25" i="5"/>
  <c r="J25" i="5"/>
  <c r="J26" i="5" s="1"/>
  <c r="J27" i="5" s="1"/>
  <c r="N25" i="5"/>
  <c r="P25" i="5"/>
  <c r="Q25" i="5" s="1"/>
  <c r="T25" i="5"/>
  <c r="H26" i="5"/>
  <c r="N26" i="5"/>
  <c r="P26" i="5"/>
  <c r="Q26" i="5" s="1"/>
  <c r="T26" i="5"/>
  <c r="H27" i="5"/>
  <c r="N27" i="5"/>
  <c r="T27" i="5"/>
  <c r="H28" i="5"/>
  <c r="N28" i="5"/>
  <c r="T28" i="5"/>
  <c r="H29" i="5"/>
  <c r="N29" i="5"/>
  <c r="T29" i="5"/>
  <c r="H30" i="5"/>
  <c r="N30" i="5"/>
  <c r="T30" i="5"/>
  <c r="H31" i="5"/>
  <c r="N31" i="5"/>
  <c r="T31" i="5"/>
  <c r="H32" i="5"/>
  <c r="N32" i="5"/>
  <c r="T32" i="5"/>
  <c r="H33" i="5"/>
  <c r="N33" i="5"/>
  <c r="T33" i="5"/>
  <c r="H34" i="5"/>
  <c r="N34" i="5"/>
  <c r="T34" i="5"/>
  <c r="H35" i="5"/>
  <c r="N35" i="5"/>
  <c r="T35" i="5"/>
  <c r="H36" i="5"/>
  <c r="N36" i="5"/>
  <c r="T36" i="5"/>
  <c r="H37" i="5"/>
  <c r="N37" i="5"/>
  <c r="T37" i="5"/>
  <c r="H38" i="5"/>
  <c r="N38" i="5"/>
  <c r="T38" i="5"/>
  <c r="H39" i="5"/>
  <c r="N39" i="5"/>
  <c r="T39" i="5"/>
  <c r="H40" i="5"/>
  <c r="N40" i="5"/>
  <c r="T40" i="5"/>
  <c r="H41" i="5"/>
  <c r="N41" i="5"/>
  <c r="T41" i="5"/>
  <c r="H42" i="5"/>
  <c r="N42" i="5"/>
  <c r="T42" i="5"/>
  <c r="P27" i="5" l="1"/>
  <c r="Q27" i="5" s="1"/>
  <c r="J28" i="5"/>
  <c r="D27" i="5"/>
  <c r="P28" i="5" l="1"/>
  <c r="J29" i="5"/>
  <c r="D28" i="5"/>
  <c r="H391" i="4"/>
  <c r="H392" i="4"/>
  <c r="H393" i="4"/>
  <c r="H394" i="4"/>
  <c r="H395" i="4"/>
  <c r="H396" i="4"/>
  <c r="H397" i="4"/>
  <c r="H374" i="4"/>
  <c r="H375" i="4"/>
  <c r="H376" i="4"/>
  <c r="H377" i="4"/>
  <c r="H378" i="4"/>
  <c r="H379" i="4"/>
  <c r="H30" i="4"/>
  <c r="H31" i="4"/>
  <c r="H32" i="4"/>
  <c r="H33" i="4"/>
  <c r="H34" i="4"/>
  <c r="H35" i="4"/>
  <c r="H36" i="4"/>
  <c r="H37" i="4"/>
  <c r="H38" i="4"/>
  <c r="H41" i="4"/>
  <c r="H42" i="4"/>
  <c r="H43" i="4"/>
  <c r="H44" i="4"/>
  <c r="H45" i="4"/>
  <c r="H46" i="4"/>
  <c r="H47" i="4"/>
  <c r="H50" i="4"/>
  <c r="H51" i="4"/>
  <c r="H52" i="4"/>
  <c r="H53" i="4"/>
  <c r="H54" i="4"/>
  <c r="H55" i="4"/>
  <c r="H56" i="4"/>
  <c r="H57" i="4"/>
  <c r="H58" i="4"/>
  <c r="H59" i="4"/>
  <c r="H60" i="4"/>
  <c r="H63" i="4"/>
  <c r="H64" i="4"/>
  <c r="H65" i="4"/>
  <c r="H66" i="4"/>
  <c r="H67" i="4"/>
  <c r="H68" i="4"/>
  <c r="H69" i="4"/>
  <c r="H70" i="4"/>
  <c r="H73" i="4"/>
  <c r="H74" i="4"/>
  <c r="H75" i="4"/>
  <c r="H76" i="4"/>
  <c r="H77" i="4"/>
  <c r="H78" i="4"/>
  <c r="H79" i="4"/>
  <c r="H82" i="4"/>
  <c r="H83" i="4"/>
  <c r="H84" i="4"/>
  <c r="H85" i="4"/>
  <c r="H86" i="4"/>
  <c r="H87" i="4"/>
  <c r="H88" i="4"/>
  <c r="H89" i="4"/>
  <c r="H90" i="4"/>
  <c r="H91" i="4"/>
  <c r="H92" i="4"/>
  <c r="H95" i="4"/>
  <c r="H96" i="4"/>
  <c r="H97" i="4"/>
  <c r="H98" i="4"/>
  <c r="H99" i="4"/>
  <c r="H100" i="4"/>
  <c r="H101" i="4"/>
  <c r="H102" i="4"/>
  <c r="H103" i="4"/>
  <c r="H104" i="4"/>
  <c r="H107" i="4"/>
  <c r="H108" i="4"/>
  <c r="H109" i="4"/>
  <c r="H110" i="4"/>
  <c r="H111" i="4"/>
  <c r="H112" i="4"/>
  <c r="H113" i="4"/>
  <c r="H114" i="4"/>
  <c r="H115" i="4"/>
  <c r="H116" i="4"/>
  <c r="H119" i="4"/>
  <c r="H120" i="4"/>
  <c r="H121" i="4"/>
  <c r="H122" i="4"/>
  <c r="H123" i="4"/>
  <c r="H124" i="4"/>
  <c r="H125" i="4"/>
  <c r="H126" i="4"/>
  <c r="H129" i="4"/>
  <c r="H130" i="4"/>
  <c r="H131" i="4"/>
  <c r="H132" i="4"/>
  <c r="H133" i="4"/>
  <c r="H134" i="4"/>
  <c r="H135" i="4"/>
  <c r="H136" i="4"/>
  <c r="H137" i="4"/>
  <c r="H138" i="4"/>
  <c r="H139" i="4"/>
  <c r="H140" i="4"/>
  <c r="H143" i="4"/>
  <c r="H144" i="4"/>
  <c r="H145" i="4"/>
  <c r="H146" i="4"/>
  <c r="H147" i="4"/>
  <c r="H148" i="4"/>
  <c r="H149" i="4"/>
  <c r="H152" i="4"/>
  <c r="H153" i="4"/>
  <c r="H154" i="4"/>
  <c r="H155" i="4"/>
  <c r="H156" i="4"/>
  <c r="H157" i="4"/>
  <c r="H160" i="4"/>
  <c r="H161" i="4"/>
  <c r="H162" i="4"/>
  <c r="H163" i="4"/>
  <c r="H164" i="4"/>
  <c r="H165" i="4"/>
  <c r="H166" i="4"/>
  <c r="H167" i="4"/>
  <c r="H168" i="4"/>
  <c r="H169" i="4"/>
  <c r="H170" i="4"/>
  <c r="H171" i="4"/>
  <c r="H172" i="4"/>
  <c r="H173" i="4"/>
  <c r="H174" i="4"/>
  <c r="H175" i="4"/>
  <c r="H176" i="4"/>
  <c r="H179" i="4"/>
  <c r="H180" i="4"/>
  <c r="H181" i="4"/>
  <c r="H182" i="4"/>
  <c r="H183" i="4"/>
  <c r="H184" i="4"/>
  <c r="H187" i="4"/>
  <c r="H188" i="4"/>
  <c r="H189" i="4"/>
  <c r="H190" i="4"/>
  <c r="H191" i="4"/>
  <c r="H192" i="4"/>
  <c r="H193" i="4"/>
  <c r="H194" i="4"/>
  <c r="H195" i="4"/>
  <c r="H196" i="4"/>
  <c r="H197" i="4"/>
  <c r="H198" i="4"/>
  <c r="H199" i="4"/>
  <c r="H200" i="4"/>
  <c r="H201" i="4"/>
  <c r="H202" i="4"/>
  <c r="H203" i="4"/>
  <c r="H204" i="4"/>
  <c r="H205" i="4"/>
  <c r="H206" i="4"/>
  <c r="H209" i="4"/>
  <c r="H210" i="4"/>
  <c r="H211" i="4"/>
  <c r="H212" i="4"/>
  <c r="H213" i="4"/>
  <c r="H214" i="4"/>
  <c r="H215" i="4"/>
  <c r="H216" i="4"/>
  <c r="H217" i="4"/>
  <c r="H218" i="4"/>
  <c r="H219" i="4"/>
  <c r="H220" i="4"/>
  <c r="H221" i="4"/>
  <c r="H222" i="4"/>
  <c r="H225" i="4"/>
  <c r="H226" i="4"/>
  <c r="H227" i="4"/>
  <c r="H228" i="4"/>
  <c r="H229" i="4"/>
  <c r="H230" i="4"/>
  <c r="H231" i="4"/>
  <c r="H232" i="4"/>
  <c r="H233" i="4"/>
  <c r="H236" i="4"/>
  <c r="H237" i="4"/>
  <c r="H238" i="4"/>
  <c r="H239" i="4"/>
  <c r="H240" i="4"/>
  <c r="H241" i="4"/>
  <c r="H242" i="4"/>
  <c r="H243" i="4"/>
  <c r="H244" i="4"/>
  <c r="H245" i="4"/>
  <c r="H246" i="4"/>
  <c r="H247" i="4"/>
  <c r="H248" i="4"/>
  <c r="H251" i="4"/>
  <c r="H252" i="4"/>
  <c r="H253" i="4"/>
  <c r="H254" i="4"/>
  <c r="H255" i="4"/>
  <c r="H256" i="4"/>
  <c r="H257" i="4"/>
  <c r="H258" i="4"/>
  <c r="H259" i="4"/>
  <c r="H260" i="4"/>
  <c r="H261" i="4"/>
  <c r="H264" i="4"/>
  <c r="H265" i="4"/>
  <c r="H266" i="4"/>
  <c r="H267" i="4"/>
  <c r="H268" i="4"/>
  <c r="H269" i="4"/>
  <c r="H270" i="4"/>
  <c r="H271" i="4"/>
  <c r="H272" i="4"/>
  <c r="H273" i="4"/>
  <c r="H276" i="4"/>
  <c r="H277" i="4"/>
  <c r="H278" i="4"/>
  <c r="H279" i="4"/>
  <c r="H280" i="4"/>
  <c r="H281" i="4"/>
  <c r="H282" i="4"/>
  <c r="H283" i="4"/>
  <c r="H286" i="4"/>
  <c r="H287" i="4"/>
  <c r="H288" i="4"/>
  <c r="H289" i="4"/>
  <c r="H290" i="4"/>
  <c r="H291" i="4"/>
  <c r="H292" i="4"/>
  <c r="H293" i="4"/>
  <c r="H296" i="4"/>
  <c r="H297" i="4"/>
  <c r="H298" i="4"/>
  <c r="H299" i="4"/>
  <c r="H300" i="4"/>
  <c r="H301" i="4"/>
  <c r="H302" i="4"/>
  <c r="H303" i="4"/>
  <c r="H304" i="4"/>
  <c r="H305" i="4"/>
  <c r="H308" i="4"/>
  <c r="H309" i="4"/>
  <c r="H310" i="4"/>
  <c r="H311" i="4"/>
  <c r="H312" i="4"/>
  <c r="H313" i="4"/>
  <c r="H314" i="4"/>
  <c r="H315" i="4"/>
  <c r="H318" i="4"/>
  <c r="H319" i="4"/>
  <c r="H320" i="4"/>
  <c r="H321" i="4"/>
  <c r="H322" i="4"/>
  <c r="H323" i="4"/>
  <c r="H324" i="4"/>
  <c r="H325" i="4"/>
  <c r="H326" i="4"/>
  <c r="H327" i="4"/>
  <c r="H328" i="4"/>
  <c r="H329" i="4"/>
  <c r="H332" i="4"/>
  <c r="H333" i="4"/>
  <c r="H334" i="4"/>
  <c r="H335" i="4"/>
  <c r="H336" i="4"/>
  <c r="H337" i="4"/>
  <c r="H338" i="4"/>
  <c r="H339" i="4"/>
  <c r="H340" i="4"/>
  <c r="H341" i="4"/>
  <c r="H342" i="4"/>
  <c r="H343" i="4"/>
  <c r="H344" i="4"/>
  <c r="H345" i="4"/>
  <c r="H346" i="4"/>
  <c r="H347" i="4"/>
  <c r="H348" i="4"/>
  <c r="H349" i="4"/>
  <c r="H350" i="4"/>
  <c r="H351" i="4"/>
  <c r="H352" i="4"/>
  <c r="H353" i="4"/>
  <c r="H354" i="4"/>
  <c r="H355" i="4"/>
  <c r="H358" i="4"/>
  <c r="H359" i="4"/>
  <c r="H360" i="4"/>
  <c r="H361" i="4"/>
  <c r="H362" i="4"/>
  <c r="H363" i="4"/>
  <c r="H364" i="4"/>
  <c r="H365" i="4"/>
  <c r="H366" i="4"/>
  <c r="H367" i="4"/>
  <c r="H368" i="4"/>
  <c r="H369" i="4"/>
  <c r="H370" i="4"/>
  <c r="H371" i="4"/>
  <c r="H382" i="4"/>
  <c r="H383" i="4"/>
  <c r="H384" i="4"/>
  <c r="H385" i="4"/>
  <c r="H386" i="4"/>
  <c r="H387" i="4"/>
  <c r="H388" i="4"/>
  <c r="H400" i="4"/>
  <c r="H401" i="4"/>
  <c r="H402" i="4"/>
  <c r="H403" i="4"/>
  <c r="H404" i="4"/>
  <c r="H405" i="4"/>
  <c r="H406" i="4"/>
  <c r="H407" i="4"/>
  <c r="H408" i="4"/>
  <c r="H409" i="4"/>
  <c r="H410" i="4"/>
  <c r="H411" i="4"/>
  <c r="H412" i="4"/>
  <c r="H413" i="4"/>
  <c r="H414" i="4"/>
  <c r="H417" i="4"/>
  <c r="H418" i="4"/>
  <c r="H419" i="4"/>
  <c r="H420" i="4"/>
  <c r="H421" i="4"/>
  <c r="H422" i="4"/>
  <c r="H423" i="4"/>
  <c r="H424" i="4"/>
  <c r="H425" i="4"/>
  <c r="H426" i="4"/>
  <c r="H427" i="4"/>
  <c r="H428" i="4"/>
  <c r="H431" i="4"/>
  <c r="H432" i="4"/>
  <c r="H433" i="4"/>
  <c r="H434" i="4"/>
  <c r="H435" i="4"/>
  <c r="H436" i="4"/>
  <c r="H437" i="4"/>
  <c r="H438" i="4"/>
  <c r="H439" i="4"/>
  <c r="H440" i="4"/>
  <c r="H441" i="4"/>
  <c r="H442" i="4"/>
  <c r="H445" i="4"/>
  <c r="H446" i="4"/>
  <c r="H447" i="4"/>
  <c r="H448" i="4"/>
  <c r="H449" i="4"/>
  <c r="H450" i="4"/>
  <c r="H451" i="4"/>
  <c r="H452" i="4"/>
  <c r="H453" i="4"/>
  <c r="H454" i="4"/>
  <c r="H455" i="4"/>
  <c r="H456" i="4"/>
  <c r="H457" i="4"/>
  <c r="H458" i="4"/>
  <c r="H459" i="4"/>
  <c r="H460" i="4"/>
  <c r="H461" i="4"/>
  <c r="H462" i="4"/>
  <c r="H463" i="4"/>
  <c r="H464" i="4"/>
  <c r="H465" i="4"/>
  <c r="H466" i="4"/>
  <c r="H469" i="4"/>
  <c r="H470" i="4"/>
  <c r="H471" i="4"/>
  <c r="H472" i="4"/>
  <c r="H473" i="4"/>
  <c r="H474" i="4"/>
  <c r="H475" i="4"/>
  <c r="H476" i="4"/>
  <c r="H477" i="4"/>
  <c r="H478" i="4"/>
  <c r="H479" i="4"/>
  <c r="H480" i="4"/>
  <c r="H483" i="4"/>
  <c r="H484" i="4"/>
  <c r="H485" i="4"/>
  <c r="H486" i="4"/>
  <c r="H487" i="4"/>
  <c r="H490" i="4"/>
  <c r="H491" i="4"/>
  <c r="H492" i="4"/>
  <c r="H493" i="4"/>
  <c r="H494" i="4"/>
  <c r="H495" i="4"/>
  <c r="H496" i="4"/>
  <c r="H497" i="4"/>
  <c r="H498" i="4"/>
  <c r="H501" i="4"/>
  <c r="H502" i="4"/>
  <c r="H503" i="4"/>
  <c r="H504" i="4"/>
  <c r="H505" i="4"/>
  <c r="H506" i="4"/>
  <c r="H507" i="4"/>
  <c r="H508" i="4"/>
  <c r="H509" i="4"/>
  <c r="H510" i="4"/>
  <c r="H511" i="4"/>
  <c r="H512" i="4"/>
  <c r="Q28" i="5" l="1"/>
  <c r="P29" i="5"/>
  <c r="D29" i="5"/>
  <c r="J30" i="5"/>
  <c r="B217" i="7"/>
  <c r="E216" i="7"/>
  <c r="D216" i="7"/>
  <c r="B206" i="7"/>
  <c r="E205" i="7"/>
  <c r="D205" i="7"/>
  <c r="B195" i="7"/>
  <c r="E194" i="7"/>
  <c r="D194" i="7"/>
  <c r="B184" i="7"/>
  <c r="E183" i="7"/>
  <c r="D183" i="7"/>
  <c r="E172" i="7"/>
  <c r="D172" i="7"/>
  <c r="B172" i="7"/>
  <c r="B162" i="7"/>
  <c r="E161" i="7"/>
  <c r="D161" i="7"/>
  <c r="B151" i="7"/>
  <c r="E150" i="7"/>
  <c r="D150" i="7"/>
  <c r="E139" i="7"/>
  <c r="D139" i="7"/>
  <c r="E128" i="7"/>
  <c r="D128" i="7"/>
  <c r="D117" i="7"/>
  <c r="E117" i="7"/>
  <c r="B140" i="7"/>
  <c r="B128" i="7"/>
  <c r="B129" i="7"/>
  <c r="C129" i="7"/>
  <c r="B131" i="7"/>
  <c r="B118" i="7"/>
  <c r="E183" i="8"/>
  <c r="D183" i="8"/>
  <c r="D149" i="8"/>
  <c r="E149" i="8"/>
  <c r="E115" i="8"/>
  <c r="D115" i="8"/>
  <c r="E81" i="8"/>
  <c r="D81" i="8"/>
  <c r="C184" i="7"/>
  <c r="B186" i="7"/>
  <c r="C151" i="7"/>
  <c r="B153" i="7"/>
  <c r="E47" i="8"/>
  <c r="D47" i="8"/>
  <c r="Q29" i="5" l="1"/>
  <c r="P30" i="5"/>
  <c r="J31" i="5"/>
  <c r="D30" i="5"/>
  <c r="D186" i="8"/>
  <c r="E188" i="8" s="1"/>
  <c r="D219" i="7"/>
  <c r="E219" i="7"/>
  <c r="P31" i="5" l="1"/>
  <c r="Q30" i="5"/>
  <c r="D31" i="5"/>
  <c r="J32" i="5"/>
  <c r="D139" i="1"/>
  <c r="G113" i="1" s="1"/>
  <c r="Q31" i="5" l="1"/>
  <c r="P32" i="5"/>
  <c r="D32" i="5"/>
  <c r="J33" i="5"/>
  <c r="C217" i="7"/>
  <c r="C206" i="7"/>
  <c r="C195" i="7"/>
  <c r="C173" i="7"/>
  <c r="C162" i="7"/>
  <c r="Q32" i="5" l="1"/>
  <c r="P33" i="5"/>
  <c r="J34" i="5"/>
  <c r="D33" i="5"/>
  <c r="D83" i="1"/>
  <c r="D82" i="1"/>
  <c r="Q33" i="5" l="1"/>
  <c r="P34" i="5"/>
  <c r="D34" i="5"/>
  <c r="J35" i="5"/>
  <c r="H45" i="1"/>
  <c r="H44" i="1"/>
  <c r="Q34" i="5" l="1"/>
  <c r="P35" i="5"/>
  <c r="J36" i="5"/>
  <c r="D35" i="5"/>
  <c r="D79" i="1"/>
  <c r="G90" i="4"/>
  <c r="G91" i="4"/>
  <c r="G92" i="4"/>
  <c r="P36" i="5" l="1"/>
  <c r="Q35" i="5"/>
  <c r="J37" i="5"/>
  <c r="D36" i="5"/>
  <c r="G48" i="11"/>
  <c r="G49" i="11"/>
  <c r="G51" i="11"/>
  <c r="Q36" i="5" l="1"/>
  <c r="P37" i="5"/>
  <c r="J38" i="5"/>
  <c r="D37" i="5"/>
  <c r="J501" i="4"/>
  <c r="J502" i="4"/>
  <c r="J503" i="4"/>
  <c r="J504" i="4"/>
  <c r="J505" i="4"/>
  <c r="J506" i="4"/>
  <c r="J507" i="4"/>
  <c r="J508" i="4"/>
  <c r="J509" i="4"/>
  <c r="J510" i="4"/>
  <c r="J511" i="4"/>
  <c r="J512" i="4"/>
  <c r="J490" i="4"/>
  <c r="J491" i="4"/>
  <c r="J492" i="4"/>
  <c r="J493" i="4"/>
  <c r="J494" i="4"/>
  <c r="J495" i="4"/>
  <c r="J496" i="4"/>
  <c r="J497" i="4"/>
  <c r="J498" i="4"/>
  <c r="J483" i="4"/>
  <c r="J469" i="4"/>
  <c r="J445" i="4"/>
  <c r="J431" i="4"/>
  <c r="J417" i="4"/>
  <c r="J418" i="4"/>
  <c r="J419" i="4"/>
  <c r="J420" i="4"/>
  <c r="J421" i="4"/>
  <c r="J422" i="4"/>
  <c r="J423" i="4"/>
  <c r="J424" i="4"/>
  <c r="J425" i="4"/>
  <c r="J426" i="4"/>
  <c r="J427" i="4"/>
  <c r="J428" i="4"/>
  <c r="J400" i="4"/>
  <c r="J401" i="4"/>
  <c r="J402" i="4"/>
  <c r="J403" i="4"/>
  <c r="J404" i="4"/>
  <c r="J405" i="4"/>
  <c r="J406" i="4"/>
  <c r="J407" i="4"/>
  <c r="J408" i="4"/>
  <c r="J409" i="4"/>
  <c r="J410" i="4"/>
  <c r="J411" i="4"/>
  <c r="J412" i="4"/>
  <c r="J413" i="4"/>
  <c r="J414" i="4"/>
  <c r="J391" i="4"/>
  <c r="J392" i="4"/>
  <c r="J393" i="4"/>
  <c r="J394" i="4"/>
  <c r="J395" i="4"/>
  <c r="J396" i="4"/>
  <c r="J397" i="4"/>
  <c r="J382" i="4"/>
  <c r="J383" i="4"/>
  <c r="J384" i="4"/>
  <c r="J385" i="4"/>
  <c r="J386" i="4"/>
  <c r="J387" i="4"/>
  <c r="J388" i="4"/>
  <c r="J374" i="4"/>
  <c r="J375" i="4"/>
  <c r="J376" i="4"/>
  <c r="J377" i="4"/>
  <c r="J378" i="4"/>
  <c r="J379" i="4"/>
  <c r="J358" i="4"/>
  <c r="J359" i="4"/>
  <c r="J360" i="4"/>
  <c r="J361" i="4"/>
  <c r="J362" i="4"/>
  <c r="J363" i="4"/>
  <c r="J364" i="4"/>
  <c r="J365" i="4"/>
  <c r="J366" i="4"/>
  <c r="J367" i="4"/>
  <c r="J368" i="4"/>
  <c r="J369" i="4"/>
  <c r="J370" i="4"/>
  <c r="J371" i="4"/>
  <c r="J332" i="4"/>
  <c r="J333" i="4"/>
  <c r="J334" i="4"/>
  <c r="J335" i="4"/>
  <c r="J336" i="4"/>
  <c r="J337" i="4"/>
  <c r="J338" i="4"/>
  <c r="J339" i="4"/>
  <c r="J340" i="4"/>
  <c r="J341" i="4"/>
  <c r="J342" i="4"/>
  <c r="J343" i="4"/>
  <c r="J344" i="4"/>
  <c r="J345" i="4"/>
  <c r="J346" i="4"/>
  <c r="J347" i="4"/>
  <c r="J348" i="4"/>
  <c r="J349" i="4"/>
  <c r="J350" i="4"/>
  <c r="J351" i="4"/>
  <c r="J352" i="4"/>
  <c r="J353" i="4"/>
  <c r="J354" i="4"/>
  <c r="J355" i="4"/>
  <c r="J318" i="4"/>
  <c r="J319" i="4"/>
  <c r="J320" i="4"/>
  <c r="J321" i="4"/>
  <c r="J322" i="4"/>
  <c r="J323" i="4"/>
  <c r="J324" i="4"/>
  <c r="J325" i="4"/>
  <c r="J326" i="4"/>
  <c r="J327" i="4"/>
  <c r="J328" i="4"/>
  <c r="J329" i="4"/>
  <c r="J308" i="4"/>
  <c r="J309" i="4"/>
  <c r="J310" i="4"/>
  <c r="J311" i="4"/>
  <c r="J312" i="4"/>
  <c r="J313" i="4"/>
  <c r="J314" i="4"/>
  <c r="J315" i="4"/>
  <c r="J296" i="4"/>
  <c r="J297" i="4"/>
  <c r="J298" i="4"/>
  <c r="J299" i="4"/>
  <c r="J300" i="4"/>
  <c r="J301" i="4"/>
  <c r="J302" i="4"/>
  <c r="J303" i="4"/>
  <c r="J304" i="4"/>
  <c r="J305" i="4"/>
  <c r="J276" i="4"/>
  <c r="J264" i="4"/>
  <c r="J265" i="4"/>
  <c r="J267" i="4"/>
  <c r="J268" i="4"/>
  <c r="J269" i="4"/>
  <c r="J270" i="4"/>
  <c r="J271" i="4"/>
  <c r="J272" i="4"/>
  <c r="J273" i="4"/>
  <c r="J251" i="4"/>
  <c r="J252" i="4"/>
  <c r="J253" i="4"/>
  <c r="J254" i="4"/>
  <c r="J255" i="4"/>
  <c r="J256" i="4"/>
  <c r="J257" i="4"/>
  <c r="J258" i="4"/>
  <c r="J259" i="4"/>
  <c r="J260" i="4"/>
  <c r="J261" i="4"/>
  <c r="J236" i="4"/>
  <c r="J237" i="4"/>
  <c r="J238" i="4"/>
  <c r="J239" i="4"/>
  <c r="J240" i="4"/>
  <c r="J241" i="4"/>
  <c r="J242" i="4"/>
  <c r="J243" i="4"/>
  <c r="J244" i="4"/>
  <c r="J245" i="4"/>
  <c r="J246" i="4"/>
  <c r="J247" i="4"/>
  <c r="J248" i="4"/>
  <c r="J225" i="4"/>
  <c r="J226" i="4"/>
  <c r="J227" i="4"/>
  <c r="J228" i="4"/>
  <c r="J229" i="4"/>
  <c r="J230" i="4"/>
  <c r="J231" i="4"/>
  <c r="J232" i="4"/>
  <c r="J233" i="4"/>
  <c r="J206" i="4"/>
  <c r="J179" i="4"/>
  <c r="J160" i="4"/>
  <c r="J153" i="4"/>
  <c r="J143" i="4"/>
  <c r="J144" i="4"/>
  <c r="J145" i="4"/>
  <c r="J146" i="4"/>
  <c r="J147" i="4"/>
  <c r="J148" i="4"/>
  <c r="J149" i="4"/>
  <c r="J129" i="4"/>
  <c r="J119" i="4"/>
  <c r="J82" i="4"/>
  <c r="J83" i="4"/>
  <c r="J84" i="4"/>
  <c r="J85" i="4"/>
  <c r="J86" i="4"/>
  <c r="J87" i="4"/>
  <c r="J88" i="4"/>
  <c r="J89" i="4"/>
  <c r="J90" i="4"/>
  <c r="J91" i="4"/>
  <c r="J92" i="4"/>
  <c r="J73" i="4"/>
  <c r="J74" i="4"/>
  <c r="J75" i="4"/>
  <c r="J76" i="4"/>
  <c r="J77" i="4"/>
  <c r="J78" i="4"/>
  <c r="J79" i="4"/>
  <c r="J66" i="4"/>
  <c r="J67" i="4"/>
  <c r="J68" i="4"/>
  <c r="J69" i="4"/>
  <c r="J70" i="4"/>
  <c r="J50" i="4"/>
  <c r="J51" i="4"/>
  <c r="J52" i="4"/>
  <c r="J53" i="4"/>
  <c r="J54" i="4"/>
  <c r="J55" i="4"/>
  <c r="J56" i="4"/>
  <c r="J57" i="4"/>
  <c r="J58" i="4"/>
  <c r="J59" i="4"/>
  <c r="J60" i="4"/>
  <c r="J41" i="4"/>
  <c r="J42" i="4"/>
  <c r="J43" i="4"/>
  <c r="J44" i="4"/>
  <c r="J45" i="4"/>
  <c r="J46" i="4"/>
  <c r="J47" i="4"/>
  <c r="J30" i="4"/>
  <c r="J31" i="4"/>
  <c r="J32" i="4"/>
  <c r="J33" i="4"/>
  <c r="J34" i="4"/>
  <c r="J35" i="4"/>
  <c r="J36" i="4"/>
  <c r="J37" i="4"/>
  <c r="J38" i="4"/>
  <c r="Q37" i="5" l="1"/>
  <c r="P38" i="5"/>
  <c r="D38" i="5"/>
  <c r="J39" i="5"/>
  <c r="J187" i="4"/>
  <c r="J64" i="4"/>
  <c r="J63" i="4"/>
  <c r="J65" i="4"/>
  <c r="J266" i="4"/>
  <c r="P39" i="5" l="1"/>
  <c r="Q38" i="5"/>
  <c r="J40" i="5"/>
  <c r="D39" i="5"/>
  <c r="C11" i="8"/>
  <c r="C10" i="8"/>
  <c r="C9" i="8"/>
  <c r="C8" i="8"/>
  <c r="C7" i="8"/>
  <c r="C5" i="8"/>
  <c r="G95" i="10"/>
  <c r="P40" i="5" l="1"/>
  <c r="Q39" i="5"/>
  <c r="D40" i="5"/>
  <c r="J41" i="5"/>
  <c r="Q68" i="5"/>
  <c r="O68" i="5"/>
  <c r="T68" i="5" s="1"/>
  <c r="N68" i="5"/>
  <c r="H68" i="5"/>
  <c r="B68" i="5"/>
  <c r="T67" i="5"/>
  <c r="P67" i="5"/>
  <c r="Q67" i="5" s="1"/>
  <c r="N67" i="5"/>
  <c r="J67" i="5"/>
  <c r="H67" i="5"/>
  <c r="D67" i="5"/>
  <c r="T66" i="5"/>
  <c r="P66" i="5"/>
  <c r="Q66" i="5" s="1"/>
  <c r="N66" i="5"/>
  <c r="J66" i="5"/>
  <c r="H66" i="5"/>
  <c r="D66" i="5"/>
  <c r="T65" i="5"/>
  <c r="P65" i="5"/>
  <c r="Q65" i="5" s="1"/>
  <c r="J65" i="5"/>
  <c r="N65" i="5"/>
  <c r="H65" i="5"/>
  <c r="D65" i="5"/>
  <c r="T64" i="5"/>
  <c r="P64" i="5"/>
  <c r="Q64" i="5" s="1"/>
  <c r="J64" i="5"/>
  <c r="N64" i="5"/>
  <c r="H64" i="5"/>
  <c r="D64" i="5"/>
  <c r="T63" i="5"/>
  <c r="P63" i="5"/>
  <c r="Q63" i="5" s="1"/>
  <c r="J63" i="5"/>
  <c r="N63" i="5"/>
  <c r="H63" i="5"/>
  <c r="D63" i="5"/>
  <c r="T62" i="5"/>
  <c r="P62" i="5"/>
  <c r="Q62" i="5" s="1"/>
  <c r="J62" i="5"/>
  <c r="N62" i="5"/>
  <c r="H62" i="5"/>
  <c r="D62" i="5"/>
  <c r="T61" i="5"/>
  <c r="P61" i="5"/>
  <c r="Q61" i="5" s="1"/>
  <c r="N61" i="5"/>
  <c r="J61" i="5"/>
  <c r="H61" i="5"/>
  <c r="D61" i="5"/>
  <c r="T60" i="5"/>
  <c r="P60" i="5"/>
  <c r="Q60" i="5" s="1"/>
  <c r="J60" i="5"/>
  <c r="N60" i="5"/>
  <c r="H60" i="5"/>
  <c r="D60" i="5"/>
  <c r="T59" i="5"/>
  <c r="P59" i="5"/>
  <c r="Q59" i="5" s="1"/>
  <c r="J59" i="5"/>
  <c r="N59" i="5"/>
  <c r="H59" i="5"/>
  <c r="D59" i="5"/>
  <c r="T58" i="5"/>
  <c r="P58" i="5"/>
  <c r="Q58" i="5" s="1"/>
  <c r="J58" i="5"/>
  <c r="N58" i="5"/>
  <c r="H58" i="5"/>
  <c r="D58" i="5"/>
  <c r="T57" i="5"/>
  <c r="P57" i="5"/>
  <c r="Q57" i="5" s="1"/>
  <c r="J57" i="5"/>
  <c r="N57" i="5"/>
  <c r="H57" i="5"/>
  <c r="D57" i="5"/>
  <c r="A57" i="5"/>
  <c r="T56" i="5"/>
  <c r="P56" i="5"/>
  <c r="Q56" i="5" s="1"/>
  <c r="J56" i="5"/>
  <c r="N56" i="5"/>
  <c r="H56" i="5"/>
  <c r="D56" i="5"/>
  <c r="A56" i="5"/>
  <c r="T55" i="5"/>
  <c r="P55" i="5"/>
  <c r="Q55" i="5" s="1"/>
  <c r="J55" i="5"/>
  <c r="N55" i="5"/>
  <c r="H55" i="5"/>
  <c r="D55" i="5"/>
  <c r="A55" i="5"/>
  <c r="T54" i="5"/>
  <c r="P54" i="5"/>
  <c r="Q54" i="5" s="1"/>
  <c r="J54" i="5"/>
  <c r="N54" i="5"/>
  <c r="H54" i="5"/>
  <c r="D54" i="5"/>
  <c r="A54" i="5"/>
  <c r="T53" i="5"/>
  <c r="P53" i="5"/>
  <c r="Q53" i="5" s="1"/>
  <c r="J53" i="5"/>
  <c r="N53" i="5"/>
  <c r="H53" i="5"/>
  <c r="D53" i="5"/>
  <c r="A53" i="5"/>
  <c r="T52" i="5"/>
  <c r="P52" i="5"/>
  <c r="Q52" i="5" s="1"/>
  <c r="J52" i="5"/>
  <c r="N52" i="5"/>
  <c r="H52" i="5"/>
  <c r="D52" i="5"/>
  <c r="A52" i="5"/>
  <c r="T51" i="5"/>
  <c r="N51" i="5"/>
  <c r="H51" i="5"/>
  <c r="A51" i="5"/>
  <c r="T50" i="5"/>
  <c r="N50" i="5"/>
  <c r="H50" i="5"/>
  <c r="A50" i="5"/>
  <c r="T49" i="5"/>
  <c r="N49" i="5"/>
  <c r="H49" i="5"/>
  <c r="A49" i="5"/>
  <c r="T48" i="5"/>
  <c r="N48" i="5"/>
  <c r="H48" i="5"/>
  <c r="A48" i="5"/>
  <c r="T47" i="5"/>
  <c r="H47" i="5"/>
  <c r="A47" i="5"/>
  <c r="T46" i="5"/>
  <c r="N46" i="5"/>
  <c r="H46" i="5"/>
  <c r="A46" i="5"/>
  <c r="T45" i="5"/>
  <c r="H45" i="5"/>
  <c r="A45" i="5"/>
  <c r="T44" i="5"/>
  <c r="N44" i="5"/>
  <c r="H44" i="5"/>
  <c r="A44" i="5"/>
  <c r="T43" i="5"/>
  <c r="N43" i="5"/>
  <c r="H43" i="5"/>
  <c r="A43" i="5"/>
  <c r="A42" i="5"/>
  <c r="A41" i="5"/>
  <c r="A40" i="5"/>
  <c r="A39" i="5"/>
  <c r="A38" i="5"/>
  <c r="A37" i="5"/>
  <c r="A36" i="5"/>
  <c r="A35" i="5"/>
  <c r="A34" i="5"/>
  <c r="A33" i="5"/>
  <c r="A32" i="5"/>
  <c r="A31" i="5"/>
  <c r="A30" i="5"/>
  <c r="A29" i="5"/>
  <c r="A28" i="5"/>
  <c r="A27" i="5"/>
  <c r="A26" i="5"/>
  <c r="A25" i="5"/>
  <c r="I20" i="5"/>
  <c r="P41" i="5" l="1"/>
  <c r="Q40" i="5"/>
  <c r="J42" i="5"/>
  <c r="D41" i="5"/>
  <c r="D68" i="5"/>
  <c r="E68" i="5" s="1"/>
  <c r="J68" i="5"/>
  <c r="N45" i="5"/>
  <c r="N47" i="5"/>
  <c r="P42" i="5" l="1"/>
  <c r="Q42" i="5" s="1"/>
  <c r="Q41" i="5"/>
  <c r="D42" i="5"/>
  <c r="D43" i="5"/>
  <c r="J43" i="5"/>
  <c r="P43" i="5" l="1"/>
  <c r="J44" i="5"/>
  <c r="D44" i="5"/>
  <c r="D45" i="5" l="1"/>
  <c r="J45" i="5"/>
  <c r="P44" i="5"/>
  <c r="P45" i="5" l="1"/>
  <c r="J46" i="5"/>
  <c r="D46" i="5"/>
  <c r="J47" i="5" l="1"/>
  <c r="D47" i="5"/>
  <c r="P46" i="5"/>
  <c r="P47" i="5" l="1"/>
  <c r="J48" i="5"/>
  <c r="D48" i="5"/>
  <c r="D49" i="5" l="1"/>
  <c r="J49" i="5"/>
  <c r="P48" i="5"/>
  <c r="P49" i="5" l="1"/>
  <c r="J50" i="5"/>
  <c r="D50" i="5"/>
  <c r="D51" i="5" l="1"/>
  <c r="P50" i="5"/>
  <c r="J51" i="5"/>
  <c r="P51" i="5" l="1"/>
  <c r="B8" i="4" l="1"/>
  <c r="B11" i="4"/>
  <c r="B10" i="4"/>
  <c r="B9" i="4"/>
  <c r="B7" i="4"/>
  <c r="B5" i="4"/>
  <c r="J57" i="13" l="1"/>
  <c r="E73" i="9" l="1"/>
  <c r="D73" i="9"/>
  <c r="F72" i="9"/>
  <c r="F71" i="9"/>
  <c r="F70" i="9"/>
  <c r="F69" i="9"/>
  <c r="F68" i="9"/>
  <c r="F67" i="9"/>
  <c r="F66" i="9"/>
  <c r="F65" i="9"/>
  <c r="F64" i="9"/>
  <c r="F63" i="9"/>
  <c r="F62" i="9"/>
  <c r="F61" i="9"/>
  <c r="F60" i="9"/>
  <c r="F59" i="9"/>
  <c r="F58" i="9"/>
  <c r="F57" i="9"/>
  <c r="F56" i="9"/>
  <c r="F55" i="9"/>
  <c r="F54" i="9"/>
  <c r="F53" i="9"/>
  <c r="F52" i="9"/>
  <c r="F51" i="9"/>
  <c r="F50" i="9"/>
  <c r="F49" i="9"/>
  <c r="F48" i="9"/>
  <c r="F47" i="9"/>
  <c r="F46" i="9"/>
  <c r="F45" i="9"/>
  <c r="F44" i="9"/>
  <c r="G44" i="9" s="1"/>
  <c r="G45" i="9" l="1"/>
  <c r="G46" i="9"/>
  <c r="G47" i="9"/>
  <c r="G48" i="9" s="1"/>
  <c r="F73" i="9"/>
  <c r="E75" i="9"/>
  <c r="G49" i="9" l="1"/>
  <c r="G50" i="9" s="1"/>
  <c r="G51" i="9" s="1"/>
  <c r="G52" i="9" s="1"/>
  <c r="G53" i="9" s="1"/>
  <c r="G54" i="9" s="1"/>
  <c r="G55" i="9" s="1"/>
  <c r="G56" i="9" s="1"/>
  <c r="B11" i="11"/>
  <c r="B10" i="11"/>
  <c r="B9" i="11"/>
  <c r="B8" i="11"/>
  <c r="B7" i="11"/>
  <c r="B5" i="11"/>
  <c r="H56" i="11"/>
  <c r="F56" i="11"/>
  <c r="E56" i="11"/>
  <c r="G55" i="11"/>
  <c r="G54" i="11"/>
  <c r="G53" i="11"/>
  <c r="G52" i="11"/>
  <c r="G50" i="11"/>
  <c r="G47" i="11"/>
  <c r="G46" i="11"/>
  <c r="G45" i="11"/>
  <c r="G44" i="11"/>
  <c r="G43" i="11"/>
  <c r="G42" i="11"/>
  <c r="G41" i="11"/>
  <c r="G40" i="11"/>
  <c r="G39" i="11"/>
  <c r="G38" i="11"/>
  <c r="G36" i="11"/>
  <c r="G35" i="11"/>
  <c r="G34" i="11"/>
  <c r="G33" i="11"/>
  <c r="G32" i="11"/>
  <c r="G31" i="11"/>
  <c r="G30" i="11"/>
  <c r="G73" i="9" l="1"/>
  <c r="G56" i="11"/>
  <c r="H8" i="1"/>
  <c r="H16" i="1" s="1"/>
  <c r="C11" i="9" l="1"/>
  <c r="C10" i="9"/>
  <c r="C9" i="9"/>
  <c r="C8" i="9"/>
  <c r="C7" i="9"/>
  <c r="C5" i="9"/>
  <c r="F95" i="10"/>
  <c r="E95" i="10"/>
  <c r="D95" i="10"/>
  <c r="C95" i="10"/>
  <c r="K32" i="10"/>
  <c r="K31" i="10"/>
  <c r="K29" i="10"/>
  <c r="F39" i="10" s="1"/>
  <c r="I26" i="10"/>
  <c r="K26" i="10" s="1"/>
  <c r="I25" i="10"/>
  <c r="J25" i="10" s="1"/>
  <c r="J24" i="10"/>
  <c r="I24" i="10"/>
  <c r="K24" i="10" s="1"/>
  <c r="I23" i="10"/>
  <c r="K23" i="10" s="1"/>
  <c r="I22" i="10"/>
  <c r="K22" i="10" s="1"/>
  <c r="I21" i="10"/>
  <c r="K21" i="10" s="1"/>
  <c r="I20" i="10"/>
  <c r="K20" i="10" s="1"/>
  <c r="I19" i="10"/>
  <c r="K19" i="10" s="1"/>
  <c r="I18" i="10"/>
  <c r="K18" i="10" s="1"/>
  <c r="I17" i="10"/>
  <c r="J17" i="10" s="1"/>
  <c r="I16" i="10"/>
  <c r="K16" i="10" s="1"/>
  <c r="I15" i="10"/>
  <c r="J15" i="10" s="1"/>
  <c r="I14" i="10"/>
  <c r="K14" i="10" s="1"/>
  <c r="I13" i="10"/>
  <c r="K13" i="10" s="1"/>
  <c r="I12" i="10"/>
  <c r="K12" i="10" s="1"/>
  <c r="I11" i="10"/>
  <c r="K11" i="10" s="1"/>
  <c r="I10" i="10"/>
  <c r="K10" i="10" s="1"/>
  <c r="I9" i="10"/>
  <c r="J9" i="10" s="1"/>
  <c r="I8" i="10"/>
  <c r="K8" i="10" s="1"/>
  <c r="I7" i="10"/>
  <c r="J7" i="10" s="1"/>
  <c r="E2" i="10"/>
  <c r="D39" i="9"/>
  <c r="B208" i="7"/>
  <c r="B197" i="7"/>
  <c r="B175" i="7"/>
  <c r="B173" i="7"/>
  <c r="B164" i="7"/>
  <c r="B142" i="7"/>
  <c r="B16" i="7"/>
  <c r="C11" i="7"/>
  <c r="C10" i="7"/>
  <c r="C9" i="7"/>
  <c r="C8" i="7"/>
  <c r="C7" i="7"/>
  <c r="C5" i="7"/>
  <c r="D17" i="5"/>
  <c r="C11" i="5"/>
  <c r="C10" i="5"/>
  <c r="C9" i="5"/>
  <c r="C8" i="5"/>
  <c r="C7" i="5"/>
  <c r="C5" i="5"/>
  <c r="F46" i="10" l="1"/>
  <c r="J16" i="10"/>
  <c r="J12" i="10"/>
  <c r="K17" i="10"/>
  <c r="J8" i="10"/>
  <c r="K9" i="10"/>
  <c r="J20" i="10"/>
  <c r="K25" i="10"/>
  <c r="J14" i="10"/>
  <c r="J23" i="10"/>
  <c r="K7" i="10"/>
  <c r="J10" i="10"/>
  <c r="K15" i="10"/>
  <c r="J18" i="10"/>
  <c r="J26" i="10"/>
  <c r="J13" i="10"/>
  <c r="J21" i="10"/>
  <c r="J11" i="10"/>
  <c r="J19" i="10"/>
  <c r="K28" i="10"/>
  <c r="J22" i="10"/>
  <c r="S69" i="5"/>
  <c r="R69" i="5"/>
  <c r="M69" i="5"/>
  <c r="M70" i="5" s="1"/>
  <c r="G69" i="5"/>
  <c r="G70" i="5" s="1"/>
  <c r="O69" i="5"/>
  <c r="I69" i="5"/>
  <c r="C69" i="5"/>
  <c r="E25" i="5" l="1"/>
  <c r="E26" i="5"/>
  <c r="E27" i="5"/>
  <c r="E28" i="5"/>
  <c r="E29" i="5"/>
  <c r="E30" i="5"/>
  <c r="E31" i="5"/>
  <c r="E32" i="5"/>
  <c r="E33" i="5"/>
  <c r="E34" i="5"/>
  <c r="E35" i="5"/>
  <c r="E36" i="5"/>
  <c r="E37" i="5"/>
  <c r="E38" i="5"/>
  <c r="E39" i="5"/>
  <c r="E40" i="5"/>
  <c r="E41" i="5"/>
  <c r="E42" i="5"/>
  <c r="K25" i="5"/>
  <c r="K26" i="5"/>
  <c r="K27" i="5"/>
  <c r="K28" i="5"/>
  <c r="K29" i="5"/>
  <c r="K30" i="5"/>
  <c r="K31" i="5"/>
  <c r="K32" i="5"/>
  <c r="K33" i="5"/>
  <c r="K34" i="5"/>
  <c r="K35" i="5"/>
  <c r="K36" i="5"/>
  <c r="K37" i="5"/>
  <c r="K38" i="5"/>
  <c r="K39" i="5"/>
  <c r="K40" i="5"/>
  <c r="K41" i="5"/>
  <c r="K42" i="5"/>
  <c r="E221" i="7"/>
  <c r="E60" i="5"/>
  <c r="E67" i="5"/>
  <c r="E63" i="5"/>
  <c r="E61" i="5"/>
  <c r="E57" i="5"/>
  <c r="E62" i="5"/>
  <c r="E54" i="5"/>
  <c r="E65" i="5"/>
  <c r="E55" i="5"/>
  <c r="E66" i="5"/>
  <c r="E52" i="5"/>
  <c r="E59" i="5"/>
  <c r="E58" i="5"/>
  <c r="E64" i="5"/>
  <c r="E56" i="5"/>
  <c r="E53" i="5"/>
  <c r="E43" i="5"/>
  <c r="E44" i="5"/>
  <c r="E45" i="5"/>
  <c r="E46" i="5"/>
  <c r="E47" i="5"/>
  <c r="E48" i="5"/>
  <c r="E49" i="5"/>
  <c r="E50" i="5"/>
  <c r="E51" i="5"/>
  <c r="K55" i="5"/>
  <c r="K58" i="5"/>
  <c r="K52" i="5"/>
  <c r="K65" i="5"/>
  <c r="K54" i="5"/>
  <c r="K61" i="5"/>
  <c r="K60" i="5"/>
  <c r="K59" i="5"/>
  <c r="K53" i="5"/>
  <c r="K68" i="5"/>
  <c r="K64" i="5"/>
  <c r="K56" i="5"/>
  <c r="K66" i="5"/>
  <c r="K57" i="5"/>
  <c r="K63" i="5"/>
  <c r="K67" i="5"/>
  <c r="K62" i="5"/>
  <c r="K43" i="5"/>
  <c r="K44" i="5"/>
  <c r="K45" i="5"/>
  <c r="K46" i="5"/>
  <c r="K47" i="5"/>
  <c r="K48" i="5"/>
  <c r="K49" i="5"/>
  <c r="K50" i="5"/>
  <c r="K51" i="5"/>
  <c r="D18" i="5"/>
  <c r="D19" i="5" s="1"/>
  <c r="H14" i="1"/>
  <c r="D15" i="5"/>
  <c r="H9" i="1"/>
  <c r="H10" i="1" s="1"/>
  <c r="H69" i="5"/>
  <c r="T69" i="5"/>
  <c r="K27" i="10"/>
  <c r="K30" i="10" s="1"/>
  <c r="F41" i="10"/>
  <c r="F43" i="10" s="1"/>
  <c r="N69" i="5"/>
  <c r="I513" i="4"/>
  <c r="F74" i="1" s="1"/>
  <c r="F513" i="4"/>
  <c r="E513" i="4"/>
  <c r="D74" i="1" s="1"/>
  <c r="I499" i="4"/>
  <c r="F73" i="1" s="1"/>
  <c r="F499" i="4"/>
  <c r="E499" i="4"/>
  <c r="D73" i="1" s="1"/>
  <c r="I488" i="4"/>
  <c r="F72" i="1" s="1"/>
  <c r="F488" i="4"/>
  <c r="E488" i="4"/>
  <c r="D72" i="1" s="1"/>
  <c r="J487" i="4"/>
  <c r="J486" i="4"/>
  <c r="J485" i="4"/>
  <c r="J484" i="4"/>
  <c r="I481" i="4"/>
  <c r="F71" i="1" s="1"/>
  <c r="F481" i="4"/>
  <c r="E481" i="4"/>
  <c r="D71" i="1" s="1"/>
  <c r="J480" i="4"/>
  <c r="J479" i="4"/>
  <c r="J478" i="4"/>
  <c r="J477" i="4"/>
  <c r="J476" i="4"/>
  <c r="J475" i="4"/>
  <c r="J474" i="4"/>
  <c r="J473" i="4"/>
  <c r="J472" i="4"/>
  <c r="J471" i="4"/>
  <c r="J470" i="4"/>
  <c r="I467" i="4"/>
  <c r="F70" i="1" s="1"/>
  <c r="F467" i="4"/>
  <c r="E467" i="4"/>
  <c r="D70" i="1" s="1"/>
  <c r="J466" i="4"/>
  <c r="J465" i="4"/>
  <c r="J464" i="4"/>
  <c r="J463" i="4"/>
  <c r="J462" i="4"/>
  <c r="J461" i="4"/>
  <c r="J460" i="4"/>
  <c r="J459" i="4"/>
  <c r="J458" i="4"/>
  <c r="J457" i="4"/>
  <c r="J456" i="4"/>
  <c r="J455" i="4"/>
  <c r="J454" i="4"/>
  <c r="J453" i="4"/>
  <c r="J452" i="4"/>
  <c r="J451" i="4"/>
  <c r="J450" i="4"/>
  <c r="J449" i="4"/>
  <c r="J448" i="4"/>
  <c r="J447" i="4"/>
  <c r="J446" i="4"/>
  <c r="I443" i="4"/>
  <c r="F69" i="1" s="1"/>
  <c r="F443" i="4"/>
  <c r="E443" i="4"/>
  <c r="D69" i="1" s="1"/>
  <c r="J442" i="4"/>
  <c r="J441" i="4"/>
  <c r="J440" i="4"/>
  <c r="J439" i="4"/>
  <c r="J438" i="4"/>
  <c r="J437" i="4"/>
  <c r="J436" i="4"/>
  <c r="J435" i="4"/>
  <c r="J434" i="4"/>
  <c r="J433" i="4"/>
  <c r="J432" i="4"/>
  <c r="I429" i="4"/>
  <c r="F68" i="1" s="1"/>
  <c r="F429" i="4"/>
  <c r="E429" i="4"/>
  <c r="D68" i="1" s="1"/>
  <c r="G429" i="4"/>
  <c r="I415" i="4"/>
  <c r="F67" i="1" s="1"/>
  <c r="F415" i="4"/>
  <c r="E415" i="4"/>
  <c r="D67" i="1" s="1"/>
  <c r="I398" i="4"/>
  <c r="F66" i="1" s="1"/>
  <c r="F398" i="4"/>
  <c r="E398" i="4"/>
  <c r="D66" i="1" s="1"/>
  <c r="I389" i="4"/>
  <c r="F65" i="1" s="1"/>
  <c r="F389" i="4"/>
  <c r="E389" i="4"/>
  <c r="D65" i="1" s="1"/>
  <c r="I380" i="4"/>
  <c r="F64" i="1" s="1"/>
  <c r="F380" i="4"/>
  <c r="E380" i="4"/>
  <c r="D64" i="1" s="1"/>
  <c r="I372" i="4"/>
  <c r="F63" i="1" s="1"/>
  <c r="F372" i="4"/>
  <c r="E372" i="4"/>
  <c r="D63" i="1" s="1"/>
  <c r="I356" i="4"/>
  <c r="F62" i="1" s="1"/>
  <c r="F356" i="4"/>
  <c r="E356" i="4"/>
  <c r="D62" i="1" s="1"/>
  <c r="I330" i="4"/>
  <c r="F330" i="4"/>
  <c r="E330" i="4"/>
  <c r="I316" i="4"/>
  <c r="F316" i="4"/>
  <c r="E316" i="4"/>
  <c r="I306" i="4"/>
  <c r="F306" i="4"/>
  <c r="E306" i="4"/>
  <c r="I294" i="4"/>
  <c r="F294" i="4"/>
  <c r="E294" i="4"/>
  <c r="J293" i="4"/>
  <c r="J292" i="4"/>
  <c r="J291" i="4"/>
  <c r="J290" i="4"/>
  <c r="J289" i="4"/>
  <c r="J288" i="4"/>
  <c r="J287" i="4"/>
  <c r="J286" i="4"/>
  <c r="I284" i="4"/>
  <c r="F284" i="4"/>
  <c r="E284" i="4"/>
  <c r="J283" i="4"/>
  <c r="J282" i="4"/>
  <c r="J281" i="4"/>
  <c r="J280" i="4"/>
  <c r="J279" i="4"/>
  <c r="J278" i="4"/>
  <c r="J277" i="4"/>
  <c r="I274" i="4"/>
  <c r="F274" i="4"/>
  <c r="E274" i="4"/>
  <c r="I262" i="4"/>
  <c r="F262" i="4"/>
  <c r="E262" i="4"/>
  <c r="G262" i="4"/>
  <c r="I249" i="4"/>
  <c r="F249" i="4"/>
  <c r="E249" i="4"/>
  <c r="I234" i="4"/>
  <c r="F58" i="1" s="1"/>
  <c r="F234" i="4"/>
  <c r="E234" i="4"/>
  <c r="D58" i="1" s="1"/>
  <c r="I223" i="4"/>
  <c r="F223" i="4"/>
  <c r="E223" i="4"/>
  <c r="J222" i="4"/>
  <c r="J221" i="4"/>
  <c r="J220" i="4"/>
  <c r="J219" i="4"/>
  <c r="J218" i="4"/>
  <c r="J217" i="4"/>
  <c r="J216" i="4"/>
  <c r="J215" i="4"/>
  <c r="J214" i="4"/>
  <c r="J213" i="4"/>
  <c r="J212" i="4"/>
  <c r="J211" i="4"/>
  <c r="J210" i="4"/>
  <c r="J209" i="4"/>
  <c r="F207" i="4"/>
  <c r="E207" i="4"/>
  <c r="J205" i="4"/>
  <c r="J204" i="4"/>
  <c r="J203" i="4"/>
  <c r="J202" i="4"/>
  <c r="J201" i="4"/>
  <c r="J200" i="4"/>
  <c r="J199" i="4"/>
  <c r="J198" i="4"/>
  <c r="J197" i="4"/>
  <c r="J196" i="4"/>
  <c r="J195" i="4"/>
  <c r="J194" i="4"/>
  <c r="J193" i="4"/>
  <c r="J192" i="4"/>
  <c r="J191" i="4"/>
  <c r="I185" i="4"/>
  <c r="F56" i="1" s="1"/>
  <c r="F185" i="4"/>
  <c r="E185" i="4"/>
  <c r="D56" i="1" s="1"/>
  <c r="J184" i="4"/>
  <c r="J183" i="4"/>
  <c r="J182" i="4"/>
  <c r="J181" i="4"/>
  <c r="J180" i="4"/>
  <c r="I177" i="4"/>
  <c r="F55" i="1" s="1"/>
  <c r="F177" i="4"/>
  <c r="E177" i="4"/>
  <c r="D55" i="1" s="1"/>
  <c r="G176" i="4"/>
  <c r="J176" i="4" s="1"/>
  <c r="J175" i="4"/>
  <c r="J174" i="4"/>
  <c r="J173" i="4"/>
  <c r="J172" i="4"/>
  <c r="J171" i="4"/>
  <c r="J170" i="4"/>
  <c r="J169" i="4"/>
  <c r="J168" i="4"/>
  <c r="J167" i="4"/>
  <c r="J166" i="4"/>
  <c r="J165" i="4"/>
  <c r="J164" i="4"/>
  <c r="J163" i="4"/>
  <c r="J162" i="4"/>
  <c r="J161" i="4"/>
  <c r="I158" i="4"/>
  <c r="F54" i="1" s="1"/>
  <c r="F158" i="4"/>
  <c r="E158" i="4"/>
  <c r="D54" i="1" s="1"/>
  <c r="J157" i="4"/>
  <c r="J156" i="4"/>
  <c r="J155" i="4"/>
  <c r="J154" i="4"/>
  <c r="J152" i="4"/>
  <c r="I150" i="4"/>
  <c r="F53" i="1" s="1"/>
  <c r="F150" i="4"/>
  <c r="E150" i="4"/>
  <c r="D53" i="1" s="1"/>
  <c r="I141" i="4"/>
  <c r="F52" i="1" s="1"/>
  <c r="F141" i="4"/>
  <c r="E141" i="4"/>
  <c r="D52" i="1" s="1"/>
  <c r="J140" i="4"/>
  <c r="J139" i="4"/>
  <c r="J138" i="4"/>
  <c r="J137" i="4"/>
  <c r="J136" i="4"/>
  <c r="J135" i="4"/>
  <c r="J134" i="4"/>
  <c r="J133" i="4"/>
  <c r="J132" i="4"/>
  <c r="J131" i="4"/>
  <c r="J130" i="4"/>
  <c r="I127" i="4"/>
  <c r="F127" i="4"/>
  <c r="E127" i="4"/>
  <c r="J126" i="4"/>
  <c r="J125" i="4"/>
  <c r="J124" i="4"/>
  <c r="J123" i="4"/>
  <c r="J122" i="4"/>
  <c r="J121" i="4"/>
  <c r="J120" i="4"/>
  <c r="I117" i="4"/>
  <c r="F117" i="4"/>
  <c r="E117" i="4"/>
  <c r="J116" i="4"/>
  <c r="J115" i="4"/>
  <c r="J114" i="4"/>
  <c r="J113" i="4"/>
  <c r="J112" i="4"/>
  <c r="J111" i="4"/>
  <c r="J110" i="4"/>
  <c r="J109" i="4"/>
  <c r="J108" i="4"/>
  <c r="J107" i="4"/>
  <c r="I105" i="4"/>
  <c r="F105" i="4"/>
  <c r="E105" i="4"/>
  <c r="J104" i="4"/>
  <c r="J103" i="4"/>
  <c r="J102" i="4"/>
  <c r="J101" i="4"/>
  <c r="J100" i="4"/>
  <c r="J99" i="4"/>
  <c r="J98" i="4"/>
  <c r="J97" i="4"/>
  <c r="J96" i="4"/>
  <c r="J95" i="4"/>
  <c r="I93" i="4"/>
  <c r="F93" i="4"/>
  <c r="E93" i="4"/>
  <c r="I80" i="4"/>
  <c r="F80" i="4"/>
  <c r="E80" i="4"/>
  <c r="I71" i="4"/>
  <c r="G71" i="4"/>
  <c r="F71" i="4"/>
  <c r="E71" i="4"/>
  <c r="I61" i="4"/>
  <c r="F61" i="4"/>
  <c r="E61" i="4"/>
  <c r="I48" i="4"/>
  <c r="F48" i="4"/>
  <c r="E48" i="4"/>
  <c r="I39" i="4"/>
  <c r="F49" i="1" s="1"/>
  <c r="G13" i="4"/>
  <c r="D21" i="5" s="1"/>
  <c r="J190" i="4" l="1"/>
  <c r="J188" i="4"/>
  <c r="J189" i="4"/>
  <c r="E223" i="7"/>
  <c r="C219" i="7"/>
  <c r="D59" i="1"/>
  <c r="F60" i="1"/>
  <c r="D57" i="1"/>
  <c r="F50" i="1"/>
  <c r="F59" i="1"/>
  <c r="F61" i="1"/>
  <c r="F51" i="1"/>
  <c r="D60" i="1"/>
  <c r="F11" i="4"/>
  <c r="D50" i="1"/>
  <c r="D51" i="1"/>
  <c r="D61" i="1"/>
  <c r="E11" i="4"/>
  <c r="J262" i="4"/>
  <c r="J150" i="4"/>
  <c r="F69" i="5"/>
  <c r="D20" i="5"/>
  <c r="L69" i="5"/>
  <c r="G141" i="4"/>
  <c r="G274" i="4"/>
  <c r="G61" i="4"/>
  <c r="G223" i="4"/>
  <c r="J294" i="4"/>
  <c r="J177" i="4"/>
  <c r="J80" i="4"/>
  <c r="J158" i="4"/>
  <c r="J249" i="4"/>
  <c r="G481" i="4"/>
  <c r="G48" i="4"/>
  <c r="H105" i="4"/>
  <c r="J127" i="4"/>
  <c r="H141" i="4"/>
  <c r="E52" i="1" s="1"/>
  <c r="H274" i="4"/>
  <c r="H330" i="4"/>
  <c r="H398" i="4"/>
  <c r="E66" i="1" s="1"/>
  <c r="J415" i="4"/>
  <c r="H429" i="4"/>
  <c r="E68" i="1" s="1"/>
  <c r="H127" i="4"/>
  <c r="G93" i="4"/>
  <c r="J274" i="4"/>
  <c r="G316" i="4"/>
  <c r="J330" i="4"/>
  <c r="G356" i="4"/>
  <c r="G380" i="4"/>
  <c r="J398" i="4"/>
  <c r="J429" i="4"/>
  <c r="J48" i="4"/>
  <c r="H262" i="4"/>
  <c r="J316" i="4"/>
  <c r="J380" i="4"/>
  <c r="H284" i="4"/>
  <c r="J105" i="4"/>
  <c r="G117" i="4"/>
  <c r="J117" i="4"/>
  <c r="G207" i="4"/>
  <c r="G234" i="4"/>
  <c r="F10" i="4"/>
  <c r="J356" i="4"/>
  <c r="J93" i="4"/>
  <c r="G158" i="4"/>
  <c r="J223" i="4"/>
  <c r="H234" i="4"/>
  <c r="E58" i="1" s="1"/>
  <c r="G284" i="4"/>
  <c r="G306" i="4"/>
  <c r="J389" i="4"/>
  <c r="G415" i="4"/>
  <c r="J71" i="4"/>
  <c r="J141" i="4"/>
  <c r="H93" i="4"/>
  <c r="G80" i="4"/>
  <c r="G127" i="4"/>
  <c r="J185" i="4"/>
  <c r="J234" i="4"/>
  <c r="G249" i="4"/>
  <c r="G372" i="4"/>
  <c r="E10" i="4"/>
  <c r="G177" i="4"/>
  <c r="G185" i="4"/>
  <c r="J284" i="4"/>
  <c r="J306" i="4"/>
  <c r="J372" i="4"/>
  <c r="G467" i="4"/>
  <c r="G488" i="4"/>
  <c r="G499" i="4"/>
  <c r="G513" i="4"/>
  <c r="J61" i="4"/>
  <c r="H48" i="4"/>
  <c r="H223" i="4"/>
  <c r="H389" i="4"/>
  <c r="E65" i="1" s="1"/>
  <c r="H117" i="4"/>
  <c r="H158" i="4"/>
  <c r="E54" i="1" s="1"/>
  <c r="H185" i="4"/>
  <c r="E56" i="1" s="1"/>
  <c r="H294" i="4"/>
  <c r="H356" i="4"/>
  <c r="E62" i="1" s="1"/>
  <c r="H71" i="4"/>
  <c r="H306" i="4"/>
  <c r="H488" i="4"/>
  <c r="E72" i="1" s="1"/>
  <c r="H61" i="4"/>
  <c r="H80" i="4"/>
  <c r="H249" i="4"/>
  <c r="H443" i="4"/>
  <c r="E69" i="1" s="1"/>
  <c r="J443" i="4"/>
  <c r="H150" i="4"/>
  <c r="E53" i="1" s="1"/>
  <c r="H207" i="4"/>
  <c r="G330" i="4"/>
  <c r="H415" i="4"/>
  <c r="E67" i="1" s="1"/>
  <c r="G389" i="4"/>
  <c r="H372" i="4"/>
  <c r="E63" i="1" s="1"/>
  <c r="H380" i="4"/>
  <c r="E64" i="1" s="1"/>
  <c r="G443" i="4"/>
  <c r="J488" i="4"/>
  <c r="G150" i="4"/>
  <c r="G294" i="4"/>
  <c r="G398" i="4"/>
  <c r="G105" i="4"/>
  <c r="H177" i="4"/>
  <c r="E55" i="1" s="1"/>
  <c r="H316" i="4"/>
  <c r="J207" i="4" l="1"/>
  <c r="I207" i="4"/>
  <c r="J499" i="4"/>
  <c r="E61" i="1"/>
  <c r="E60" i="1"/>
  <c r="H60" i="1" s="1"/>
  <c r="E59" i="1"/>
  <c r="E57" i="1"/>
  <c r="H57" i="1" s="1"/>
  <c r="E51" i="1"/>
  <c r="H51" i="1" s="1"/>
  <c r="E50" i="1"/>
  <c r="H50" i="1" s="1"/>
  <c r="H499" i="4"/>
  <c r="G11" i="4"/>
  <c r="H11" i="4" s="1"/>
  <c r="J513" i="4"/>
  <c r="G10" i="4"/>
  <c r="H10" i="4" s="1"/>
  <c r="H513" i="4"/>
  <c r="E74" i="1" s="1"/>
  <c r="H74" i="1" s="1"/>
  <c r="H481" i="4"/>
  <c r="E71" i="1" s="1"/>
  <c r="H71" i="1" s="1"/>
  <c r="J481" i="4"/>
  <c r="H467" i="4"/>
  <c r="E70" i="1" s="1"/>
  <c r="H70" i="1" s="1"/>
  <c r="J467" i="4"/>
  <c r="C153" i="1"/>
  <c r="C152" i="1"/>
  <c r="C151" i="1"/>
  <c r="C150" i="1"/>
  <c r="C149" i="1"/>
  <c r="C148" i="1"/>
  <c r="C147" i="1"/>
  <c r="C146" i="1"/>
  <c r="C145" i="1"/>
  <c r="C144" i="1"/>
  <c r="C143" i="1"/>
  <c r="F139" i="1"/>
  <c r="E139" i="1"/>
  <c r="H12" i="1"/>
  <c r="F114" i="1"/>
  <c r="E114" i="1"/>
  <c r="G114" i="1"/>
  <c r="D113" i="1"/>
  <c r="D114" i="1" s="1"/>
  <c r="H112" i="1"/>
  <c r="H111" i="1"/>
  <c r="H106" i="1"/>
  <c r="H105" i="1"/>
  <c r="G103" i="1"/>
  <c r="F103" i="1"/>
  <c r="E103" i="1"/>
  <c r="D103" i="1"/>
  <c r="H102" i="1"/>
  <c r="H101" i="1"/>
  <c r="H100" i="1"/>
  <c r="G97" i="1"/>
  <c r="F97" i="1"/>
  <c r="E97" i="1"/>
  <c r="D97" i="1"/>
  <c r="H96" i="1"/>
  <c r="H95" i="1"/>
  <c r="H94" i="1"/>
  <c r="H93" i="1"/>
  <c r="H92" i="1"/>
  <c r="H91" i="1"/>
  <c r="H90" i="1"/>
  <c r="H83" i="1"/>
  <c r="H82" i="1"/>
  <c r="H79" i="1"/>
  <c r="H73" i="1"/>
  <c r="H75" i="1"/>
  <c r="H72" i="1"/>
  <c r="H69" i="1"/>
  <c r="H68" i="1"/>
  <c r="H67" i="1"/>
  <c r="H66" i="1"/>
  <c r="H65" i="1"/>
  <c r="H64" i="1"/>
  <c r="H63" i="1"/>
  <c r="H62" i="1"/>
  <c r="H61" i="1"/>
  <c r="H59" i="1"/>
  <c r="H58" i="1"/>
  <c r="H56" i="1"/>
  <c r="H55" i="1"/>
  <c r="H54" i="1"/>
  <c r="H53" i="1"/>
  <c r="H52" i="1"/>
  <c r="G46" i="1"/>
  <c r="F46" i="1"/>
  <c r="E46" i="1"/>
  <c r="D46" i="1"/>
  <c r="H43" i="1"/>
  <c r="H42" i="1"/>
  <c r="H41" i="1"/>
  <c r="H40" i="1"/>
  <c r="H39" i="1"/>
  <c r="H38" i="1"/>
  <c r="H37" i="1"/>
  <c r="H36" i="1"/>
  <c r="H35" i="1"/>
  <c r="H34" i="1"/>
  <c r="H33" i="1"/>
  <c r="H32" i="1"/>
  <c r="H31" i="1"/>
  <c r="H30" i="1"/>
  <c r="H29" i="1"/>
  <c r="G26" i="1"/>
  <c r="F26" i="1"/>
  <c r="E26" i="1"/>
  <c r="D26" i="1"/>
  <c r="H25" i="1"/>
  <c r="H24" i="1"/>
  <c r="H23" i="1"/>
  <c r="H22" i="1"/>
  <c r="C4" i="1"/>
  <c r="F57" i="1" l="1"/>
  <c r="F76" i="1" s="1"/>
  <c r="I516" i="4"/>
  <c r="E73" i="1"/>
  <c r="D144" i="1"/>
  <c r="D146" i="1"/>
  <c r="H26" i="1"/>
  <c r="D147" i="1"/>
  <c r="D143" i="1"/>
  <c r="D148" i="1"/>
  <c r="H103" i="1"/>
  <c r="H97" i="1"/>
  <c r="H46" i="1"/>
  <c r="H113" i="1"/>
  <c r="H114" i="1" s="1"/>
  <c r="D151" i="1"/>
  <c r="D149" i="1"/>
  <c r="D152" i="1"/>
  <c r="D150" i="1"/>
  <c r="D145" i="1"/>
  <c r="D153" i="1"/>
  <c r="F87" i="1" l="1"/>
  <c r="Q43" i="5"/>
  <c r="Q44" i="5"/>
  <c r="Q45" i="5"/>
  <c r="Q46" i="5"/>
  <c r="Q47" i="5"/>
  <c r="Q48" i="5"/>
  <c r="Q49" i="5"/>
  <c r="Q50" i="5"/>
  <c r="Q51" i="5"/>
  <c r="F108" i="1" l="1"/>
  <c r="F116" i="1" s="1"/>
  <c r="E39" i="4"/>
  <c r="E516" i="4" s="1"/>
  <c r="F39" i="4"/>
  <c r="F9" i="4" s="1"/>
  <c r="F12" i="4" s="1"/>
  <c r="H39" i="4"/>
  <c r="G39" i="4"/>
  <c r="G9" i="4" s="1"/>
  <c r="H9" i="4" s="1"/>
  <c r="F516" i="4" l="1"/>
  <c r="J39" i="4"/>
  <c r="J516" i="4" s="1"/>
  <c r="E9" i="4"/>
  <c r="E12" i="4" s="1"/>
  <c r="D49" i="1"/>
  <c r="H516" i="4"/>
  <c r="E49" i="1"/>
  <c r="G516" i="4"/>
  <c r="G12" i="4"/>
  <c r="H12" i="4" s="1"/>
  <c r="E76" i="1" l="1"/>
  <c r="G76" i="1"/>
  <c r="D76" i="1"/>
  <c r="D80" i="1"/>
  <c r="E87" i="1" l="1"/>
  <c r="H49" i="1"/>
  <c r="H76" i="1" s="1"/>
  <c r="G87" i="1"/>
  <c r="G108" i="1"/>
  <c r="G116" i="1" s="1"/>
  <c r="H80" i="1"/>
  <c r="D81" i="1"/>
  <c r="H81" i="1" s="1"/>
  <c r="H85" i="1" l="1"/>
  <c r="H87" i="1" s="1"/>
  <c r="D85" i="1"/>
  <c r="E108" i="1"/>
  <c r="E116" i="1" s="1"/>
  <c r="D14" i="5" s="1"/>
  <c r="D16" i="5" s="1"/>
  <c r="H11" i="1"/>
  <c r="H13" i="1" s="1"/>
  <c r="E152" i="1"/>
  <c r="E150" i="1"/>
  <c r="E148" i="1"/>
  <c r="E151" i="1"/>
  <c r="E146" i="1"/>
  <c r="E149" i="1"/>
  <c r="E147" i="1"/>
  <c r="E145" i="1"/>
  <c r="E153" i="1"/>
  <c r="E143" i="1"/>
  <c r="E144" i="1"/>
  <c r="E186" i="8"/>
  <c r="E190" i="8" s="1"/>
  <c r="H108" i="1" l="1"/>
  <c r="D108" i="1"/>
  <c r="D116" i="1" s="1"/>
  <c r="H116" i="1" s="1"/>
  <c r="D8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Park, James</author>
    <author>Zalewski, Robert</author>
    <author>Ding, Long [C]</author>
    <author>AWD</author>
  </authors>
  <commentList>
    <comment ref="E3" authorId="0" shapeId="0" xr:uid="{85360CDA-06DB-4ED1-A66F-A6A426DFF76B}">
      <text>
        <r>
          <rPr>
            <b/>
            <sz val="9"/>
            <color indexed="81"/>
            <rFont val="Tahoma"/>
            <family val="2"/>
          </rPr>
          <t>Please add additional CAR Numbers if any</t>
        </r>
      </text>
    </comment>
    <comment ref="B15" authorId="0" shapeId="0" xr:uid="{3EE9149F-AEB6-40A3-B285-17EAAB476BFA}">
      <text>
        <r>
          <rPr>
            <b/>
            <sz val="9"/>
            <color indexed="81"/>
            <rFont val="Tahoma"/>
            <family val="2"/>
          </rPr>
          <t>To enter multiple CAR No's, please separate them by comma. 
For example) CAR1, CAR2, CAR3</t>
        </r>
      </text>
    </comment>
    <comment ref="C17" authorId="1" shapeId="0" xr:uid="{9490D86C-77E4-4EBC-8130-6ABCF765FE0C}">
      <text>
        <r>
          <rPr>
            <b/>
            <sz val="9"/>
            <color indexed="81"/>
            <rFont val="Tahoma"/>
            <family val="2"/>
          </rPr>
          <t>Indicates Reported Currency</t>
        </r>
      </text>
    </comment>
    <comment ref="D73" authorId="2" shapeId="0" xr:uid="{E666F895-2B03-46AC-BA4E-10488127090D}">
      <text>
        <r>
          <rPr>
            <b/>
            <sz val="9"/>
            <color indexed="81"/>
            <rFont val="Tahoma"/>
            <family val="2"/>
          </rPr>
          <t>Auto Populated from 'Subcontractor Breakdown' Tab</t>
        </r>
      </text>
    </comment>
    <comment ref="D79" authorId="2" shapeId="0" xr:uid="{7E2BD111-B881-4750-89B6-5776C95088B8}">
      <text>
        <r>
          <rPr>
            <b/>
            <sz val="9"/>
            <color indexed="81"/>
            <rFont val="Tahoma"/>
            <family val="2"/>
          </rPr>
          <t>Auto Populated from 'Tenant Contingency' Tab</t>
        </r>
      </text>
    </comment>
    <comment ref="D80" authorId="2" shapeId="0" xr:uid="{CB0CE452-3EC1-4A66-9707-3E6B21163041}">
      <text>
        <r>
          <rPr>
            <b/>
            <sz val="9"/>
            <color indexed="81"/>
            <rFont val="Tahoma"/>
            <family val="2"/>
          </rPr>
          <t>Auto Populated from 'Developer Contingency' Tab</t>
        </r>
      </text>
    </comment>
    <comment ref="D81" authorId="2" shapeId="0" xr:uid="{ECAEF82D-58AC-465B-9458-A926D732B481}">
      <text>
        <r>
          <rPr>
            <b/>
            <sz val="9"/>
            <color indexed="81"/>
            <rFont val="Tahoma"/>
            <family val="2"/>
          </rPr>
          <t>Auto Populated from 'Developer Contingency' Tab</t>
        </r>
        <r>
          <rPr>
            <sz val="9"/>
            <color indexed="81"/>
            <rFont val="Tahoma"/>
            <family val="2"/>
          </rPr>
          <t xml:space="preserve">
</t>
        </r>
      </text>
    </comment>
    <comment ref="D82" authorId="2" shapeId="0" xr:uid="{7C10900B-83DB-43EA-ABC0-F68BF5B2DEB8}">
      <text>
        <r>
          <rPr>
            <b/>
            <sz val="9"/>
            <color indexed="81"/>
            <rFont val="Tahoma"/>
            <family val="2"/>
          </rPr>
          <t>Auto Populated from 'Developer Contingency' Tab</t>
        </r>
        <r>
          <rPr>
            <sz val="9"/>
            <color indexed="81"/>
            <rFont val="Tahoma"/>
            <family val="2"/>
          </rPr>
          <t xml:space="preserve">
</t>
        </r>
      </text>
    </comment>
    <comment ref="D83" authorId="2" shapeId="0" xr:uid="{8BB54037-CA7C-4C7E-ABDC-201FF7B0BEA2}">
      <text>
        <r>
          <rPr>
            <b/>
            <sz val="9"/>
            <color indexed="81"/>
            <rFont val="Tahoma"/>
            <family val="2"/>
          </rPr>
          <t>Auto Populated from 'Developer Contingency' Tab</t>
        </r>
        <r>
          <rPr>
            <sz val="9"/>
            <color indexed="81"/>
            <rFont val="Tahoma"/>
            <family val="2"/>
          </rPr>
          <t xml:space="preserve">
</t>
        </r>
      </text>
    </comment>
    <comment ref="D106" authorId="1" shapeId="0" xr:uid="{E54B4316-7122-4F8A-BBBB-F3F728B5396D}">
      <text>
        <r>
          <rPr>
            <sz val="12"/>
            <color indexed="81"/>
            <rFont val="Tahoma"/>
            <family val="2"/>
          </rPr>
          <t>Amount reported in this cell should not be reported on Subcontractor Breakdown to prevent duplication</t>
        </r>
      </text>
    </comment>
    <comment ref="E106" authorId="1" shapeId="0" xr:uid="{A4914C36-EB40-4818-A9B1-3762F7B73DCA}">
      <text>
        <r>
          <rPr>
            <sz val="12"/>
            <color indexed="81"/>
            <rFont val="Tahoma"/>
            <family val="2"/>
          </rPr>
          <t>Amount reported in this cell should not be reported on Subcontractor Breakdown to prevent duplication</t>
        </r>
      </text>
    </comment>
    <comment ref="F106" authorId="1" shapeId="0" xr:uid="{6316B250-73AA-4913-BC8D-283F7439554D}">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G106" authorId="1" shapeId="0" xr:uid="{5ECAA6A2-3FC0-41E8-A473-DD9BC29A70AF}">
      <text>
        <r>
          <rPr>
            <sz val="12"/>
            <color indexed="81"/>
            <rFont val="Tahoma"/>
            <family val="2"/>
          </rPr>
          <t>Amount reported in this cell should not be reported on Subcontractor Breakdown to prevent duplication</t>
        </r>
        <r>
          <rPr>
            <sz val="9"/>
            <color indexed="81"/>
            <rFont val="Tahoma"/>
            <family val="2"/>
          </rPr>
          <t xml:space="preserve">
</t>
        </r>
      </text>
    </comment>
    <comment ref="D113" authorId="3" shapeId="0" xr:uid="{518F0853-BBC1-47C3-A6DA-4D4EE79797B3}">
      <text>
        <r>
          <rPr>
            <b/>
            <sz val="10"/>
            <color rgb="FF000000"/>
            <rFont val="Tahoma"/>
            <family val="2"/>
          </rPr>
          <t>APPROVED SUPPLEMENTALS:</t>
        </r>
        <r>
          <rPr>
            <sz val="10"/>
            <color rgb="FF000000"/>
            <rFont val="Tahoma"/>
            <family val="2"/>
          </rPr>
          <t xml:space="preserve">
NOTE - populated from cell H7 above.</t>
        </r>
      </text>
    </comment>
    <comment ref="G113" authorId="3" shapeId="0" xr:uid="{C4919488-062F-43B4-90A6-E29C8E086FA4}">
      <text>
        <r>
          <rPr>
            <b/>
            <u/>
            <sz val="11"/>
            <color rgb="FF000000"/>
            <rFont val="Calibri"/>
            <family val="2"/>
          </rPr>
          <t xml:space="preserve">MANAGER'S ADJUSTMENT/ESTIMATED CO's:
</t>
        </r>
        <r>
          <rPr>
            <sz val="10"/>
            <color rgb="FF000000"/>
            <rFont val="Calibri"/>
            <family val="2"/>
          </rPr>
          <t>NOTE:  THIS IS AUTO-POPULATED FROM SUBTOTAL BELOW CHANGE ORDER TRACKING LOG (default D136).</t>
        </r>
        <r>
          <rPr>
            <sz val="11"/>
            <color rgb="FF000000"/>
            <rFont val="Calibri"/>
            <family val="2"/>
          </rPr>
          <t xml:space="preserve">
This line is to be utilized by the CM/RCM to make adjustments.    </t>
        </r>
      </text>
    </comment>
    <comment ref="E120" authorId="1" shapeId="0" xr:uid="{63FA6BFE-BB3C-451D-934A-367247587C12}">
      <text>
        <r>
          <rPr>
            <sz val="12"/>
            <color indexed="81"/>
            <rFont val="Tahoma"/>
            <family val="2"/>
          </rPr>
          <t>Currency entry only in this column. Do not enter $0, keep cell blank unless there's actual $ value.</t>
        </r>
      </text>
    </comment>
    <comment ref="F120" authorId="1" shapeId="0" xr:uid="{2777EB55-E0AF-4758-BFBC-4601FC2C7349}">
      <text>
        <r>
          <rPr>
            <sz val="12"/>
            <color indexed="81"/>
            <rFont val="Tahoma"/>
            <family val="2"/>
          </rPr>
          <t>Currency entry only in this column. Do not enter $0, keep cell blank unless there's actual $ value.</t>
        </r>
      </text>
    </comment>
    <comment ref="B135" authorId="2" shapeId="0" xr:uid="{F3EDE376-B2B7-451A-94D3-3EFE8501436B}">
      <text>
        <r>
          <rPr>
            <b/>
            <sz val="9"/>
            <color indexed="81"/>
            <rFont val="Tahoma"/>
            <family val="2"/>
          </rPr>
          <t>Click this button to add more rows. Default rows are from row 116 to row 136</t>
        </r>
        <r>
          <rPr>
            <sz val="9"/>
            <color indexed="81"/>
            <rFont val="Tahoma"/>
            <family val="2"/>
          </rPr>
          <t xml:space="preserve">
</t>
        </r>
      </text>
    </comment>
    <comment ref="C135" authorId="2" shapeId="0" xr:uid="{DAF593C9-FB40-450F-99D0-26E7520B8C9E}">
      <text>
        <r>
          <rPr>
            <b/>
            <sz val="9"/>
            <color indexed="81"/>
            <rFont val="Tahoma"/>
            <family val="2"/>
          </rPr>
          <t>Click this button to delete more rows. Default rows are from row 116 to row 136</t>
        </r>
      </text>
    </comment>
    <comment ref="D135" authorId="2" shapeId="0" xr:uid="{BA9D7952-4329-4306-9FF5-45218C7D9707}">
      <text>
        <r>
          <rPr>
            <b/>
            <sz val="9"/>
            <color indexed="81"/>
            <rFont val="Tahoma"/>
            <family val="2"/>
          </rPr>
          <t>Click this button to reset the table to the original format (row116 to row136 only).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Park, James</author>
  </authors>
  <commentList>
    <comment ref="E13" authorId="0" shapeId="0" xr:uid="{BE79DDC6-52D2-46E3-AF08-B8F82AADE4CF}">
      <text>
        <r>
          <rPr>
            <b/>
            <sz val="9"/>
            <color indexed="81"/>
            <rFont val="Tahoma"/>
            <family val="2"/>
          </rPr>
          <t>Number of days into the project</t>
        </r>
        <r>
          <rPr>
            <sz val="9"/>
            <color indexed="81"/>
            <rFont val="Tahoma"/>
            <family val="2"/>
          </rPr>
          <t xml:space="preserve">
</t>
        </r>
      </text>
    </comment>
    <comment ref="F13" authorId="0" shapeId="0" xr:uid="{7932637F-2092-447D-8AFD-DAF8D098FD13}">
      <text>
        <r>
          <rPr>
            <b/>
            <sz val="9"/>
            <color indexed="81"/>
            <rFont val="Tahoma"/>
            <family val="2"/>
          </rPr>
          <t>Total Number of Days projected in the current project schedule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Brown, Jeremy</author>
    <author>Park, James</author>
    <author>Zalewski, Robert</author>
    <author>Ding, Long [C]</author>
  </authors>
  <commentList>
    <comment ref="I20" authorId="0" shapeId="0" xr:uid="{F6B312BC-8F38-4A5D-B08C-56E15F0C55AD}">
      <text>
        <r>
          <rPr>
            <b/>
            <sz val="9"/>
            <color indexed="81"/>
            <rFont val="Tahoma"/>
            <family val="2"/>
          </rPr>
          <t>ECAC (Column G) From GMP-PO Breakdown Tab</t>
        </r>
      </text>
    </comment>
    <comment ref="B24" authorId="0" shapeId="0" xr:uid="{A40063F2-1142-48E7-8010-98039DEF3BAE}">
      <text>
        <r>
          <rPr>
            <b/>
            <sz val="9"/>
            <color indexed="81"/>
            <rFont val="Tahoma"/>
            <family val="2"/>
          </rPr>
          <t>Date is required for all entered data. 
Data entered below a blank line will not be saved.</t>
        </r>
      </text>
    </comment>
    <comment ref="G24" authorId="1" shapeId="0" xr:uid="{BCDD3C02-1824-41DC-97E5-57EDFA2A112F}">
      <text>
        <r>
          <rPr>
            <b/>
            <sz val="9"/>
            <color indexed="81"/>
            <rFont val="Tahoma"/>
            <family val="2"/>
          </rPr>
          <t>Total (G69) should be $0.</t>
        </r>
      </text>
    </comment>
    <comment ref="I24" authorId="2" shapeId="0" xr:uid="{672DBF06-8AB4-4780-A89B-64FF80E86054}">
      <text>
        <r>
          <rPr>
            <sz val="12"/>
            <color indexed="81"/>
            <rFont val="Tahoma"/>
            <family val="2"/>
          </rPr>
          <t xml:space="preserve">Required update in case monthly Actual Billings do not match Initial Projected Billings. Provide revised forecast through last month. Total should match total estimated cost at completion.
</t>
        </r>
        <r>
          <rPr>
            <b/>
            <sz val="12"/>
            <color indexed="81"/>
            <rFont val="Tahoma"/>
            <family val="2"/>
          </rPr>
          <t>DO NOT CHANGE PRIOR MONTHS OF DATA</t>
        </r>
      </text>
    </comment>
    <comment ref="M24" authorId="1" shapeId="0" xr:uid="{399533DC-1D6C-48E7-BE57-08677038DB99}">
      <text>
        <r>
          <rPr>
            <b/>
            <sz val="9"/>
            <color indexed="81"/>
            <rFont val="Tahoma"/>
            <family val="2"/>
          </rPr>
          <t>Total (M69) should be $0.</t>
        </r>
      </text>
    </comment>
    <comment ref="I69" authorId="3" shapeId="0" xr:uid="{CA37B515-AE11-49DB-AE17-FC3A00321637}">
      <text>
        <r>
          <rPr>
            <b/>
            <sz val="9"/>
            <color indexed="81"/>
            <rFont val="Tahoma"/>
            <family val="2"/>
          </rPr>
          <t>Total Revised Projected Billings (Cell I 69) should equal the Estimated Cost at Completion less any estimated increases or Manager’s adjustments (Gross amounts including retainage)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118" authorId="0" shapeId="0" xr:uid="{B2F6964C-821F-4530-A5FE-8F26139A966B}">
      <text>
        <r>
          <rPr>
            <b/>
            <sz val="9"/>
            <color indexed="81"/>
            <rFont val="Tahoma"/>
            <family val="2"/>
          </rPr>
          <t>Refer to DA to find this Tenant Contingency Allowance</t>
        </r>
        <r>
          <rPr>
            <sz val="9"/>
            <color indexed="81"/>
            <rFont val="Tahoma"/>
            <family val="2"/>
          </rPr>
          <t xml:space="preserve">
</t>
        </r>
      </text>
    </comment>
    <comment ref="C129" authorId="0" shapeId="0" xr:uid="{BB3C8AB9-F614-4BFB-A6FA-2B603ED78AF2}">
      <text>
        <r>
          <rPr>
            <sz val="9"/>
            <color indexed="81"/>
            <rFont val="Tahoma"/>
            <family val="2"/>
          </rPr>
          <t xml:space="preserve">Auto Populates from 'Subcontractor Breakdown' Tab
</t>
        </r>
      </text>
    </comment>
    <comment ref="C140" authorId="0" shapeId="0" xr:uid="{27F1DAD8-8D2F-406D-9674-D737EF03E435}">
      <text>
        <r>
          <rPr>
            <b/>
            <sz val="9"/>
            <color indexed="81"/>
            <rFont val="Tahoma"/>
            <family val="2"/>
          </rPr>
          <t>Auto Populates from 'Subcontractor Breakdown' Tab</t>
        </r>
        <r>
          <rPr>
            <sz val="9"/>
            <color indexed="81"/>
            <rFont val="Tahoma"/>
            <family val="2"/>
          </rPr>
          <t xml:space="preserve">
</t>
        </r>
      </text>
    </comment>
    <comment ref="C151" authorId="0" shapeId="0" xr:uid="{43A7EA2F-26DB-4E5A-8DB3-D20B5D23D0D6}">
      <text>
        <r>
          <rPr>
            <b/>
            <sz val="9"/>
            <color indexed="81"/>
            <rFont val="Tahoma"/>
            <family val="2"/>
          </rPr>
          <t>Auto Populates from 'Subcontractor Breakdown' Tab</t>
        </r>
        <r>
          <rPr>
            <sz val="9"/>
            <color indexed="81"/>
            <rFont val="Tahoma"/>
            <family val="2"/>
          </rPr>
          <t xml:space="preserve">
</t>
        </r>
      </text>
    </comment>
    <comment ref="C162" authorId="0" shapeId="0" xr:uid="{88E8F517-14FB-4C44-B9BB-DD800F87D3C7}">
      <text>
        <r>
          <rPr>
            <sz val="9"/>
            <color indexed="81"/>
            <rFont val="Tahoma"/>
            <family val="2"/>
          </rPr>
          <t xml:space="preserve">Auto Populates from 'Subcontractor Breakdown' Tab
</t>
        </r>
      </text>
    </comment>
    <comment ref="C173" authorId="0" shapeId="0" xr:uid="{4F69FE6D-4C43-4E04-B46B-4448B0D0383A}">
      <text>
        <r>
          <rPr>
            <sz val="9"/>
            <color indexed="81"/>
            <rFont val="Tahoma"/>
            <family val="2"/>
          </rPr>
          <t xml:space="preserve">Auto Populates from 'Subcontractor Breakdown' Tab
</t>
        </r>
      </text>
    </comment>
    <comment ref="C184" authorId="0" shapeId="0" xr:uid="{E1397EA9-D741-4C1E-A36C-18B4FEE1C395}">
      <text>
        <r>
          <rPr>
            <sz val="9"/>
            <color indexed="81"/>
            <rFont val="Tahoma"/>
            <family val="2"/>
          </rPr>
          <t xml:space="preserve">Auto Populates from 'Subcontractor Breakdown' Tab
</t>
        </r>
      </text>
    </comment>
    <comment ref="C195" authorId="0" shapeId="0" xr:uid="{8E8DC50C-0FD7-4DCA-AB11-33DC28BACA39}">
      <text>
        <r>
          <rPr>
            <sz val="9"/>
            <color indexed="81"/>
            <rFont val="Tahoma"/>
            <family val="2"/>
          </rPr>
          <t xml:space="preserve">Auto Populates from 'Subcontractor Breakdown' Tab
</t>
        </r>
      </text>
    </comment>
    <comment ref="C206" authorId="0" shapeId="0" xr:uid="{7AD6BF96-89F7-40A6-A60F-AFD2D1807EA9}">
      <text>
        <r>
          <rPr>
            <sz val="9"/>
            <color indexed="81"/>
            <rFont val="Tahoma"/>
            <family val="2"/>
          </rPr>
          <t xml:space="preserve">Auto Populates from 'Subcontractor Breakdown' Tab
</t>
        </r>
      </text>
    </comment>
    <comment ref="C217" authorId="0" shapeId="0" xr:uid="{2C37848B-8C81-4A58-B31A-A5183CE5725B}">
      <text>
        <r>
          <rPr>
            <sz val="9"/>
            <color indexed="81"/>
            <rFont val="Tahoma"/>
            <family val="2"/>
          </rPr>
          <t>Auto Populates from 'Subcontractor Breakdown' Tab</t>
        </r>
      </text>
    </comment>
    <comment ref="E225" authorId="0" shapeId="0" xr:uid="{B5B378C9-E87F-49D8-B08A-1366EFC8C9B5}">
      <text>
        <r>
          <rPr>
            <b/>
            <sz val="9"/>
            <color indexed="81"/>
            <rFont val="Tahoma"/>
            <family val="2"/>
          </rPr>
          <t>This Amount need to be reviewed &amp; finalized by Amazon CM at the time of project close out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C48" authorId="0" shapeId="0" xr:uid="{5F242D84-383B-414B-9BA6-7A2B3312393F}">
      <text>
        <r>
          <rPr>
            <sz val="9"/>
            <color indexed="81"/>
            <rFont val="Tahoma"/>
            <family val="2"/>
          </rPr>
          <t xml:space="preserve">Refer to DA to find this Government Approval Contingency.
</t>
        </r>
      </text>
    </comment>
    <comment ref="C82" authorId="0" shapeId="0" xr:uid="{384F0C32-16C3-4D55-9498-EBA3E40179B2}">
      <text>
        <r>
          <rPr>
            <b/>
            <sz val="9"/>
            <color indexed="81"/>
            <rFont val="Tahoma"/>
            <family val="2"/>
          </rPr>
          <t>Refer to DA to find this Winter Conditions/Schedule Acceleration Contingency.</t>
        </r>
      </text>
    </comment>
    <comment ref="C116" authorId="0" shapeId="0" xr:uid="{76B5475C-E082-4A08-B7E0-570D30F7FB32}">
      <text>
        <r>
          <rPr>
            <sz val="9"/>
            <color indexed="81"/>
            <rFont val="Tahoma"/>
            <family val="2"/>
          </rPr>
          <t xml:space="preserve">Refer to DA to find this General(_% of Hard Cost) Contingency.
</t>
        </r>
      </text>
    </comment>
    <comment ref="C150" authorId="0" shapeId="0" xr:uid="{15462F3B-F38E-4D73-BE7C-E71D876EC818}">
      <text>
        <r>
          <rPr>
            <sz val="9"/>
            <color indexed="81"/>
            <rFont val="Tahoma"/>
            <family val="2"/>
          </rPr>
          <t xml:space="preserve">Refer to DA to find this Prelim Bidding to GMP/Material Escalation Contingency.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Ding, Long [C]</author>
  </authors>
  <commentList>
    <comment ref="B38" authorId="0" shapeId="0" xr:uid="{133F5097-1D0D-4508-9D32-D78F4153D078}">
      <text>
        <r>
          <rPr>
            <b/>
            <sz val="9"/>
            <color indexed="81"/>
            <rFont val="Tahoma"/>
            <family val="2"/>
          </rPr>
          <t>Click this button to add more rows. Default rows are from row 16 to row 36</t>
        </r>
      </text>
    </comment>
    <comment ref="C38" authorId="0" shapeId="0" xr:uid="{F434449B-4B08-4701-9896-6A344800D8A8}">
      <text>
        <r>
          <rPr>
            <b/>
            <sz val="9"/>
            <color indexed="81"/>
            <rFont val="Tahoma"/>
            <family val="2"/>
          </rPr>
          <t>Click this button to delete more rows. Default rows are from row 16 to row 36</t>
        </r>
        <r>
          <rPr>
            <sz val="9"/>
            <color indexed="81"/>
            <rFont val="Tahoma"/>
            <family val="2"/>
          </rPr>
          <t xml:space="preserve">
</t>
        </r>
      </text>
    </comment>
    <comment ref="D38" authorId="0" shapeId="0" xr:uid="{2D9E7855-1C34-4D2B-98B3-90A9E6FFA09F}">
      <text>
        <r>
          <rPr>
            <b/>
            <sz val="9"/>
            <color indexed="81"/>
            <rFont val="Tahoma"/>
            <family val="2"/>
          </rPr>
          <t>Click this button to reset the table to the original format (row16 to row36 only).</t>
        </r>
      </text>
    </comment>
    <comment ref="D79" authorId="0" shapeId="0" xr:uid="{62BF6BFD-74E0-459E-8F69-2A034F4F5EF1}">
      <text>
        <r>
          <rPr>
            <b/>
            <sz val="9"/>
            <color indexed="81"/>
            <rFont val="Tahoma"/>
            <family val="2"/>
          </rPr>
          <t>All the Contract Dates need to be filled out.</t>
        </r>
        <r>
          <rPr>
            <sz val="9"/>
            <color indexed="81"/>
            <rFont val="Tahoma"/>
            <family val="2"/>
          </rPr>
          <t xml:space="preserve">
</t>
        </r>
      </text>
    </comment>
    <comment ref="E79" authorId="0" shapeId="0" xr:uid="{00D7DE6B-19DB-4FF0-BA74-291B969DBF9C}">
      <text>
        <r>
          <rPr>
            <b/>
            <sz val="9"/>
            <color indexed="81"/>
            <rFont val="Tahoma"/>
            <family val="2"/>
          </rPr>
          <t>All the Revised Dates need to be filled out.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Joshi, Aditi</author>
    <author>Brown, Jeremy</author>
  </authors>
  <commentList>
    <comment ref="B6" authorId="0" shapeId="0" xr:uid="{B4E6F914-7519-43ED-AC55-25ECB7E84B81}">
      <text>
        <r>
          <rPr>
            <sz val="9"/>
            <color indexed="81"/>
            <rFont val="Tahoma"/>
            <family val="2"/>
          </rPr>
          <t>Provide a brief description of the material and its source. Examples: "concrete from demolition", "clean wood scaps", or "mixed material recycling bin". 
Include all materials generated by the Project, including materials that are landfilled, incinerated, or diverted.</t>
        </r>
      </text>
    </comment>
    <comment ref="C6" authorId="0" shapeId="0" xr:uid="{98C2FFA3-1A17-4A52-9C61-0143E88C21AD}">
      <text>
        <r>
          <rPr>
            <sz val="9"/>
            <color indexed="81"/>
            <rFont val="Tahoma"/>
            <family val="2"/>
          </rPr>
          <t xml:space="preserve">Choose the material type from the drop down menu. Choose "other" if the material type is not listed and provide a short description in column B. </t>
        </r>
      </text>
    </comment>
    <comment ref="D6" authorId="0" shapeId="0" xr:uid="{CC3823AD-A40D-41F0-BF11-36764F068AB9}">
      <text>
        <r>
          <rPr>
            <sz val="9"/>
            <color indexed="81"/>
            <rFont val="Tahoma"/>
            <family val="2"/>
          </rPr>
          <t xml:space="preserve">Choose the appropriate material stream from the dropdown menu. Choose "other" if the material stream is not listed and provide a short description of the material stream in column B. 
Tip: material streams do not need to be all of the material in that category if collection of all material is not possible. Material streams are recommended to represent 5% of the total materials generated by the Project as a guideline but may be lower if project conditions or quantities make 5% not possible. </t>
        </r>
      </text>
    </comment>
    <comment ref="F6" authorId="0" shapeId="0" xr:uid="{139875E0-787B-4D1E-A3F4-521B6FBF83FD}">
      <text>
        <r>
          <rPr>
            <sz val="9"/>
            <color indexed="81"/>
            <rFont val="Tahoma"/>
            <family val="2"/>
          </rPr>
          <t>Enter the facility average recycling rate for commingled materials sent for mixed-waste processing. Include residual materials categorized as Alternate Daily Cover (ADC) in this number, if any. 
Single, unmixed materials that are collected and sent to an individual material recycler are assumed to be recycled 100% (categorized as "source seperated" in column D)</t>
        </r>
      </text>
    </comment>
    <comment ref="G6" authorId="0" shapeId="0" xr:uid="{DC5E070E-094D-49C2-8D40-4A8EB8B1AB2D}">
      <text>
        <r>
          <rPr>
            <sz val="9"/>
            <color indexed="81"/>
            <rFont val="Tahoma"/>
            <family val="2"/>
          </rPr>
          <t xml:space="preserve">Enter the site average recycling rate MINUS the percentage of recycling processing residuals that are destined to be depoisted in alandfill and / or categorized as Alternate Daily Cover (ADC). This recycling rate minus ADC must be provided by the recycling facility. </t>
        </r>
      </text>
    </comment>
    <comment ref="H6" authorId="0" shapeId="0" xr:uid="{00A6B086-E220-40B4-A7ED-C5E16026A6DA}">
      <text>
        <r>
          <rPr>
            <sz val="9"/>
            <color indexed="81"/>
            <rFont val="Tahoma"/>
            <family val="2"/>
          </rPr>
          <t>This column is for commingled materials sent for recyling at a mixed material processing facility. Indicate if the facility's recycling rate has been third party verified. Eligible facilities are those certified by the Recyling Certification Institute or an approved equivalent.</t>
        </r>
      </text>
    </comment>
    <comment ref="I6" authorId="0" shapeId="0" xr:uid="{C741F6D1-80C5-465D-95D3-C0943EB5A74D}">
      <text>
        <r>
          <rPr>
            <sz val="9"/>
            <color indexed="81"/>
            <rFont val="Tahoma"/>
            <family val="2"/>
          </rPr>
          <t xml:space="preserve">This column calculates the amount of waste diverted from landfill and incineration. </t>
        </r>
      </text>
    </comment>
    <comment ref="B51" authorId="1" shapeId="0" xr:uid="{7D71FEE2-2447-4025-A7D0-5FC59990D4DC}">
      <text>
        <r>
          <rPr>
            <b/>
            <sz val="9"/>
            <color indexed="81"/>
            <rFont val="Tahoma"/>
            <family val="2"/>
          </rPr>
          <t xml:space="preserve">This column is required and without interruption. </t>
        </r>
        <r>
          <rPr>
            <sz val="9"/>
            <color indexed="81"/>
            <rFont val="Tahoma"/>
            <family val="2"/>
          </rPr>
          <t>Blank cells will end upload.</t>
        </r>
      </text>
    </comment>
  </commentList>
</comments>
</file>

<file path=xl/sharedStrings.xml><?xml version="1.0" encoding="utf-8"?>
<sst xmlns="http://schemas.openxmlformats.org/spreadsheetml/2006/main" count="2083" uniqueCount="1087">
  <si>
    <t>Project Report</t>
  </si>
  <si>
    <t>Instructions</t>
  </si>
  <si>
    <t xml:space="preserve">* This form should not be modified, altered or formulas changed or deleted. </t>
  </si>
  <si>
    <r>
      <t>File naming format SITE_TYPE_YYYY.MM.DD for Example</t>
    </r>
    <r>
      <rPr>
        <sz val="11"/>
        <color rgb="FFFF0000"/>
        <rFont val="Calibri"/>
        <family val="2"/>
      </rPr>
      <t xml:space="preserve"> </t>
    </r>
    <r>
      <rPr>
        <b/>
        <sz val="14"/>
        <color rgb="FFFF0000"/>
        <rFont val="Calibri"/>
        <family val="2"/>
      </rPr>
      <t>CMH4_AR_2019.05.20</t>
    </r>
  </si>
  <si>
    <t>1. Initial Set Up</t>
  </si>
  <si>
    <t>Subcontractor Breakdown Tab</t>
  </si>
  <si>
    <r>
      <t xml:space="preserve">* Fill in the </t>
    </r>
    <r>
      <rPr>
        <b/>
        <sz val="14"/>
        <color rgb="FF000000"/>
        <rFont val="Calibri"/>
        <family val="2"/>
      </rPr>
      <t>Original Contract</t>
    </r>
    <r>
      <rPr>
        <sz val="11"/>
        <color rgb="FF000000"/>
        <rFont val="Calibri"/>
        <family val="2"/>
      </rPr>
      <t xml:space="preserve"> column (this will feed the </t>
    </r>
    <r>
      <rPr>
        <b/>
        <sz val="14"/>
        <color rgb="FF000000"/>
        <rFont val="Calibri"/>
        <family val="2"/>
      </rPr>
      <t xml:space="preserve">GMP Breakdown </t>
    </r>
    <r>
      <rPr>
        <sz val="11"/>
        <color rgb="FF000000"/>
        <rFont val="Calibri"/>
        <family val="2"/>
      </rPr>
      <t>tab)</t>
    </r>
  </si>
  <si>
    <t>* For scopes of work not prepopulated but under particular CSI Division list it in row with Other (Describe) and insert a description.</t>
  </si>
  <si>
    <t xml:space="preserve">* Individual inputs should match pay application breakdown, change order as well as completed and stored to date amounts reported in current month pay application. </t>
  </si>
  <si>
    <t>Blue $= Direct Input</t>
  </si>
  <si>
    <t>Black $= Formula Driven Data. No direct entry required.</t>
  </si>
  <si>
    <t>GMP-PO Breakdown Tab</t>
  </si>
  <si>
    <r>
      <t xml:space="preserve">* Fill in the </t>
    </r>
    <r>
      <rPr>
        <b/>
        <sz val="14"/>
        <color rgb="FF000000"/>
        <rFont val="Calibri"/>
        <family val="2"/>
      </rPr>
      <t xml:space="preserve">Original GMP, Current GMP, Total Completed and Stored to date and </t>
    </r>
    <r>
      <rPr>
        <sz val="14"/>
        <color rgb="FF000000"/>
        <rFont val="Calibri"/>
        <family val="2"/>
      </rPr>
      <t> </t>
    </r>
    <r>
      <rPr>
        <b/>
        <sz val="14"/>
        <color rgb="FF000000"/>
        <rFont val="Calibri"/>
        <family val="2"/>
      </rPr>
      <t>Estimated Cost at Completion</t>
    </r>
    <r>
      <rPr>
        <sz val="11"/>
        <color rgb="FF000000"/>
        <rFont val="Calibri"/>
        <family val="2"/>
      </rPr>
      <t xml:space="preserve"> columns for all other items not fed by the </t>
    </r>
    <r>
      <rPr>
        <b/>
        <sz val="14"/>
        <color rgb="FF000000"/>
        <rFont val="Calibri"/>
        <family val="2"/>
      </rPr>
      <t xml:space="preserve">Subcontractor Breakdown </t>
    </r>
    <r>
      <rPr>
        <sz val="11"/>
        <color rgb="FF000000"/>
        <rFont val="Calibri"/>
        <family val="2"/>
      </rPr>
      <t>tab</t>
    </r>
    <r>
      <rPr>
        <b/>
        <sz val="11"/>
        <color rgb="FF000000"/>
        <rFont val="Calibri"/>
        <family val="2"/>
      </rPr>
      <t>.</t>
    </r>
  </si>
  <si>
    <t>Black $= Formula Driven Data.  No direct Entry required in these fields.</t>
  </si>
  <si>
    <t>Light blue highlight indicates Amazon CM input - C15, C16, C18, H6; H7; H15; H18, Rows 103, 104, 105 and D132</t>
  </si>
  <si>
    <t>* Cell C18 - Enter Purchase Order numbers assigned to this CAR #</t>
  </si>
  <si>
    <t>* Cell H6 - Enter the amount of Amazon Capital from the Approved CAR form</t>
  </si>
  <si>
    <t>* Cell H7 - Enter the total amount of Approved Supplementals to date, both positive and negative</t>
  </si>
  <si>
    <t>* Cell H15 - Enter the Total CAR Budget including LL Contribution, Amazon Capital and Approved Supplementals</t>
  </si>
  <si>
    <t>* H18 - Select from drop down list High, Medium or Low indicating CM's confidence level in the variance between Total Available Budget and Total CAR Budget. (Cell H16)</t>
  </si>
  <si>
    <t>Cash Flow Tab</t>
  </si>
  <si>
    <r>
      <t xml:space="preserve">* </t>
    </r>
    <r>
      <rPr>
        <b/>
        <sz val="14"/>
        <color rgb="FF000000"/>
        <rFont val="Calibri"/>
        <family val="2"/>
      </rPr>
      <t>Date(MM/DD/YYY)</t>
    </r>
    <r>
      <rPr>
        <b/>
        <sz val="16"/>
        <color rgb="FF000000"/>
        <rFont val="Calibri"/>
        <family val="2"/>
      </rPr>
      <t xml:space="preserve"> </t>
    </r>
    <r>
      <rPr>
        <sz val="11"/>
        <color rgb="FF000000"/>
        <rFont val="Calibri"/>
        <family val="2"/>
      </rPr>
      <t>for the planned billing periods.  Do not skip months, even if downtime is anticipated.  Final billing period should be at least 2 months beyond planned Substantial Completion date.</t>
    </r>
  </si>
  <si>
    <r>
      <t>*Enter</t>
    </r>
    <r>
      <rPr>
        <b/>
        <sz val="16"/>
        <color rgb="FF000000"/>
        <rFont val="Calibri"/>
        <family val="2"/>
      </rPr>
      <t xml:space="preserve"> </t>
    </r>
    <r>
      <rPr>
        <b/>
        <sz val="14"/>
        <color rgb="FF000000"/>
        <rFont val="Calibri"/>
        <family val="2"/>
      </rPr>
      <t>Projected Billings (Initial &amp; Revised)</t>
    </r>
    <r>
      <rPr>
        <b/>
        <sz val="16"/>
        <color rgb="FF000000"/>
        <rFont val="Calibri"/>
        <family val="2"/>
      </rPr>
      <t xml:space="preserve"> </t>
    </r>
    <r>
      <rPr>
        <b/>
        <sz val="11"/>
        <color rgb="FF000000"/>
        <rFont val="Calibri"/>
        <family val="2"/>
      </rPr>
      <t xml:space="preserve">for each billing period </t>
    </r>
    <r>
      <rPr>
        <sz val="11"/>
        <color rgb="FF000000"/>
        <rFont val="Calibri"/>
        <family val="2"/>
      </rPr>
      <t xml:space="preserve">including anticipated Retainage, i.e. estimated value of work to be completed and stored materials. </t>
    </r>
    <r>
      <rPr>
        <b/>
        <sz val="11"/>
        <color rgb="FF000000"/>
        <rFont val="Calibri"/>
        <family val="2"/>
      </rPr>
      <t> Total should equal the Initial GMP</t>
    </r>
    <r>
      <rPr>
        <sz val="11"/>
        <color rgb="FF000000"/>
        <rFont val="Calibri"/>
        <family val="2"/>
      </rPr>
      <t>. Initial projected billing is the original plan and should not be changed throughout consequent monthly updates. Changes to projected billing are recorded under Revised</t>
    </r>
  </si>
  <si>
    <r>
      <t xml:space="preserve">* Enter </t>
    </r>
    <r>
      <rPr>
        <b/>
        <sz val="14"/>
        <color rgb="FF000000"/>
        <rFont val="Calibri"/>
        <family val="2"/>
      </rPr>
      <t>Projected  Developer Contribution (Initial &amp; Revised)</t>
    </r>
    <r>
      <rPr>
        <sz val="14"/>
        <color rgb="FF000000"/>
        <rFont val="Calibri"/>
        <family val="2"/>
      </rPr>
      <t xml:space="preserve"> </t>
    </r>
    <r>
      <rPr>
        <sz val="11"/>
        <color rgb="FF000000"/>
        <rFont val="Calibri"/>
        <family val="2"/>
      </rPr>
      <t>for each billing period including anticipated Retainage, i.e. estimated value of work to be completed and stored materials.  Total should equal the LL Contribution total.</t>
    </r>
  </si>
  <si>
    <r>
      <t xml:space="preserve">* Enter </t>
    </r>
    <r>
      <rPr>
        <b/>
        <sz val="14"/>
        <color rgb="FF000000"/>
        <rFont val="Calibri"/>
        <family val="2"/>
      </rPr>
      <t>Projected  Retainage (Initial &amp; Revised)</t>
    </r>
    <r>
      <rPr>
        <sz val="14"/>
        <color rgb="FF000000"/>
        <rFont val="Calibri"/>
        <family val="2"/>
      </rPr>
      <t xml:space="preserve"> </t>
    </r>
    <r>
      <rPr>
        <sz val="11"/>
        <color rgb="FF000000"/>
        <rFont val="Calibri"/>
        <family val="2"/>
      </rPr>
      <t>for each billing period. This value is to be based on the Lease or Developer's Agreement conditions.</t>
    </r>
  </si>
  <si>
    <t>TI Allowance &amp; Contingency Tab</t>
  </si>
  <si>
    <t>Developer Contingency Tab</t>
  </si>
  <si>
    <t>* Enter individual line item allocations against the original GMP values.  This represents actual spending of Developer Contingency</t>
  </si>
  <si>
    <t>Monthly Weather Report Tab</t>
  </si>
  <si>
    <t>* Enter monthly weather data and first access schedule as recorded in DA/lease</t>
  </si>
  <si>
    <t>2. Monthly Updates</t>
  </si>
  <si>
    <t>* Due from the Developer by the 7th of each month. </t>
  </si>
  <si>
    <t>* Due from the CM to Regional CM by the 14th each month.</t>
  </si>
  <si>
    <t>* Upload due to the dashboard by the 21st each month.</t>
  </si>
  <si>
    <r>
      <t xml:space="preserve">* Developer to enter current data in fields that populate with blue text.  </t>
    </r>
    <r>
      <rPr>
        <b/>
        <sz val="14"/>
        <color rgb="FF000000"/>
        <rFont val="Calibri"/>
        <family val="2"/>
      </rPr>
      <t>Current GMP, Total Completed &amp; Stored to Date and Estimated Cost at Completion.</t>
    </r>
  </si>
  <si>
    <r>
      <t xml:space="preserve">* Green text fields will auto fill from </t>
    </r>
    <r>
      <rPr>
        <b/>
        <sz val="14"/>
        <color rgb="FF000000"/>
        <rFont val="Calibri"/>
        <family val="2"/>
      </rPr>
      <t>Subcontractor Breakdown</t>
    </r>
    <r>
      <rPr>
        <sz val="11"/>
        <color rgb="FF000000"/>
        <rFont val="Calibri"/>
        <family val="2"/>
      </rPr>
      <t xml:space="preserve"> tab.  Black text fields are formula driven.</t>
    </r>
  </si>
  <si>
    <t>* CM to populate light blue highlighted fields as appropriate.</t>
  </si>
  <si>
    <t>* CM to verify Developer entered data based upon prior month report and monthly pay app.</t>
  </si>
  <si>
    <r>
      <t xml:space="preserve">* GC/Developer to fill in the </t>
    </r>
    <r>
      <rPr>
        <b/>
        <sz val="14"/>
        <color rgb="FF000000"/>
        <rFont val="Calibri"/>
        <family val="2"/>
      </rPr>
      <t xml:space="preserve">Change Order </t>
    </r>
    <r>
      <rPr>
        <b/>
        <sz val="11"/>
        <color rgb="FF000000"/>
        <rFont val="Calibri"/>
        <family val="2"/>
      </rPr>
      <t>(if applicable)</t>
    </r>
    <r>
      <rPr>
        <sz val="11"/>
        <color rgb="FF000000"/>
        <rFont val="Calibri"/>
        <family val="2"/>
      </rPr>
      <t xml:space="preserve"> column and the </t>
    </r>
    <r>
      <rPr>
        <b/>
        <sz val="14"/>
        <color rgb="FF000000"/>
        <rFont val="Calibri"/>
        <family val="2"/>
      </rPr>
      <t>Total Completed and Stored</t>
    </r>
    <r>
      <rPr>
        <sz val="11"/>
        <color rgb="FF000000"/>
        <rFont val="Calibri"/>
        <family val="2"/>
      </rPr>
      <t xml:space="preserve"> column.</t>
    </r>
  </si>
  <si>
    <r>
      <t xml:space="preserve">* Subtotals from this tab will auto fill green text fields on the </t>
    </r>
    <r>
      <rPr>
        <b/>
        <sz val="14"/>
        <color rgb="FF000000"/>
        <rFont val="Calibri"/>
        <family val="2"/>
      </rPr>
      <t>GMP-PO Breakdown</t>
    </r>
    <r>
      <rPr>
        <sz val="11"/>
        <color rgb="FF000000"/>
        <rFont val="Calibri"/>
        <family val="2"/>
      </rPr>
      <t xml:space="preserve"> tab.</t>
    </r>
  </si>
  <si>
    <r>
      <t xml:space="preserve">* Enter current values for </t>
    </r>
    <r>
      <rPr>
        <b/>
        <sz val="14"/>
        <color rgb="FF000000"/>
        <rFont val="Calibri"/>
        <family val="2"/>
      </rPr>
      <t>Actual Billing this Period, Actual Developer Contribution</t>
    </r>
    <r>
      <rPr>
        <sz val="11"/>
        <color rgb="FF000000"/>
        <rFont val="Calibri"/>
        <family val="2"/>
      </rPr>
      <t xml:space="preserve"> and </t>
    </r>
    <r>
      <rPr>
        <b/>
        <sz val="14"/>
        <color rgb="FF000000"/>
        <rFont val="Calibri"/>
        <family val="2"/>
      </rPr>
      <t>Actual Retainage</t>
    </r>
  </si>
  <si>
    <r>
      <t xml:space="preserve">* Enter values for </t>
    </r>
    <r>
      <rPr>
        <b/>
        <sz val="14"/>
        <color rgb="FF000000"/>
        <rFont val="Calibri"/>
        <family val="2"/>
      </rPr>
      <t>Revised Projected Billings, Revised Projected Developer Contribution and Revised Projected Retainage</t>
    </r>
    <r>
      <rPr>
        <sz val="11"/>
        <color rgb="FF000000"/>
        <rFont val="Calibri"/>
        <family val="2"/>
      </rPr>
      <t xml:space="preserve"> to match the Actual fields noted above for the current period.</t>
    </r>
  </si>
  <si>
    <t>* Enter individual line item allocation against the original GMP values.  This represents actual spending of Developer Contingency</t>
  </si>
  <si>
    <t>Enter last month claimed weather data, activity and  access schedule impacts.</t>
  </si>
  <si>
    <t>Construction Waste Tracker Tab</t>
  </si>
  <si>
    <t>3. Checks and Balance</t>
  </si>
  <si>
    <t>While completing input in GMP Breakdown tab please note:</t>
  </si>
  <si>
    <r>
      <t>* P</t>
    </r>
    <r>
      <rPr>
        <sz val="11"/>
        <color rgb="FF000000"/>
        <rFont val="Arial Narrow"/>
        <family val="2"/>
      </rPr>
      <t>ositive numbers in  Delta from GMP column (variance between Estimated Cost at Completion and Original GMP) represents Developer/GC increase and should be offset from Developer/GC contingency</t>
    </r>
  </si>
  <si>
    <r>
      <t xml:space="preserve">* </t>
    </r>
    <r>
      <rPr>
        <sz val="11"/>
        <color rgb="FF000000"/>
        <rFont val="Arial Narrow"/>
        <family val="2"/>
      </rPr>
      <t>(negative number) in Delta from GMP column represents Developer/GC savings</t>
    </r>
  </si>
  <si>
    <t>CONFIDENTIAL INFORMATION</t>
  </si>
  <si>
    <t>Release: 3.0</t>
  </si>
  <si>
    <t>GMP/PO COST TRACKING LOG &amp; TENANT CHANGE ORDER TRACKING LOG</t>
  </si>
  <si>
    <t>Additional CAR</t>
  </si>
  <si>
    <t>Date:</t>
  </si>
  <si>
    <t>LL Contribution (FROM LEASE)</t>
  </si>
  <si>
    <t>Site Code:</t>
  </si>
  <si>
    <t>AMZN Capital (FROM CAR)</t>
  </si>
  <si>
    <t>City:</t>
  </si>
  <si>
    <t>APPROVED SUPPLEMENTALS</t>
  </si>
  <si>
    <t>Country:</t>
  </si>
  <si>
    <t>Total Available Budget (LEASE LL Cont. + CAR Cap.)</t>
  </si>
  <si>
    <t>State / Province:</t>
  </si>
  <si>
    <t>Approved Billings to Date (Hard and Soft Costs)</t>
  </si>
  <si>
    <t>Construction Manager:</t>
  </si>
  <si>
    <t>Total Available Budget vs. Approved Billings to Date</t>
  </si>
  <si>
    <t>Regional CM:</t>
  </si>
  <si>
    <t>Estimated Cost at Completion (Includes Estimated Future Increases)</t>
  </si>
  <si>
    <t>Developer:</t>
  </si>
  <si>
    <t>Estimated Future Increases to GMP/PO (FROM BELOW)</t>
  </si>
  <si>
    <t>Contractor:</t>
  </si>
  <si>
    <t>Projected Variance at Finish (TAB - ECaC)</t>
  </si>
  <si>
    <t>Architect:</t>
  </si>
  <si>
    <t>LL Contribution Spent to Date</t>
  </si>
  <si>
    <t>CAR No.:</t>
  </si>
  <si>
    <t>TOTAL CAR BUDGET: (Initial CAR + SUPPLEMENTALS)</t>
  </si>
  <si>
    <t>Final Report:</t>
  </si>
  <si>
    <t>VARIANCE IN TOTAL CAR BUDGET v. TOTAL AVAILABLE BUDGET</t>
  </si>
  <si>
    <t>Currency:</t>
  </si>
  <si>
    <t>PO No.:</t>
  </si>
  <si>
    <t>Confidence in Variance (Drop Down):</t>
  </si>
  <si>
    <t>GMP/PO COST TRACKING LOG</t>
  </si>
  <si>
    <t>LAND, CLOSING, DUE DILIGENCE COSTS</t>
  </si>
  <si>
    <t>INITIAL GMP/PO</t>
  </si>
  <si>
    <t>CURRENT GMP/PO</t>
  </si>
  <si>
    <t>TOTAL COMPLETED AND/OR STORED TO DATE</t>
  </si>
  <si>
    <t>ESTIMATED COST AT COMPLETION</t>
  </si>
  <si>
    <t>DELTA ECaC and ORIGINAL GMP/PO</t>
  </si>
  <si>
    <t>DEV</t>
  </si>
  <si>
    <t>Land Cost</t>
  </si>
  <si>
    <t>Land Closing Costs</t>
  </si>
  <si>
    <t>Due Diligence Costs</t>
  </si>
  <si>
    <t>Lease Costs (Legal, etc.)</t>
  </si>
  <si>
    <t>SUBTOTAL: LAND, CLOSING and DUE DILIGENCE</t>
  </si>
  <si>
    <t>SOFT COST: PROJECT DESIGN TEAM AND TESTNG TEAM FEES</t>
  </si>
  <si>
    <t>DES</t>
  </si>
  <si>
    <t>Civil Design- On Site</t>
  </si>
  <si>
    <t>Civil Design- Off Site Infrastructure</t>
  </si>
  <si>
    <t>Traffic Study/Signal Warrant Study</t>
  </si>
  <si>
    <t xml:space="preserve">Wetland Consulting &amp; Mitigation </t>
  </si>
  <si>
    <t>Environmental Consultant</t>
  </si>
  <si>
    <t>Geotechnical Consultant</t>
  </si>
  <si>
    <t>Tenant Programming Services</t>
  </si>
  <si>
    <t>Architecture, S, MEP, FP Design Services</t>
  </si>
  <si>
    <t>Commissioning</t>
  </si>
  <si>
    <t>Roof and Owner Concrete Consultant &amp; Misc. Design Consultants</t>
  </si>
  <si>
    <t>Consultant Peer Review</t>
  </si>
  <si>
    <t>Permit/Impact Fees</t>
  </si>
  <si>
    <t>Utility Delivery Costs/Fees:Electric, Gas, Data, Phone, Cable</t>
  </si>
  <si>
    <t>Construction - Offsite Improvements (Outside GC Scope)</t>
  </si>
  <si>
    <t>SUBTOTAL: DESIGN AND TESTING FEES</t>
  </si>
  <si>
    <t>HARD COST: CONSTRUCTION BASE BUILDING CONTRACT</t>
  </si>
  <si>
    <t>34</t>
  </si>
  <si>
    <t xml:space="preserve">Off-Site Infrastructure </t>
  </si>
  <si>
    <t>31</t>
  </si>
  <si>
    <t>Earthwork</t>
  </si>
  <si>
    <t>32</t>
  </si>
  <si>
    <t>Exterior Improvements</t>
  </si>
  <si>
    <t>33</t>
  </si>
  <si>
    <t>Utilities</t>
  </si>
  <si>
    <t>1</t>
  </si>
  <si>
    <t>Time Allowances</t>
  </si>
  <si>
    <t>2</t>
  </si>
  <si>
    <t>Existing Conditions</t>
  </si>
  <si>
    <t>3</t>
  </si>
  <si>
    <t>Concrete</t>
  </si>
  <si>
    <t>4</t>
  </si>
  <si>
    <t>Masonry</t>
  </si>
  <si>
    <t>5</t>
  </si>
  <si>
    <t>Metals</t>
  </si>
  <si>
    <t>6</t>
  </si>
  <si>
    <t>Wood, Plastics and Composites</t>
  </si>
  <si>
    <t>7</t>
  </si>
  <si>
    <t>Thermal and Moisture Protection</t>
  </si>
  <si>
    <t>8</t>
  </si>
  <si>
    <t>Openings</t>
  </si>
  <si>
    <t>9</t>
  </si>
  <si>
    <t>Finishes</t>
  </si>
  <si>
    <t>10</t>
  </si>
  <si>
    <t xml:space="preserve">Specialties </t>
  </si>
  <si>
    <t>11</t>
  </si>
  <si>
    <t>Equipment</t>
  </si>
  <si>
    <t>12</t>
  </si>
  <si>
    <t>Furnishings</t>
  </si>
  <si>
    <t>13</t>
  </si>
  <si>
    <t>Special Construction</t>
  </si>
  <si>
    <t>14</t>
  </si>
  <si>
    <t>Conveying Equipment</t>
  </si>
  <si>
    <t>21</t>
  </si>
  <si>
    <t>Fire Suppression</t>
  </si>
  <si>
    <t>22</t>
  </si>
  <si>
    <t>Plumbing</t>
  </si>
  <si>
    <t>23</t>
  </si>
  <si>
    <t>HVAC</t>
  </si>
  <si>
    <t>26</t>
  </si>
  <si>
    <t>Electrical</t>
  </si>
  <si>
    <t>28</t>
  </si>
  <si>
    <t>Electronic Safety and Security</t>
  </si>
  <si>
    <t>CSI</t>
  </si>
  <si>
    <t>Miscellaneous/Other</t>
  </si>
  <si>
    <t>GC General Conditions &amp; Fee</t>
  </si>
  <si>
    <t>SUBTOTAL: HARD COST</t>
  </si>
  <si>
    <t>CONTINGENCIES and  Allowances</t>
  </si>
  <si>
    <t>Designated Tenant Allowances</t>
  </si>
  <si>
    <t>TC</t>
  </si>
  <si>
    <t>Tenant Contingency</t>
  </si>
  <si>
    <t>Contingency - Government Approvals</t>
  </si>
  <si>
    <t>Contingency -  Winter Conditions/Schedule Acceleration</t>
  </si>
  <si>
    <t>Contingency - General (____% of Hard Cost)</t>
  </si>
  <si>
    <t>Contingency - Prelim Bidding to GMP/Material Escalation</t>
  </si>
  <si>
    <t>Developer PM/Overhead SIP/Developer Fee</t>
  </si>
  <si>
    <t>SUBTOTAL: CONTINGENCIES</t>
  </si>
  <si>
    <t>SOFT COST (MISCELLANEOUS)</t>
  </si>
  <si>
    <t>Postage, Printing &amp; Design Reimbursable</t>
  </si>
  <si>
    <t>Tenant Development Consultant</t>
  </si>
  <si>
    <t>Insurance</t>
  </si>
  <si>
    <t>Security Services During Construction</t>
  </si>
  <si>
    <t>Utilities prior to Lease Comm not included in GC Contract</t>
  </si>
  <si>
    <t>Aerial Photos/Web Cam/Drone</t>
  </si>
  <si>
    <t>Developer Travel Expenses</t>
  </si>
  <si>
    <t>SUBTOTAL- SOFT COSTS</t>
  </si>
  <si>
    <t>FINANCE/CARRY COST</t>
  </si>
  <si>
    <t>Property Taxes Construction Period</t>
  </si>
  <si>
    <t>Debt Finance Fees &amp; Origination</t>
  </si>
  <si>
    <t>Construction Carry Costs</t>
  </si>
  <si>
    <t>SUBTOTAL- FINANCE/CARRY COSTS</t>
  </si>
  <si>
    <t>INCENTIVE</t>
  </si>
  <si>
    <t>Less: Economic Incentives (Grants, Rebates, Etc.)</t>
  </si>
  <si>
    <t>TAXES</t>
  </si>
  <si>
    <t>State/Local Taxes</t>
  </si>
  <si>
    <t>TOTAL DEVELOPMENT COSTS</t>
  </si>
  <si>
    <t>DUE-DILIGENCE / AMAZON DIRECT COSTS</t>
  </si>
  <si>
    <r>
      <t xml:space="preserve">TOTAL COMPLETED </t>
    </r>
    <r>
      <rPr>
        <b/>
        <sz val="9"/>
        <rFont val="Arial Narrow"/>
        <family val="2"/>
      </rPr>
      <t>AND/OR</t>
    </r>
    <r>
      <rPr>
        <b/>
        <sz val="10"/>
        <rFont val="Arial Narrow"/>
        <family val="2"/>
      </rPr>
      <t xml:space="preserve"> STORED TO DATE</t>
    </r>
  </si>
  <si>
    <t>AMZN</t>
  </si>
  <si>
    <t>DUE-DILIGENCE</t>
  </si>
  <si>
    <t>DIRECT COSTS</t>
  </si>
  <si>
    <t>Approved Supplementas and Estimated Future Increases</t>
  </si>
  <si>
    <t>SUBTOTAL - DUE-DILIGENCE / AMAZON DIRECT COSTS</t>
  </si>
  <si>
    <t>GRAND TOTALS (LAND / HARD / SOFT / FINANCE/ and AMAZON DIRECT COSTS</t>
  </si>
  <si>
    <t>PC ID #</t>
  </si>
  <si>
    <t>DESCRIPTION</t>
  </si>
  <si>
    <t>ESTIMATE</t>
  </si>
  <si>
    <t>APPROVED - INCREASE TO GMP/PO</t>
  </si>
  <si>
    <t>APPROVED - COVERED BY GMP/PO</t>
  </si>
  <si>
    <t>Source (IT, ENG, AHJ, Etc.)</t>
  </si>
  <si>
    <t>FUNDING</t>
  </si>
  <si>
    <t>MANAGER ADJUSTMENT</t>
  </si>
  <si>
    <t>Subtotals</t>
  </si>
  <si>
    <t>CONSTRUCTION CHANGE ORDER RESPONSIBILITY MATRIX</t>
  </si>
  <si>
    <t>SOURCE</t>
  </si>
  <si>
    <t>COST</t>
  </si>
  <si>
    <t>PERCENTAGE OF CHANGES</t>
  </si>
  <si>
    <t>PERCENTAGE OF CONSTRUCTION COST</t>
  </si>
  <si>
    <t>IT</t>
  </si>
  <si>
    <t>WW/OPS ENGINEERING</t>
  </si>
  <si>
    <t>COMPOSITE</t>
  </si>
  <si>
    <t>AHJ</t>
  </si>
  <si>
    <t>START-UP</t>
  </si>
  <si>
    <t>LAUNCH</t>
  </si>
  <si>
    <t>UNFORESEEN SITE CONDITIONS</t>
  </si>
  <si>
    <t>CONSULTANT COORDINATION</t>
  </si>
  <si>
    <t>MHE</t>
  </si>
  <si>
    <t>OTHER</t>
  </si>
  <si>
    <t>SUBCONTRACTOR BREAKDOWN</t>
  </si>
  <si>
    <t>Project Type</t>
  </si>
  <si>
    <t>Amazon Project Type</t>
  </si>
  <si>
    <t>Total Site Size</t>
  </si>
  <si>
    <t>Acres</t>
  </si>
  <si>
    <t>Interrupted site area</t>
  </si>
  <si>
    <t>Total Building Size</t>
  </si>
  <si>
    <t>SF</t>
  </si>
  <si>
    <t>Include all mezzanine area and floors</t>
  </si>
  <si>
    <t>City</t>
  </si>
  <si>
    <t>Site Cost and $/SF per site SF</t>
  </si>
  <si>
    <t>Building Cost and $/SF per building SF</t>
  </si>
  <si>
    <t>GC related Cost and $/SF per building SF</t>
  </si>
  <si>
    <t xml:space="preserve">Total </t>
  </si>
  <si>
    <t>Percentage Complete by Day</t>
  </si>
  <si>
    <r>
      <t xml:space="preserve">WARNING: </t>
    </r>
    <r>
      <rPr>
        <sz val="11"/>
        <color theme="0"/>
        <rFont val="Calibri"/>
        <family val="2"/>
        <scheme val="minor"/>
      </rPr>
      <t>Do not add or remove rows from this form</t>
    </r>
  </si>
  <si>
    <t>There are 38 categories ending at row 516</t>
  </si>
  <si>
    <t>If this form does not end at 516, reject this file and request corrections</t>
  </si>
  <si>
    <t>CSI Div</t>
  </si>
  <si>
    <t>CSI Name</t>
  </si>
  <si>
    <t>CSI Sec</t>
  </si>
  <si>
    <t>Description of work</t>
  </si>
  <si>
    <t>Original Contract</t>
  </si>
  <si>
    <t>Actual Buyout</t>
  </si>
  <si>
    <t>Change Orders</t>
  </si>
  <si>
    <t>Revised Contract</t>
  </si>
  <si>
    <t>Total Completed and Stored</t>
  </si>
  <si>
    <t>Delta</t>
  </si>
  <si>
    <t>Total completed and Stored</t>
  </si>
  <si>
    <t>Roadway Construction</t>
  </si>
  <si>
    <t>34 71 00</t>
  </si>
  <si>
    <t>Site Utilities (Describe)</t>
  </si>
  <si>
    <t>Road Improvements  (Describe)</t>
  </si>
  <si>
    <t>Existing Utility Relocation (Describe)</t>
  </si>
  <si>
    <t>Traffic Signals</t>
  </si>
  <si>
    <t>Offsite Lift Station &amp; Water</t>
  </si>
  <si>
    <t>Other (Describe)</t>
  </si>
  <si>
    <t xml:space="preserve">SUBTOTAL </t>
  </si>
  <si>
    <t>Demolition</t>
  </si>
  <si>
    <t>Utilities Demolition</t>
  </si>
  <si>
    <t>Existing Structures Demolition</t>
  </si>
  <si>
    <t>Grading</t>
  </si>
  <si>
    <t>31 22 00</t>
  </si>
  <si>
    <t>Mass Grading (Cut/Fill)</t>
  </si>
  <si>
    <t>Excavation and Fill</t>
  </si>
  <si>
    <t>31 23 00</t>
  </si>
  <si>
    <t>Import/Export (Circle One)</t>
  </si>
  <si>
    <t>Site Clearing</t>
  </si>
  <si>
    <t>31 10 00</t>
  </si>
  <si>
    <t>Rock Removal (Mass/Blast)</t>
  </si>
  <si>
    <t xml:space="preserve">Rock Removal - (Trench) </t>
  </si>
  <si>
    <t>Special Foundations and Load-Bearing Elements</t>
  </si>
  <si>
    <t>31 60 00</t>
  </si>
  <si>
    <t>Soil Stabilization- (Specify Type)</t>
  </si>
  <si>
    <t>Dewatering</t>
  </si>
  <si>
    <t>31 23 19</t>
  </si>
  <si>
    <t>Deep Foundation (Specify Type)</t>
  </si>
  <si>
    <t>Ground Improvement</t>
  </si>
  <si>
    <t>Erosion Controls/Maintenance</t>
  </si>
  <si>
    <t>Erosion and Sedimentation Controls</t>
  </si>
  <si>
    <t>31 25 00</t>
  </si>
  <si>
    <t>Erosions Controls &amp; Maintenance</t>
  </si>
  <si>
    <t>Construction Entrances</t>
  </si>
  <si>
    <t>Lay Down Yards and Access Roads</t>
  </si>
  <si>
    <t>Asphalt Paving</t>
  </si>
  <si>
    <t>Flexible Paving</t>
  </si>
  <si>
    <t>32 12 00</t>
  </si>
  <si>
    <t>HD Asphalt</t>
  </si>
  <si>
    <t>LD Asphalt</t>
  </si>
  <si>
    <t>Concrete Paving, Curb and Gutter, and Sidewalks</t>
  </si>
  <si>
    <t>Rigid Paving</t>
  </si>
  <si>
    <t>32 13 00</t>
  </si>
  <si>
    <t>Dock Apron Concrete Paving</t>
  </si>
  <si>
    <t>Truck Court Concrete Paving</t>
  </si>
  <si>
    <t>Dolly Pads</t>
  </si>
  <si>
    <t>Curbs, Gutters, Sidewalks, Driveways</t>
  </si>
  <si>
    <t>32 16 00</t>
  </si>
  <si>
    <t>Auto Parking Concrete Paving</t>
  </si>
  <si>
    <t>Sidewalks</t>
  </si>
  <si>
    <t>Curb &amp; Gutter</t>
  </si>
  <si>
    <t>Pavement Markings and Signage</t>
  </si>
  <si>
    <t>Pavement Markings</t>
  </si>
  <si>
    <t>32 17 23</t>
  </si>
  <si>
    <t>Site Furnishings</t>
  </si>
  <si>
    <t>32 33 00</t>
  </si>
  <si>
    <t>Site Signage (DOT Type signage)</t>
  </si>
  <si>
    <t>Parking Bumpers</t>
  </si>
  <si>
    <t>32 17 13</t>
  </si>
  <si>
    <t>Wheel Stops</t>
  </si>
  <si>
    <t>Pavement Marking</t>
  </si>
  <si>
    <t>Pavement Markings - Auto</t>
  </si>
  <si>
    <t>Wheel Stops - Auto</t>
  </si>
  <si>
    <t>Fencing &amp; Gates</t>
  </si>
  <si>
    <t>Fencing and Gates</t>
  </si>
  <si>
    <t>32 31 00</t>
  </si>
  <si>
    <t>Site Perimeter Fencing and Gates</t>
  </si>
  <si>
    <t>Chain Link Fencing and Gates</t>
  </si>
  <si>
    <t>32 31 13</t>
  </si>
  <si>
    <t>Smokers Canopy Fencing</t>
  </si>
  <si>
    <t>Truckers Cage Fencing</t>
  </si>
  <si>
    <t>Screening Devices</t>
  </si>
  <si>
    <t>32 35 00</t>
  </si>
  <si>
    <t>Screen Wall</t>
  </si>
  <si>
    <t xml:space="preserve">RSP Fencing &amp; Gates </t>
  </si>
  <si>
    <t>Landscaping</t>
  </si>
  <si>
    <t>Planting Irrigation</t>
  </si>
  <si>
    <t>32 84 00</t>
  </si>
  <si>
    <t>Irrigation</t>
  </si>
  <si>
    <t>Planting</t>
  </si>
  <si>
    <t>32 90 00</t>
  </si>
  <si>
    <t>Plantings/Trees</t>
  </si>
  <si>
    <t>Turf and Grasses</t>
  </si>
  <si>
    <t>32 92 00</t>
  </si>
  <si>
    <t>Sod/Grassing/Groundcover</t>
  </si>
  <si>
    <t>Site Utilities</t>
  </si>
  <si>
    <t>Storm Water Utilities</t>
  </si>
  <si>
    <t>33 40 00</t>
  </si>
  <si>
    <t>Storm water Systems</t>
  </si>
  <si>
    <t>Water Utilities</t>
  </si>
  <si>
    <t>33 10 00</t>
  </si>
  <si>
    <t>Site Fire Line</t>
  </si>
  <si>
    <t>Domestic Water Line</t>
  </si>
  <si>
    <t>Sanitary Sewerage</t>
  </si>
  <si>
    <t>33 30 00</t>
  </si>
  <si>
    <t>Sanitary Sewer</t>
  </si>
  <si>
    <t>Roof Drain Collection System</t>
  </si>
  <si>
    <t>Communications Utilities</t>
  </si>
  <si>
    <t>33 80 00</t>
  </si>
  <si>
    <t>Site Communications</t>
  </si>
  <si>
    <t>Hydrocarbon Transmission and Distribution</t>
  </si>
  <si>
    <t>35 52 00</t>
  </si>
  <si>
    <t>Site Gas Connections</t>
  </si>
  <si>
    <t>01 21 43</t>
  </si>
  <si>
    <t>Winter Conditions</t>
  </si>
  <si>
    <t>Acceleration</t>
  </si>
  <si>
    <t>Hot/Cold Weather Concrete Provisions</t>
  </si>
  <si>
    <t>Temporary Road Maintenance</t>
  </si>
  <si>
    <t>Building Pad Work</t>
  </si>
  <si>
    <t>Demolition and Structure Moving</t>
  </si>
  <si>
    <t>02 40 00</t>
  </si>
  <si>
    <t>Building Concrete</t>
  </si>
  <si>
    <t>Cast in Place Concrete</t>
  </si>
  <si>
    <t>03 30 00</t>
  </si>
  <si>
    <t>Foundations For Main Building</t>
  </si>
  <si>
    <t>Foundations for Platform and Process Mezzanine</t>
  </si>
  <si>
    <t xml:space="preserve">Foundations for RSP </t>
  </si>
  <si>
    <t>Slab on Grade Including Dock Pits</t>
  </si>
  <si>
    <t>Specialty Placed Concrete</t>
  </si>
  <si>
    <t>03 37 00</t>
  </si>
  <si>
    <t>Process Mezzanine Concrete</t>
  </si>
  <si>
    <t>RSP Mezzanine or Floor Concrete</t>
  </si>
  <si>
    <t>Precast/Tilt Wall Panels (Specify)</t>
  </si>
  <si>
    <t>Concrete Finishing</t>
  </si>
  <si>
    <t>03 35 00</t>
  </si>
  <si>
    <t>Clean/Seal Warehouse Floor</t>
  </si>
  <si>
    <t>Polished Concrete</t>
  </si>
  <si>
    <t>Concrete Repair</t>
  </si>
  <si>
    <t>RSP Floor Remediation</t>
  </si>
  <si>
    <t>Slab Curvature Grinding for Construction Joints</t>
  </si>
  <si>
    <t>04 00 00</t>
  </si>
  <si>
    <t>Structural Steel</t>
  </si>
  <si>
    <t>Structural Steel Framing</t>
  </si>
  <si>
    <t>05 12 00</t>
  </si>
  <si>
    <t>Shell Structural Steel</t>
  </si>
  <si>
    <t>Steel Joist Framing</t>
  </si>
  <si>
    <t>05 21 00</t>
  </si>
  <si>
    <t>Shell Joist</t>
  </si>
  <si>
    <t>Steel Decking</t>
  </si>
  <si>
    <t>05 31 00</t>
  </si>
  <si>
    <t>Shell Roof Deck</t>
  </si>
  <si>
    <t>Structural Metal Framing</t>
  </si>
  <si>
    <t>05 10 00</t>
  </si>
  <si>
    <t xml:space="preserve">Shell Miscellaneous - Exterior Steel, Stairs, etc. </t>
  </si>
  <si>
    <t xml:space="preserve">Platform Mezzanine Steel/Deck </t>
  </si>
  <si>
    <t>Process Mezzanine Steel/Deck</t>
  </si>
  <si>
    <t>RSP Mezzanine/Floor Steel</t>
  </si>
  <si>
    <t>RSP Mezzanine/Floor Joist</t>
  </si>
  <si>
    <t>RSP Mezzanine/Floor Deck</t>
  </si>
  <si>
    <t>Steel Erection</t>
  </si>
  <si>
    <t>Shell Structural Steel/Joist/Deck - Erect</t>
  </si>
  <si>
    <t>Platform Steel/Deck - Erect</t>
  </si>
  <si>
    <t>Process Mezzanine Steel/Joist/Deck - Erect</t>
  </si>
  <si>
    <t>RSP Mezzanine Steel/Joist/Deck - Erect</t>
  </si>
  <si>
    <t xml:space="preserve">Misc. Steel </t>
  </si>
  <si>
    <t>Carpentry and Millwork</t>
  </si>
  <si>
    <t>Rough Carpentry</t>
  </si>
  <si>
    <t>06 10 00</t>
  </si>
  <si>
    <t>Shell Rough Carpentry</t>
  </si>
  <si>
    <t>TI Rough Carpentry</t>
  </si>
  <si>
    <t>Finish Carpentry</t>
  </si>
  <si>
    <t>06 20 00</t>
  </si>
  <si>
    <t>Millwork/Casework</t>
  </si>
  <si>
    <t>Composite Decking</t>
  </si>
  <si>
    <t>06 73 00</t>
  </si>
  <si>
    <t>MHE Platforms Carpentry</t>
  </si>
  <si>
    <t>Membrane Roofing</t>
  </si>
  <si>
    <t>07 50 00</t>
  </si>
  <si>
    <t>Shell Roofing Membrane</t>
  </si>
  <si>
    <t>Guardhouse Roofing</t>
  </si>
  <si>
    <t>Pump house Roofing</t>
  </si>
  <si>
    <t>Canopy Roofing</t>
  </si>
  <si>
    <t>Thermal Insulation</t>
  </si>
  <si>
    <t>07 21 00</t>
  </si>
  <si>
    <t>Thermax Wall Insulation</t>
  </si>
  <si>
    <t>Siding</t>
  </si>
  <si>
    <t>07 46 00</t>
  </si>
  <si>
    <t>Aluminum Composite Metal Panels</t>
  </si>
  <si>
    <t>07 20 00</t>
  </si>
  <si>
    <t>Roof Membrane and Insulation Replacement - Retrofit</t>
  </si>
  <si>
    <t>Insulated Panels</t>
  </si>
  <si>
    <t>07 42 14</t>
  </si>
  <si>
    <t>Insulated Metal Panels</t>
  </si>
  <si>
    <t>Caulking &amp; Sealants</t>
  </si>
  <si>
    <t>Fireproofing</t>
  </si>
  <si>
    <t>07 82 00</t>
  </si>
  <si>
    <t>Fire stopping</t>
  </si>
  <si>
    <t>07 84 00</t>
  </si>
  <si>
    <t>Joint Sealants</t>
  </si>
  <si>
    <t>07 92 00</t>
  </si>
  <si>
    <t>Tilt Panel Caulking</t>
  </si>
  <si>
    <t>Slab on Grade Caulking</t>
  </si>
  <si>
    <t>Concrete Paving &amp; Sidewalk Caulking</t>
  </si>
  <si>
    <t>Dampproofing and Waterproofing</t>
  </si>
  <si>
    <t>07 10 00</t>
  </si>
  <si>
    <t>Waterproofing</t>
  </si>
  <si>
    <t>Expansion Joints - Mezzanine and RSP</t>
  </si>
  <si>
    <t>Caulking</t>
  </si>
  <si>
    <t>Glass/Glazing</t>
  </si>
  <si>
    <t>Exterior Glass Glazing</t>
  </si>
  <si>
    <t>08 81 13</t>
  </si>
  <si>
    <t>Exterior Glazing</t>
  </si>
  <si>
    <t>Guardhouse Glazing</t>
  </si>
  <si>
    <t>Interior Glass  Glazing</t>
  </si>
  <si>
    <t>08 81 26</t>
  </si>
  <si>
    <t>Interior Glazing</t>
  </si>
  <si>
    <t>Entrance, Storefronts, and Curtain Walls</t>
  </si>
  <si>
    <t>08 40 00</t>
  </si>
  <si>
    <t>Main Entrance Storefront</t>
  </si>
  <si>
    <t>Roof Windows and Skylights</t>
  </si>
  <si>
    <t>08 60 00</t>
  </si>
  <si>
    <t>Skylights</t>
  </si>
  <si>
    <t>Dock &amp; Drive in Doors</t>
  </si>
  <si>
    <t>Panel Doors</t>
  </si>
  <si>
    <t>08 36 00</t>
  </si>
  <si>
    <t>OHD Dock Doors</t>
  </si>
  <si>
    <t>Drive In Doors</t>
  </si>
  <si>
    <t>Overhead Coiling Doors</t>
  </si>
  <si>
    <t>08 33 23</t>
  </si>
  <si>
    <t>Fire Shutters</t>
  </si>
  <si>
    <t>Doors, Frames, &amp; Hardware</t>
  </si>
  <si>
    <t>Metal Doors and Frames</t>
  </si>
  <si>
    <t>08 11 00</t>
  </si>
  <si>
    <t>Shell Doors/Frames/Hardware (incl install)</t>
  </si>
  <si>
    <t>Wood Doors</t>
  </si>
  <si>
    <t>08 14 00</t>
  </si>
  <si>
    <t>TI Shell/Doors/Frames/Hardware (incl install)</t>
  </si>
  <si>
    <t>Revolving Door Entrances</t>
  </si>
  <si>
    <t>08 42 33</t>
  </si>
  <si>
    <t>Turnstiles</t>
  </si>
  <si>
    <t>Metal Framing, Drywall, Acoustical</t>
  </si>
  <si>
    <t>Plaster and Gypsum Board</t>
  </si>
  <si>
    <t>09 20 00</t>
  </si>
  <si>
    <t>Shell Drywall/Framing</t>
  </si>
  <si>
    <t>TI Drywall/Framing</t>
  </si>
  <si>
    <t>Acoustical Ceilings</t>
  </si>
  <si>
    <t>09 51 00</t>
  </si>
  <si>
    <t>Acoustic Treatments</t>
  </si>
  <si>
    <t>09 80 00</t>
  </si>
  <si>
    <t>AFE Sound Attenuation Panels</t>
  </si>
  <si>
    <t>Metal Furring</t>
  </si>
  <si>
    <t>09 22 13</t>
  </si>
  <si>
    <t>Light Gauge Metal Framing @ IMP</t>
  </si>
  <si>
    <t xml:space="preserve">Interior Temp. Partitions </t>
  </si>
  <si>
    <t>Cold Formed Metal Framing</t>
  </si>
  <si>
    <t>IMP Framing Cover Plates</t>
  </si>
  <si>
    <t>Flooring</t>
  </si>
  <si>
    <t>Carpeting</t>
  </si>
  <si>
    <t>09 68 00</t>
  </si>
  <si>
    <t>Carpet</t>
  </si>
  <si>
    <t>Resilient Flooring</t>
  </si>
  <si>
    <t>09 65 00</t>
  </si>
  <si>
    <t>VCT/Resilient Flooring</t>
  </si>
  <si>
    <t>Tiling</t>
  </si>
  <si>
    <t>09 30 00</t>
  </si>
  <si>
    <t>Ceramic/Hard Tile including walls</t>
  </si>
  <si>
    <t>Painting &amp; Coatings</t>
  </si>
  <si>
    <t>Exterior Painting</t>
  </si>
  <si>
    <t>09 91 13</t>
  </si>
  <si>
    <t>Exterior Texture Coatings</t>
  </si>
  <si>
    <t>Interior Painting</t>
  </si>
  <si>
    <t>09 91 23</t>
  </si>
  <si>
    <t>Interior Tilt Wall Painting</t>
  </si>
  <si>
    <t>Interior Warehouse Painting</t>
  </si>
  <si>
    <t>Office/Interior Space Painting</t>
  </si>
  <si>
    <t>Specialty Flooring</t>
  </si>
  <si>
    <t>09 62 00</t>
  </si>
  <si>
    <t>Epoxy Flooring</t>
  </si>
  <si>
    <t>Polished/Sealed Concrete</t>
  </si>
  <si>
    <t>Cement Plastering</t>
  </si>
  <si>
    <t>09 24 00</t>
  </si>
  <si>
    <t>EIFS</t>
  </si>
  <si>
    <t>Compartments and Cubicles</t>
  </si>
  <si>
    <t>10 21 00</t>
  </si>
  <si>
    <t>Toilet Partitions/Accessories</t>
  </si>
  <si>
    <t>Partitions</t>
  </si>
  <si>
    <t>10 22 00</t>
  </si>
  <si>
    <t>Operable Partitions</t>
  </si>
  <si>
    <t>Protective Covers</t>
  </si>
  <si>
    <t>10 73 00</t>
  </si>
  <si>
    <t>Dock Canopies</t>
  </si>
  <si>
    <t>Employee Shelters</t>
  </si>
  <si>
    <t>Fire Protection Specialties</t>
  </si>
  <si>
    <t>10 44 00</t>
  </si>
  <si>
    <t>Fire Extinguishers/Cabinets</t>
  </si>
  <si>
    <t>Flagpoles</t>
  </si>
  <si>
    <t>10 75 00</t>
  </si>
  <si>
    <t>Flagpole</t>
  </si>
  <si>
    <t>Storage Specialties</t>
  </si>
  <si>
    <t>10 50 00</t>
  </si>
  <si>
    <t>Bicycle Racks</t>
  </si>
  <si>
    <t>Metal Lockers</t>
  </si>
  <si>
    <t>10 51 00</t>
  </si>
  <si>
    <t>Locker Installation</t>
  </si>
  <si>
    <t>Signage</t>
  </si>
  <si>
    <t>10 14 00</t>
  </si>
  <si>
    <t>Interior Signage</t>
  </si>
  <si>
    <t>Amazon Interior Signage Package</t>
  </si>
  <si>
    <t>Exterior Signage and Markings</t>
  </si>
  <si>
    <t>Interior Specialties</t>
  </si>
  <si>
    <t>10 20 00</t>
  </si>
  <si>
    <t>Specialties (ex. Corner Guards)</t>
  </si>
  <si>
    <t>Transportation Stop Shelters</t>
  </si>
  <si>
    <t>10 73 43</t>
  </si>
  <si>
    <t>Bus Stop - Transportation Stop Shelters</t>
  </si>
  <si>
    <t>Smokers Shelter</t>
  </si>
  <si>
    <t>Telecommunications</t>
  </si>
  <si>
    <t>27 00 00</t>
  </si>
  <si>
    <t xml:space="preserve">Telecom </t>
  </si>
  <si>
    <t>Interior Fencing and Gates</t>
  </si>
  <si>
    <t>10 22 14</t>
  </si>
  <si>
    <t>Interior Chain Link Fencing and Gate</t>
  </si>
  <si>
    <t>Interior Fencing and Gates - RSP</t>
  </si>
  <si>
    <t>10 22 15</t>
  </si>
  <si>
    <t>RSP Fencing and Gates - Perimeter and Station Guarding</t>
  </si>
  <si>
    <t>Dock Equipment</t>
  </si>
  <si>
    <t>Loading Dock Equipment</t>
  </si>
  <si>
    <t>11 13 00</t>
  </si>
  <si>
    <t>Dock Levelers</t>
  </si>
  <si>
    <t>Truck Restraints</t>
  </si>
  <si>
    <t>Dock Seal/Shelters</t>
  </si>
  <si>
    <t>Light/Fan</t>
  </si>
  <si>
    <t>Track Guards</t>
  </si>
  <si>
    <t>12 13 00</t>
  </si>
  <si>
    <t>Dock Position Removal of Knockout &amp; Floor</t>
  </si>
  <si>
    <t>13 13 00</t>
  </si>
  <si>
    <t>Construct New Dock Pits</t>
  </si>
  <si>
    <t>14 13 00</t>
  </si>
  <si>
    <t>Dock Door Wall Knockout - Widen Bays</t>
  </si>
  <si>
    <t>15 13 00</t>
  </si>
  <si>
    <t>Concrete Ramps for Dock Doors</t>
  </si>
  <si>
    <t>Window Treatments</t>
  </si>
  <si>
    <t>12 20 00</t>
  </si>
  <si>
    <t>13 00 00</t>
  </si>
  <si>
    <t xml:space="preserve">Special Construction </t>
  </si>
  <si>
    <t>Guardhouse</t>
  </si>
  <si>
    <t>Elevators</t>
  </si>
  <si>
    <t>14 20 00</t>
  </si>
  <si>
    <t>Elevator</t>
  </si>
  <si>
    <t>Material Lifts</t>
  </si>
  <si>
    <t>14 45 51</t>
  </si>
  <si>
    <t>VRC</t>
  </si>
  <si>
    <t>Water Based Fire Suppression Systems</t>
  </si>
  <si>
    <t>21 10 00</t>
  </si>
  <si>
    <t>Roof ESFR System</t>
  </si>
  <si>
    <t>Fire Suppression Stand Pipes</t>
  </si>
  <si>
    <t>21 12 00</t>
  </si>
  <si>
    <t>Hose Drops</t>
  </si>
  <si>
    <t>Fire Pumps</t>
  </si>
  <si>
    <t>21 30 00</t>
  </si>
  <si>
    <t>Fire Pump</t>
  </si>
  <si>
    <t>Fire Suppression Storage Tanks</t>
  </si>
  <si>
    <t>21 40 00</t>
  </si>
  <si>
    <t>Fire Tank</t>
  </si>
  <si>
    <t>Process and Platform Mezz System</t>
  </si>
  <si>
    <t>RSP System</t>
  </si>
  <si>
    <t>Office Fire Protection</t>
  </si>
  <si>
    <t>Pickmod Sprinkler</t>
  </si>
  <si>
    <t xml:space="preserve">In-Rack Sprinkler </t>
  </si>
  <si>
    <t>Plumbing Piping</t>
  </si>
  <si>
    <t>22 10 00</t>
  </si>
  <si>
    <t>Warehouse Plumbing</t>
  </si>
  <si>
    <t>Office Plumbing</t>
  </si>
  <si>
    <t>Gas Piping</t>
  </si>
  <si>
    <t>Condensate System (if required)</t>
  </si>
  <si>
    <t>Drinking Fountains and Water Coolers</t>
  </si>
  <si>
    <t>22 47 00</t>
  </si>
  <si>
    <t>Water Cooler Infrastructure</t>
  </si>
  <si>
    <t>Scrubber Dump</t>
  </si>
  <si>
    <t>Floor Drains &amp; Oil/Water Separator</t>
  </si>
  <si>
    <t>Underground plumbing</t>
  </si>
  <si>
    <t>HVAC Air Distribution</t>
  </si>
  <si>
    <t>23 30 00</t>
  </si>
  <si>
    <t>Warehouse HVAC</t>
  </si>
  <si>
    <t>Special Exhaust Systems</t>
  </si>
  <si>
    <t>23 35 00</t>
  </si>
  <si>
    <t xml:space="preserve">Smoke Evacuation </t>
  </si>
  <si>
    <t>Office HVAC</t>
  </si>
  <si>
    <t>Instrumentation and Control for HVAC</t>
  </si>
  <si>
    <t>23 09 00</t>
  </si>
  <si>
    <t>Building Management System</t>
  </si>
  <si>
    <t>Commissioning of HVAC</t>
  </si>
  <si>
    <t>23 08 00</t>
  </si>
  <si>
    <t>Test and Balance</t>
  </si>
  <si>
    <t>HVAC HVLS Fans</t>
  </si>
  <si>
    <t>Central Cooling Equipment</t>
  </si>
  <si>
    <t>23 60 00</t>
  </si>
  <si>
    <t>Refrigeration system</t>
  </si>
  <si>
    <t>Medium Voltage Electrical Distribution</t>
  </si>
  <si>
    <t>26 10 00</t>
  </si>
  <si>
    <t>Main Service and Switchgear</t>
  </si>
  <si>
    <t>Low Voltage Electrical Distribution</t>
  </si>
  <si>
    <t>26 20 00</t>
  </si>
  <si>
    <t>Warehouse Electrical</t>
  </si>
  <si>
    <t>Office Electrical</t>
  </si>
  <si>
    <t>Interior Lighting</t>
  </si>
  <si>
    <t>26 51 00</t>
  </si>
  <si>
    <t>Warehouse Lighting</t>
  </si>
  <si>
    <t>RSP Lighting</t>
  </si>
  <si>
    <t>Process and Platform Mezz Lighting</t>
  </si>
  <si>
    <t>Exterior Lighting</t>
  </si>
  <si>
    <t>26 56 00</t>
  </si>
  <si>
    <t>Site Lighting</t>
  </si>
  <si>
    <t>Site Electrical/Duct banks</t>
  </si>
  <si>
    <t>Temp Lighting</t>
  </si>
  <si>
    <t>Electrical Protection</t>
  </si>
  <si>
    <t>26 40 00</t>
  </si>
  <si>
    <t>Lightning Protection</t>
  </si>
  <si>
    <t>PIT Battery Charging</t>
  </si>
  <si>
    <t>Packaged Generator Assemblies</t>
  </si>
  <si>
    <t>26 32 00</t>
  </si>
  <si>
    <t>Elec Generators/ Automatic or Manual Transfer Switch</t>
  </si>
  <si>
    <t>EV Charging Stations</t>
  </si>
  <si>
    <t>Security and Telcom pathway allowance</t>
  </si>
  <si>
    <t>Fire Detection and Alarm</t>
  </si>
  <si>
    <t>28 46 00</t>
  </si>
  <si>
    <t>Warehouse Fire Alarm</t>
  </si>
  <si>
    <t>Office Fire Alarm</t>
  </si>
  <si>
    <t>Process Mezz Fire Alarm</t>
  </si>
  <si>
    <t>RSP Mezz Fire Alarm</t>
  </si>
  <si>
    <t>Security System</t>
  </si>
  <si>
    <t>28 10 00</t>
  </si>
  <si>
    <t>Emergency Response Systems</t>
  </si>
  <si>
    <t>28 48 00</t>
  </si>
  <si>
    <t>Elec First Responder Radio Amp and Dist</t>
  </si>
  <si>
    <t>Security System Allowance</t>
  </si>
  <si>
    <t>Data System Allowance</t>
  </si>
  <si>
    <t>Conduit for Low Voltage</t>
  </si>
  <si>
    <t>Safety, QC &amp; Street Sweeping</t>
  </si>
  <si>
    <t>Temporary Vertical Access</t>
  </si>
  <si>
    <t>Site Safety &amp; Cleanup</t>
  </si>
  <si>
    <t>Site Labor for Receiving/Moving/Access</t>
  </si>
  <si>
    <t>Sprinkler Head Adjustments @ MHE</t>
  </si>
  <si>
    <t>Temporary Toilets</t>
  </si>
  <si>
    <t>Tenant Vendor Dumpster Allowance</t>
  </si>
  <si>
    <t>Tenant's Power Usage from Early Access to TCO</t>
  </si>
  <si>
    <t>Exterior Signage &amp; Markings</t>
  </si>
  <si>
    <t>MEP for Amazon Platforms</t>
  </si>
  <si>
    <t>Floor Remediation @ RSP &amp; Sorter Platforms</t>
  </si>
  <si>
    <t>Scanning for Curvature</t>
  </si>
  <si>
    <t>GC Contingency</t>
  </si>
  <si>
    <t>General Conditions</t>
  </si>
  <si>
    <t>GC - Overhead &amp; Fee</t>
  </si>
  <si>
    <t>Subcontractor Bond/Subcontractor Default Insurance</t>
  </si>
  <si>
    <t>General Liability Insurance</t>
  </si>
  <si>
    <t>Builders Risk Insurance</t>
  </si>
  <si>
    <t>Special Tax</t>
  </si>
  <si>
    <t>Surveyor</t>
  </si>
  <si>
    <t>MBE Consultant</t>
  </si>
  <si>
    <t>GRAND TOTAL</t>
  </si>
  <si>
    <t>END FILE</t>
  </si>
  <si>
    <t>CASH FLOW ANALYSIS</t>
  </si>
  <si>
    <t>Current GMP:</t>
  </si>
  <si>
    <t>Total Approved Billings to Date:</t>
  </si>
  <si>
    <r>
      <t>If the Land Cost owner is</t>
    </r>
    <r>
      <rPr>
        <b/>
        <sz val="12"/>
        <color theme="1"/>
        <rFont val="Calibri"/>
        <family val="2"/>
        <scheme val="minor"/>
      </rPr>
      <t xml:space="preserve"> Amazon</t>
    </r>
    <r>
      <rPr>
        <sz val="12"/>
        <color theme="1"/>
        <rFont val="Calibri"/>
        <family val="2"/>
        <scheme val="minor"/>
      </rPr>
      <t xml:space="preserve">, the </t>
    </r>
    <r>
      <rPr>
        <sz val="12"/>
        <color rgb="FF008000"/>
        <rFont val="Calibri"/>
        <family val="2"/>
        <scheme val="minor"/>
      </rPr>
      <t>Land Cost ECaC</t>
    </r>
    <r>
      <rPr>
        <sz val="12"/>
        <color theme="1"/>
        <rFont val="Calibri"/>
        <family val="2"/>
        <scheme val="minor"/>
      </rPr>
      <t xml:space="preserve"> is added to </t>
    </r>
    <r>
      <rPr>
        <u/>
        <sz val="12"/>
        <color theme="1"/>
        <rFont val="Calibri"/>
        <family val="2"/>
        <scheme val="minor"/>
      </rPr>
      <t>Projected Amazon Contribution</t>
    </r>
    <r>
      <rPr>
        <sz val="12"/>
        <color theme="1"/>
        <rFont val="Calibri"/>
        <family val="2"/>
        <scheme val="minor"/>
      </rPr>
      <t xml:space="preserve"> for the month of the </t>
    </r>
    <r>
      <rPr>
        <b/>
        <sz val="12"/>
        <color theme="1"/>
        <rFont val="Calibri"/>
        <family val="2"/>
        <scheme val="minor"/>
      </rPr>
      <t>Closing Date</t>
    </r>
  </si>
  <si>
    <t>Remaining Billings:</t>
  </si>
  <si>
    <t>Total Developer Contribution:</t>
  </si>
  <si>
    <t>Developer Contribution to Date:</t>
  </si>
  <si>
    <t>Developer Contribution Remaining:</t>
  </si>
  <si>
    <t>Owner</t>
  </si>
  <si>
    <t>Closing Date</t>
  </si>
  <si>
    <t>Land Cost ECaC</t>
  </si>
  <si>
    <t xml:space="preserve">Land cost </t>
  </si>
  <si>
    <t>Cash Flow Analysis</t>
  </si>
  <si>
    <t>Modify future months ONLY.</t>
  </si>
  <si>
    <t>INITIAL PROJECTED VALUES - DO NOT CHANGE AFTER INITIAL INPUT</t>
  </si>
  <si>
    <t>REVISED FORECAST UPDATED MONTHLY</t>
  </si>
  <si>
    <t>REVISED ACTUALS  - UPDATED MONTHLY</t>
  </si>
  <si>
    <r>
      <t xml:space="preserve">Date </t>
    </r>
    <r>
      <rPr>
        <b/>
        <sz val="14"/>
        <color rgb="FFFF0000"/>
        <rFont val="Arial Narrow"/>
        <family val="2"/>
      </rPr>
      <t>*</t>
    </r>
  </si>
  <si>
    <t>Cumulative Projected Billings (Auto)</t>
  </si>
  <si>
    <t>% Complete - Initial</t>
  </si>
  <si>
    <t>Cumulative Revised Projected Billings (Auto)</t>
  </si>
  <si>
    <t>% Complete Revised Projected Billings</t>
  </si>
  <si>
    <t>Cumulative Approved Billings to Date (Auto)</t>
  </si>
  <si>
    <t>% Complete Cumulative (Auto)</t>
  </si>
  <si>
    <t>Comments</t>
  </si>
  <si>
    <t>Reserved for Amazon Owned Land Costs</t>
  </si>
  <si>
    <t>TOTALS:</t>
  </si>
  <si>
    <t>Total</t>
  </si>
  <si>
    <t xml:space="preserve">Additional material stream if all commingled materials are processed by certified recycling facilities </t>
  </si>
  <si>
    <t>Total # of diverted material streams</t>
  </si>
  <si>
    <t>Percentage of construction waste diverted from landfill (%)</t>
  </si>
  <si>
    <t>Total amount of materials generated for the product (tons)</t>
  </si>
  <si>
    <t>Total diverted waste (tons)</t>
  </si>
  <si>
    <t>Total construction waste generated (tons)</t>
  </si>
  <si>
    <t>Total Waste Generated (tons)</t>
  </si>
  <si>
    <t>Percent Diverted (%)</t>
  </si>
  <si>
    <t>Diverted Materials (tons)</t>
  </si>
  <si>
    <t>Certified Commingled Recycling Facility?</t>
  </si>
  <si>
    <t>Average recycling rate of the sorting facility NOT including ADC (%)</t>
  </si>
  <si>
    <t>Average recycling rate of the sorting facility used during the project active timeline. Include ADC in the recycling rate</t>
  </si>
  <si>
    <t>Total Amount of materials generated (Tons)</t>
  </si>
  <si>
    <t>Material Stream</t>
  </si>
  <si>
    <t>Material Type</t>
  </si>
  <si>
    <t>Material Description</t>
  </si>
  <si>
    <t>Commingled Recycling</t>
  </si>
  <si>
    <t>DESIGNATED TENANT IMPROVEMENT ALLOWANCE AND TENANT CONTINGENCY TRACKER</t>
  </si>
  <si>
    <t>CONTINGENCY CATEGORY</t>
  </si>
  <si>
    <t>CO# / REFERENCE</t>
  </si>
  <si>
    <t>ACTUAL COST</t>
  </si>
  <si>
    <t>COMMENT</t>
  </si>
  <si>
    <t>TOTAL DESIGNATED TENANT IMPROVEMENT ALLOWANCE AND TENANT CONTINGENCY</t>
  </si>
  <si>
    <t>VARIANCE TO LINE ITEM AMOUNT</t>
  </si>
  <si>
    <t>TI ALLOWANCE &amp; CONTINGENCY REMAINING</t>
  </si>
  <si>
    <t>AMOUNT RETURNED TO AMAZON</t>
  </si>
  <si>
    <t>Other (describe)</t>
  </si>
  <si>
    <t>MONTHLY WEATHER REPORT</t>
  </si>
  <si>
    <t>ACTUAL WEATHER DAYS IN PREVIOUS MONTH</t>
  </si>
  <si>
    <t>CRITICAL ACTIVITY AFFECTED</t>
  </si>
  <si>
    <t>ACTUAL WEATHER DAY</t>
  </si>
  <si>
    <t>TOTAL - ACTUAL WEATHER DAYS IN PREVIOUS MONTH</t>
  </si>
  <si>
    <t>MONTHLY WEATHER DAYS</t>
  </si>
  <si>
    <t>MONTH/YEAR</t>
  </si>
  <si>
    <t>SCHEDULED WEATHER DAY</t>
  </si>
  <si>
    <t>DIFFERENCE PER MONTH</t>
  </si>
  <si>
    <t>SUBTOTAL</t>
  </si>
  <si>
    <t>TOTAL WEATHER DELAY</t>
  </si>
  <si>
    <t>SCHEDULE IMPACTS</t>
  </si>
  <si>
    <t>EARLY ACCESS AREA / MILESTONE</t>
  </si>
  <si>
    <t>CONTRACT DATES</t>
  </si>
  <si>
    <t>REVISED DATES</t>
  </si>
  <si>
    <t>Monthly Construction Waste Tracker</t>
  </si>
  <si>
    <t xml:space="preserve">Summary for Construction Waste Diversion </t>
  </si>
  <si>
    <t xml:space="preserve">Note: All information on this tab is READ-ONLY. To edit, see the previous tab </t>
  </si>
  <si>
    <t>Total amount of materials generated for the project (tons)</t>
  </si>
  <si>
    <t>Total construction waste diverted (tons)</t>
  </si>
  <si>
    <t>Number of material streams diverted</t>
  </si>
  <si>
    <t>USA</t>
  </si>
  <si>
    <t>California</t>
  </si>
  <si>
    <t>Chris Via</t>
  </si>
  <si>
    <t>USD</t>
  </si>
  <si>
    <t>Sustainability</t>
  </si>
  <si>
    <t>Carbon Sequestration</t>
  </si>
  <si>
    <t>Site - Carbon Sequestering</t>
  </si>
  <si>
    <t>Low Carbon Concrete</t>
  </si>
  <si>
    <t>Construction Waste</t>
  </si>
  <si>
    <t>01 74 19</t>
  </si>
  <si>
    <t>Construction Waste Diversion and Management</t>
  </si>
  <si>
    <t>Dock Seals and Shelters</t>
  </si>
  <si>
    <t>Improved Dock Seals</t>
  </si>
  <si>
    <t>LED Lighting - LED Fixtures</t>
  </si>
  <si>
    <t>26 09 23</t>
  </si>
  <si>
    <t>LED Lighting Controls</t>
  </si>
  <si>
    <t>Exterior Lighting Wall Packs - LED Fixtures</t>
  </si>
  <si>
    <t>Environmental Product Declarations</t>
  </si>
  <si>
    <t>01 33 29</t>
  </si>
  <si>
    <t>EPD Reporting and Sustainability Management</t>
  </si>
  <si>
    <t>EV - Charging Stations</t>
  </si>
  <si>
    <t>26 27 46</t>
  </si>
  <si>
    <t>Electric Vehicle Service Equipment</t>
  </si>
  <si>
    <t>EV - Earthwork</t>
  </si>
  <si>
    <t>26 00 10</t>
  </si>
  <si>
    <t>General Electrical Requirements for EV</t>
  </si>
  <si>
    <t>EV - Underground Cable</t>
  </si>
  <si>
    <t>26 05 19</t>
  </si>
  <si>
    <t>EV Related raceways and boxes for electrical systems (cable)</t>
  </si>
  <si>
    <t>EV - Underground Conduit</t>
  </si>
  <si>
    <t>26 05 33</t>
  </si>
  <si>
    <t>EV Related raceways and boxes for electrical systems (conduit)</t>
  </si>
  <si>
    <t>07 54 23</t>
  </si>
  <si>
    <t>White Roof (TPO)</t>
  </si>
  <si>
    <t>23 62 00
23 74 13
23 74 33
23 81 26
23 81 49</t>
  </si>
  <si>
    <t>Electrification of HVAC (ASHP)</t>
  </si>
  <si>
    <t>22 07 00
23 07 00
23 31 13</t>
  </si>
  <si>
    <t>Duct and Pipe Insulation</t>
  </si>
  <si>
    <t>23 05 13</t>
  </si>
  <si>
    <t>Premium Efficiency Motors</t>
  </si>
  <si>
    <t>Integrated Automation System</t>
  </si>
  <si>
    <t>25 13 00</t>
  </si>
  <si>
    <t>BMS Installation</t>
  </si>
  <si>
    <t>Low VOC</t>
  </si>
  <si>
    <t>01 61 16</t>
  </si>
  <si>
    <t>Low VOC Materials</t>
  </si>
  <si>
    <t>22 33 00</t>
  </si>
  <si>
    <t>Heat Pump Water Heaters</t>
  </si>
  <si>
    <t>22 40 00</t>
  </si>
  <si>
    <t>Low flow and low flush fixtures</t>
  </si>
  <si>
    <t>Refrigeration</t>
  </si>
  <si>
    <t>24 05 50</t>
  </si>
  <si>
    <t>Low-GWP Refrigerants</t>
  </si>
  <si>
    <t>24 23 00</t>
  </si>
  <si>
    <t>Improved Pipe Insulation for Refrigeration</t>
  </si>
  <si>
    <t>32 12 16</t>
  </si>
  <si>
    <t>Site Parking/truck court paving (low carbon concrete)</t>
  </si>
  <si>
    <t>32 13 13</t>
  </si>
  <si>
    <t>Site Parking/truck court paving (low carbon asphalt)</t>
  </si>
  <si>
    <t>08 62 00</t>
  </si>
  <si>
    <t>Additional Skylights for Daylighting</t>
  </si>
  <si>
    <t>N/A</t>
  </si>
  <si>
    <t>Drop Down 1: Unit</t>
  </si>
  <si>
    <t>cubic meters</t>
  </si>
  <si>
    <t>cubic yards</t>
  </si>
  <si>
    <t>kilograms</t>
  </si>
  <si>
    <t>tons</t>
  </si>
  <si>
    <t>other (specify)</t>
  </si>
  <si>
    <t>Drop Down 2: Material Type</t>
  </si>
  <si>
    <t>Asphalt</t>
  </si>
  <si>
    <t>Cardboard and Paper</t>
  </si>
  <si>
    <t>Exterior Finishes</t>
  </si>
  <si>
    <t>Insulation</t>
  </si>
  <si>
    <t>Interior Finishes</t>
  </si>
  <si>
    <t>Glass / Fenestration</t>
  </si>
  <si>
    <t>Gympsum Board</t>
  </si>
  <si>
    <t>Mixed Materials</t>
  </si>
  <si>
    <t>Plastics</t>
  </si>
  <si>
    <t>Roofing</t>
  </si>
  <si>
    <t>Wood</t>
  </si>
  <si>
    <t>Waste / Trash</t>
  </si>
  <si>
    <t>Other (Specify)</t>
  </si>
  <si>
    <t>Drop Down 3: Material Stream</t>
  </si>
  <si>
    <t>Donated</t>
  </si>
  <si>
    <t>Reused</t>
  </si>
  <si>
    <t>Return to manufacturer</t>
  </si>
  <si>
    <t>Salvaged</t>
  </si>
  <si>
    <t>Recycled - single material (source seperated)</t>
  </si>
  <si>
    <t>Recycled - mixed processing (commingled)</t>
  </si>
  <si>
    <t>Waste Prevention</t>
  </si>
  <si>
    <t>Incineration / Waste-to-energy</t>
  </si>
  <si>
    <t>Landfill / Trash / Waste</t>
  </si>
  <si>
    <t xml:space="preserve">Drop Down 4: Certified Comingled Recycling Facility </t>
  </si>
  <si>
    <t>Canada</t>
  </si>
  <si>
    <t>Mexico</t>
  </si>
  <si>
    <t>Brazil</t>
  </si>
  <si>
    <t>Australia</t>
  </si>
  <si>
    <t>Singapore</t>
  </si>
  <si>
    <t>Country_Not_Listed</t>
  </si>
  <si>
    <t>Currency</t>
  </si>
  <si>
    <t>CM</t>
  </si>
  <si>
    <t>Alabama</t>
  </si>
  <si>
    <t>Alberta</t>
  </si>
  <si>
    <t>Estado de Mexico</t>
  </si>
  <si>
    <t>Rio de Janeiro</t>
  </si>
  <si>
    <t>New South Wales</t>
  </si>
  <si>
    <t>Central Region</t>
  </si>
  <si>
    <t>Locality Not Listed</t>
  </si>
  <si>
    <t>Abhirup Dandapath</t>
  </si>
  <si>
    <t>Alaska</t>
  </si>
  <si>
    <t>British Columbia</t>
  </si>
  <si>
    <t>Guanajuato</t>
  </si>
  <si>
    <t>Sao Paulo</t>
  </si>
  <si>
    <t>Northern Territory</t>
  </si>
  <si>
    <t>North Region</t>
  </si>
  <si>
    <t>AUD</t>
  </si>
  <si>
    <t>Adam Studt</t>
  </si>
  <si>
    <t>Arizona</t>
  </si>
  <si>
    <t>Manitoba</t>
  </si>
  <si>
    <t>Guerrero</t>
  </si>
  <si>
    <t>Queensland</t>
  </si>
  <si>
    <t>East Region</t>
  </si>
  <si>
    <t>CAD</t>
  </si>
  <si>
    <t>Alex Fisher</t>
  </si>
  <si>
    <t>Arkansas</t>
  </si>
  <si>
    <t>New Brunswick</t>
  </si>
  <si>
    <t>Hidalgo</t>
  </si>
  <si>
    <t>South Australia</t>
  </si>
  <si>
    <t>West Region</t>
  </si>
  <si>
    <t>EUR</t>
  </si>
  <si>
    <t>Ana Lasheras</t>
  </si>
  <si>
    <t>Newfoundland and Labrador</t>
  </si>
  <si>
    <t>Mexico City</t>
  </si>
  <si>
    <t>Tasmania</t>
  </si>
  <si>
    <t>North-East Region</t>
  </si>
  <si>
    <t>GBP</t>
  </si>
  <si>
    <t>Andy Davis</t>
  </si>
  <si>
    <t>Colorado</t>
  </si>
  <si>
    <t>Nova Scotia</t>
  </si>
  <si>
    <t>Morelos</t>
  </si>
  <si>
    <t>Victoria</t>
  </si>
  <si>
    <t>JPY</t>
  </si>
  <si>
    <t>Arturo Miranda</t>
  </si>
  <si>
    <t>Connecticut</t>
  </si>
  <si>
    <t>Ontario</t>
  </si>
  <si>
    <t>Oaxaca</t>
  </si>
  <si>
    <t>Western Australia</t>
  </si>
  <si>
    <t>MXN</t>
  </si>
  <si>
    <t>Benjami Schultes</t>
  </si>
  <si>
    <t>Delaware</t>
  </si>
  <si>
    <t>Prince Edward Island</t>
  </si>
  <si>
    <t>Querétaro</t>
  </si>
  <si>
    <t>BRL</t>
  </si>
  <si>
    <t>Bill Given</t>
  </si>
  <si>
    <t>Florida</t>
  </si>
  <si>
    <t>Québec</t>
  </si>
  <si>
    <t>Tiexcala</t>
  </si>
  <si>
    <t>SGD</t>
  </si>
  <si>
    <t>Catherine De La Rosa</t>
  </si>
  <si>
    <t>Georgia</t>
  </si>
  <si>
    <t>Saskatchewan</t>
  </si>
  <si>
    <t>AED</t>
  </si>
  <si>
    <t>Chris Hodrick</t>
  </si>
  <si>
    <t>Hawaii</t>
  </si>
  <si>
    <t>INR</t>
  </si>
  <si>
    <t>Idaho</t>
  </si>
  <si>
    <t>SAR</t>
  </si>
  <si>
    <t xml:space="preserve">Dainelle Wellington </t>
  </si>
  <si>
    <t>Illinois</t>
  </si>
  <si>
    <t>EGP</t>
  </si>
  <si>
    <t>Darrin Sanders</t>
  </si>
  <si>
    <t>Indiana</t>
  </si>
  <si>
    <t>CZK</t>
  </si>
  <si>
    <t>David Mecham</t>
  </si>
  <si>
    <t>Iowa</t>
  </si>
  <si>
    <t>PLN</t>
  </si>
  <si>
    <t>David Schleiff</t>
  </si>
  <si>
    <t>Kansas</t>
  </si>
  <si>
    <t xml:space="preserve">Domingo Arellano </t>
  </si>
  <si>
    <t>Kentucky</t>
  </si>
  <si>
    <t>Elena Sushkova</t>
  </si>
  <si>
    <t>Louisiana</t>
  </si>
  <si>
    <t>Fabio Rizza</t>
  </si>
  <si>
    <t>Maine</t>
  </si>
  <si>
    <t>Felipe Bonilla</t>
  </si>
  <si>
    <t>Maryland</t>
  </si>
  <si>
    <t>Florentine Lategahn</t>
  </si>
  <si>
    <t>Massachusetts</t>
  </si>
  <si>
    <t>Fritz Gutenberg</t>
  </si>
  <si>
    <t>Michigan</t>
  </si>
  <si>
    <t>Gary Newell</t>
  </si>
  <si>
    <t>Minnesota</t>
  </si>
  <si>
    <t>Goncalo Lino</t>
  </si>
  <si>
    <t>Mississippi</t>
  </si>
  <si>
    <t>Hope Hall</t>
  </si>
  <si>
    <t>Missouri</t>
  </si>
  <si>
    <t>Jason Windholtz</t>
  </si>
  <si>
    <t>Montana</t>
  </si>
  <si>
    <t>Nebraska</t>
  </si>
  <si>
    <t>Jim Cornwell</t>
  </si>
  <si>
    <t>Nevada</t>
  </si>
  <si>
    <t>John Osborne</t>
  </si>
  <si>
    <t>New Hampshire</t>
  </si>
  <si>
    <t>José Trujillo</t>
  </si>
  <si>
    <t>New Jersey</t>
  </si>
  <si>
    <t>Kathryn Emtman</t>
  </si>
  <si>
    <t>New Mexico</t>
  </si>
  <si>
    <t>KC Rounsaville</t>
  </si>
  <si>
    <t>New York</t>
  </si>
  <si>
    <t>Lawrence Adler</t>
  </si>
  <si>
    <t>North Carolina</t>
  </si>
  <si>
    <t>Luca Raponi</t>
  </si>
  <si>
    <t>North Dakota</t>
  </si>
  <si>
    <t>Manuel Masnou</t>
  </si>
  <si>
    <t>Ohio</t>
  </si>
  <si>
    <t>Manuel Nuno</t>
  </si>
  <si>
    <t>Oklahoma</t>
  </si>
  <si>
    <t>Neil Parker</t>
  </si>
  <si>
    <t>Oregon</t>
  </si>
  <si>
    <t>Pepe Reyna</t>
  </si>
  <si>
    <t>Pennsylvania</t>
  </si>
  <si>
    <t xml:space="preserve">Quddus Mohammed </t>
  </si>
  <si>
    <t>Rhode Island</t>
  </si>
  <si>
    <t>Rich Lopez</t>
  </si>
  <si>
    <t>South Carolina</t>
  </si>
  <si>
    <t>Robert Zalewski</t>
  </si>
  <si>
    <t>South Dakota</t>
  </si>
  <si>
    <t>Ronald Kooch</t>
  </si>
  <si>
    <t>Tennessee</t>
  </si>
  <si>
    <t>Ryan Kaminski</t>
  </si>
  <si>
    <t>Texas</t>
  </si>
  <si>
    <t>Sara Amorosino</t>
  </si>
  <si>
    <t>Utah</t>
  </si>
  <si>
    <t>Scott Palma</t>
  </si>
  <si>
    <t>Vermont</t>
  </si>
  <si>
    <t xml:space="preserve">Shannon Mangiameli </t>
  </si>
  <si>
    <t>Virginia</t>
  </si>
  <si>
    <t>Shawn Virag</t>
  </si>
  <si>
    <t>Washington</t>
  </si>
  <si>
    <t>Stephanie Reed</t>
  </si>
  <si>
    <t>West Virginia</t>
  </si>
  <si>
    <t>Tassos Chorozidis</t>
  </si>
  <si>
    <t>Wisconsin</t>
  </si>
  <si>
    <t>Tiffany Siegel</t>
  </si>
  <si>
    <t>Wyoming</t>
  </si>
  <si>
    <t>Todd Plociniak</t>
  </si>
  <si>
    <t>Todd Van Voast</t>
  </si>
  <si>
    <t>Tom Gercak</t>
  </si>
  <si>
    <t>Tony Maclean</t>
  </si>
  <si>
    <t>`</t>
  </si>
  <si>
    <t>Date *</t>
  </si>
  <si>
    <t>EC3</t>
  </si>
  <si>
    <t>insert here</t>
  </si>
  <si>
    <t>CULMULATIVE DELTA</t>
  </si>
  <si>
    <t>IMPACT TO ANY MILESTONE</t>
  </si>
  <si>
    <t>Click to Freeze Panes</t>
  </si>
  <si>
    <t>TOTAL: Soft Cost (Design Team), Hard Cost and Contingencies</t>
  </si>
  <si>
    <t>Construction by DEV/LL</t>
  </si>
  <si>
    <t>Construction by LL</t>
  </si>
  <si>
    <t>CHANGE ORDER TRACKING LOG</t>
  </si>
  <si>
    <t>Consultants (Direct Hire By Amazon)</t>
  </si>
  <si>
    <t>34 41 00</t>
  </si>
  <si>
    <t>31 05 05</t>
  </si>
  <si>
    <t>Roadway Signaling and Control Equipment</t>
  </si>
  <si>
    <t>Selective Demolition for Earthwork</t>
  </si>
  <si>
    <t>MEDIUM</t>
  </si>
  <si>
    <t>3PQA</t>
  </si>
  <si>
    <t>Quality Control Testing  (Soil, Concrete, Steel etc.)</t>
  </si>
  <si>
    <t>Refrigeration(EU Only)</t>
  </si>
  <si>
    <t>TOTAL - DEVELOPER CONTINGENCY</t>
  </si>
  <si>
    <t>TOTAL - DEVELOPER CONTINGENCY COMMITMENTS</t>
  </si>
  <si>
    <t>TOTAL - DEVELOPER CONTINGENCY REMAINING</t>
  </si>
  <si>
    <t>Electrical / Metering</t>
  </si>
  <si>
    <t>26 27 13</t>
  </si>
  <si>
    <t>Submetering</t>
  </si>
  <si>
    <t>Prelim Bidding to GMP/Material Escalation</t>
  </si>
  <si>
    <t>Other</t>
  </si>
  <si>
    <t>Winter Conditions/Schedule Acceleration</t>
  </si>
  <si>
    <t>Designated Tenant Allowance - Sprinkler Head Adjustments @ MHE</t>
  </si>
  <si>
    <t>WHS</t>
  </si>
  <si>
    <t>Amazon Capital To Date:</t>
  </si>
  <si>
    <t>Projected Billings (Initial)</t>
  </si>
  <si>
    <t>Projected Developer Contribution (Initial)</t>
  </si>
  <si>
    <t>Projected Retainage (Initial)</t>
  </si>
  <si>
    <t>Projected Amazon Contribution Initial (Auto)</t>
  </si>
  <si>
    <t>Revised Projected Billings*</t>
  </si>
  <si>
    <t>Revised Projected Developer Contribution *</t>
  </si>
  <si>
    <t>Revised Projected Retainage</t>
  </si>
  <si>
    <t>Revised Projected Amazon Contribution (Auto)</t>
  </si>
  <si>
    <t>Actual Billings This Period</t>
  </si>
  <si>
    <t>Actual Developer Contribution This Period *</t>
  </si>
  <si>
    <t>Actual Retainage this period</t>
  </si>
  <si>
    <t>Actual Amzn Contribution this Period (Auto)</t>
  </si>
  <si>
    <t>Green $= From base Subcontractor Breakdown and Contingency Tabs.  No direct entry required in these fields.</t>
  </si>
  <si>
    <t>* Cell C5 - Enter a date in MM-DD-YYYY format within the current month</t>
  </si>
  <si>
    <t>* Cell C6 - Enter the project 4 character Site Code</t>
  </si>
  <si>
    <t>* Row 111 - Enter known Due Diligence costs not included in line items above into appropriate columns</t>
  </si>
  <si>
    <t>* Row 112 - Enter known Direct Costs not included in line items above into appropriate columns</t>
  </si>
  <si>
    <t>* Row 113 - Cells D113 and G113 will auto populate.  Enter Anticipated and approved Supplemental amounts in to other fields as appropriate.</t>
  </si>
  <si>
    <r>
      <t xml:space="preserve">* Enter individual line item allocations of data shown in </t>
    </r>
    <r>
      <rPr>
        <b/>
        <sz val="14"/>
        <color rgb="FF000000"/>
        <rFont val="Calibri"/>
        <family val="2"/>
      </rPr>
      <t>GMP-PO Breakdown</t>
    </r>
    <r>
      <rPr>
        <sz val="11"/>
        <color rgb="FF000000"/>
        <rFont val="Calibri"/>
        <family val="2"/>
      </rPr>
      <t xml:space="preserve"> of rows 79-84.  This represents line itme allocations against original GMP values under TI Allowance and Contingency.</t>
    </r>
  </si>
  <si>
    <r>
      <t>* Cell G108</t>
    </r>
    <r>
      <rPr>
        <b/>
        <sz val="14"/>
        <color rgb="FF000000"/>
        <rFont val="Calibri"/>
        <family val="2"/>
      </rPr>
      <t xml:space="preserve"> (Estimated Cost at Completion)</t>
    </r>
    <r>
      <rPr>
        <sz val="11"/>
        <color rgb="FF000000"/>
        <rFont val="Calibri"/>
        <family val="2"/>
      </rPr>
      <t xml:space="preserve"> should match </t>
    </r>
    <r>
      <rPr>
        <b/>
        <sz val="14"/>
        <color rgb="FF000000"/>
        <rFont val="Calibri"/>
        <family val="2"/>
      </rPr>
      <t>Cash Flow</t>
    </r>
    <r>
      <rPr>
        <sz val="11"/>
        <color rgb="FF000000"/>
        <rFont val="Calibri"/>
        <family val="2"/>
      </rPr>
      <t xml:space="preserve"> Tab cell I69 </t>
    </r>
    <r>
      <rPr>
        <b/>
        <sz val="14"/>
        <color rgb="FF000000"/>
        <rFont val="Calibri"/>
        <family val="2"/>
      </rPr>
      <t xml:space="preserve">(Revised Projected Billings) </t>
    </r>
    <r>
      <rPr>
        <sz val="11"/>
        <color rgb="FF000000"/>
        <rFont val="Calibri"/>
        <family val="2"/>
      </rPr>
      <t>less any estimated increases or Manager’s adjustments (Gross amounts including retainage)</t>
    </r>
  </si>
  <si>
    <r>
      <t xml:space="preserve">*Adjust values for </t>
    </r>
    <r>
      <rPr>
        <b/>
        <sz val="14"/>
        <color rgb="FF000000"/>
        <rFont val="Calibri"/>
        <family val="2"/>
      </rPr>
      <t>Revised Projected Billings, Revised Projected Developer Contribution and Revised Projected Retainage</t>
    </r>
    <r>
      <rPr>
        <sz val="11"/>
        <color rgb="FF000000"/>
        <rFont val="Calibri"/>
        <family val="2"/>
      </rPr>
      <t xml:space="preserve"> for future billing periods to maintain a total </t>
    </r>
    <r>
      <rPr>
        <b/>
        <sz val="14"/>
        <color rgb="FF000000"/>
        <rFont val="Calibri"/>
        <family val="2"/>
      </rPr>
      <t>Revised Projected Billing</t>
    </r>
    <r>
      <rPr>
        <sz val="11"/>
        <color rgb="FF000000"/>
        <rFont val="Calibri"/>
        <family val="2"/>
      </rPr>
      <t xml:space="preserve"> that matches </t>
    </r>
    <r>
      <rPr>
        <b/>
        <sz val="14"/>
        <color theme="1"/>
        <rFont val="Calibri"/>
        <family val="2"/>
      </rPr>
      <t>GMP-PO Breakdown Total Estimated Cost at Completion Cell G108.</t>
    </r>
  </si>
  <si>
    <r>
      <t xml:space="preserve">* Enter individual line item allocations of data shown in </t>
    </r>
    <r>
      <rPr>
        <b/>
        <sz val="14"/>
        <color rgb="FF000000"/>
        <rFont val="Calibri"/>
        <family val="2"/>
      </rPr>
      <t>GMP-PO Breakdown</t>
    </r>
    <r>
      <rPr>
        <sz val="11"/>
        <color rgb="FF000000"/>
        <rFont val="Calibri"/>
        <family val="2"/>
      </rPr>
      <t xml:space="preserve"> of rows 79-84.  This represents line item allocations against original GMP values under TI Allowance and Contingency.</t>
    </r>
  </si>
  <si>
    <r>
      <t>Complete this tab</t>
    </r>
    <r>
      <rPr>
        <b/>
        <sz val="14"/>
        <color rgb="FF000000"/>
        <rFont val="Calibri"/>
        <family val="2"/>
      </rPr>
      <t xml:space="preserve"> (Construction Waste Tracker) </t>
    </r>
    <r>
      <rPr>
        <sz val="11"/>
        <color rgb="FF000000"/>
        <rFont val="Calibri"/>
        <family val="2"/>
      </rPr>
      <t>to document total waste generated, recycled, waste diversion rate from all waste streams to show the following outputs</t>
    </r>
  </si>
  <si>
    <t>* Cell F108 (Total Completed &amp; Stored to Date) should match Cash Flow Tab cell O69 (Actual Billings this Period)</t>
  </si>
  <si>
    <t>* Cell G108 (Estimated Cost at Completion) should match Cash Flow Tab cell I69 (Revised Projected Billings) less any estimated increases or Manager’s adjustments (Gross amounts including retainage)</t>
  </si>
  <si>
    <t>Lemelle Johnson</t>
  </si>
  <si>
    <t>Augustus Murray</t>
  </si>
  <si>
    <t>Stephen Baker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</si>
</sst>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44" formatCode="_(&quot;$&quot;* #,##0.00_);_(&quot;$&quot;* \(#,##0.00\);_(&quot;$&quot;* &quot;-&quot;??_);_(@_)"/>
    <numFmt numFmtId="43" formatCode="_(* #,##0.00_);_(* \(#,##0.00\);_(* &quot;-&quot;??_);_(@_)"/>
    <numFmt numFmtId="164" formatCode="m/d/yy;@"/>
    <numFmt numFmtId="165" formatCode="_(&quot;$&quot;* #,##0_);_(&quot;$&quot;* \(#,##0\);_(&quot;$&quot;* &quot;-&quot;??_);_(@_)"/>
    <numFmt numFmtId="166" formatCode="&quot;$&quot;#,##0.00"/>
    <numFmt numFmtId="167" formatCode="0.0%"/>
    <numFmt numFmtId="168" formatCode="_(* #,##0_);_(* \(#,##0\);_(* &quot;-&quot;??_);_(@_)"/>
    <numFmt numFmtId="169" formatCode="mm/dd/yy;@"/>
    <numFmt numFmtId="170" formatCode="0.0"/>
    <numFmt numFmtId="171" formatCode="[$-409]mmm\-yy;@"/>
    <numFmt numFmtId="172" formatCode="_(* #,##0.000_);_(* \(#,##0.000\);_(* &quot;-&quot;??_);_(@_)"/>
    <numFmt numFmtId="173" formatCode=";;;"/>
  </numFmts>
  <fonts count="85" x14ac:knownFonts="1">
    <font>
      <sz val="11"/>
      <color theme="1"/>
      <name val="Calibri"/>
      <family val="2"/>
      <scheme val="minor"/>
    </font>
    <font>
      <sz val="11"/>
      <color theme="1"/>
      <name val="Calibri"/>
      <family val="2"/>
      <scheme val="minor"/>
    </font>
    <font>
      <b/>
      <sz val="11"/>
      <color theme="1"/>
      <name val="Calibri"/>
      <family val="2"/>
      <scheme val="minor"/>
    </font>
    <font>
      <b/>
      <sz val="18"/>
      <color rgb="FF000000"/>
      <name val="Calibri"/>
      <family val="2"/>
    </font>
    <font>
      <sz val="10"/>
      <color theme="1"/>
      <name val="Times New Roman"/>
      <family val="1"/>
    </font>
    <font>
      <sz val="12"/>
      <color theme="1"/>
      <name val="Calibri"/>
      <family val="2"/>
    </font>
    <font>
      <sz val="11"/>
      <color rgb="FF000000"/>
      <name val="Calibri"/>
      <family val="2"/>
    </font>
    <font>
      <sz val="11"/>
      <color rgb="FFFF0000"/>
      <name val="Calibri"/>
      <family val="2"/>
    </font>
    <font>
      <b/>
      <sz val="14"/>
      <color rgb="FFFF0000"/>
      <name val="Calibri"/>
      <family val="2"/>
    </font>
    <font>
      <b/>
      <sz val="14"/>
      <color rgb="FF000000"/>
      <name val="Calibri"/>
      <family val="2"/>
    </font>
    <font>
      <b/>
      <sz val="11"/>
      <color rgb="FF1F4E78"/>
      <name val="Calibri"/>
      <family val="2"/>
    </font>
    <font>
      <sz val="14"/>
      <color rgb="FF000000"/>
      <name val="Calibri"/>
      <family val="2"/>
    </font>
    <font>
      <b/>
      <sz val="11"/>
      <color rgb="FF000000"/>
      <name val="Calibri"/>
      <family val="2"/>
    </font>
    <font>
      <sz val="11"/>
      <color rgb="FF548235"/>
      <name val="Calibri"/>
      <family val="2"/>
    </font>
    <font>
      <sz val="11"/>
      <color rgb="FF000000"/>
      <name val="Arial Narrow"/>
      <family val="2"/>
    </font>
    <font>
      <b/>
      <sz val="16"/>
      <color rgb="FF000000"/>
      <name val="Calibri"/>
      <family val="2"/>
    </font>
    <font>
      <b/>
      <sz val="14"/>
      <color theme="1"/>
      <name val="Calibri"/>
      <family val="2"/>
    </font>
    <font>
      <b/>
      <sz val="16"/>
      <color theme="1"/>
      <name val="Calibri"/>
      <family val="2"/>
    </font>
    <font>
      <sz val="12"/>
      <color theme="1"/>
      <name val="Calibri"/>
      <family val="2"/>
      <scheme val="minor"/>
    </font>
    <font>
      <sz val="11"/>
      <color theme="1"/>
      <name val="Arial Narrow"/>
      <family val="2"/>
    </font>
    <font>
      <b/>
      <sz val="11"/>
      <color theme="1"/>
      <name val="Arial Narrow"/>
      <family val="2"/>
    </font>
    <font>
      <sz val="10"/>
      <name val="Arial"/>
      <family val="2"/>
    </font>
    <font>
      <b/>
      <sz val="10"/>
      <name val="Arial Narrow"/>
      <family val="2"/>
    </font>
    <font>
      <b/>
      <sz val="11"/>
      <name val="Arial Narrow"/>
      <family val="2"/>
    </font>
    <font>
      <sz val="10"/>
      <name val="Arial Narrow"/>
      <family val="2"/>
    </font>
    <font>
      <sz val="10"/>
      <color rgb="FF0000FF"/>
      <name val="Arial Narrow"/>
      <family val="2"/>
    </font>
    <font>
      <sz val="10"/>
      <color theme="1"/>
      <name val="Arial Narrow"/>
      <family val="2"/>
    </font>
    <font>
      <b/>
      <sz val="12"/>
      <name val="Arial Narrow"/>
      <family val="2"/>
    </font>
    <font>
      <sz val="11"/>
      <color rgb="FFFF0000"/>
      <name val="Arial Narrow"/>
      <family val="2"/>
    </font>
    <font>
      <b/>
      <sz val="10"/>
      <color theme="1"/>
      <name val="Arial Narrow"/>
      <family val="2"/>
    </font>
    <font>
      <b/>
      <i/>
      <sz val="10"/>
      <color theme="1"/>
      <name val="Arial Narrow"/>
      <family val="2"/>
    </font>
    <font>
      <b/>
      <sz val="11"/>
      <color theme="0"/>
      <name val="Arial Narrow"/>
      <family val="2"/>
    </font>
    <font>
      <sz val="10"/>
      <color rgb="FF000000"/>
      <name val="Arial Narrow"/>
      <family val="2"/>
    </font>
    <font>
      <sz val="11"/>
      <name val="Arial Narrow"/>
      <family val="2"/>
    </font>
    <font>
      <sz val="10"/>
      <color rgb="FF008000"/>
      <name val="Arial Narrow"/>
      <family val="2"/>
    </font>
    <font>
      <sz val="11"/>
      <name val="Calibri"/>
      <family val="2"/>
      <scheme val="minor"/>
    </font>
    <font>
      <b/>
      <sz val="12"/>
      <color theme="1"/>
      <name val="Arial Narrow"/>
      <family val="2"/>
    </font>
    <font>
      <b/>
      <sz val="9"/>
      <name val="Arial Narrow"/>
      <family val="2"/>
    </font>
    <font>
      <b/>
      <sz val="9"/>
      <color rgb="FF000000"/>
      <name val="Arial Narrow"/>
      <family val="2"/>
    </font>
    <font>
      <b/>
      <sz val="9"/>
      <color indexed="81"/>
      <name val="Tahoma"/>
      <family val="2"/>
    </font>
    <font>
      <sz val="12"/>
      <color indexed="81"/>
      <name val="Tahoma"/>
      <family val="2"/>
    </font>
    <font>
      <sz val="9"/>
      <color indexed="81"/>
      <name val="Tahoma"/>
      <family val="2"/>
    </font>
    <font>
      <b/>
      <sz val="10"/>
      <color rgb="FF000000"/>
      <name val="Tahoma"/>
      <family val="2"/>
    </font>
    <font>
      <sz val="10"/>
      <color rgb="FF000000"/>
      <name val="Tahoma"/>
      <family val="2"/>
    </font>
    <font>
      <b/>
      <u/>
      <sz val="11"/>
      <color rgb="FF000000"/>
      <name val="Calibri"/>
      <family val="2"/>
    </font>
    <font>
      <sz val="10"/>
      <color rgb="FF000000"/>
      <name val="Calibri"/>
      <family val="2"/>
    </font>
    <font>
      <b/>
      <sz val="11"/>
      <color theme="0"/>
      <name val="Calibri"/>
      <family val="2"/>
      <scheme val="minor"/>
    </font>
    <font>
      <sz val="11"/>
      <color rgb="FFFF0000"/>
      <name val="Calibri"/>
      <family val="2"/>
      <scheme val="minor"/>
    </font>
    <font>
      <sz val="11"/>
      <color theme="0"/>
      <name val="Calibri"/>
      <family val="2"/>
      <scheme val="minor"/>
    </font>
    <font>
      <b/>
      <sz val="11"/>
      <name val="Calibri"/>
      <family val="2"/>
      <scheme val="minor"/>
    </font>
    <font>
      <sz val="10"/>
      <name val="Calibri"/>
      <family val="2"/>
      <scheme val="minor"/>
    </font>
    <font>
      <sz val="10"/>
      <color rgb="FF073FDD"/>
      <name val="Calibri"/>
      <family val="2"/>
      <scheme val="minor"/>
    </font>
    <font>
      <b/>
      <sz val="10"/>
      <name val="Calibri"/>
      <family val="2"/>
      <scheme val="minor"/>
    </font>
    <font>
      <b/>
      <sz val="9"/>
      <name val="Calibri"/>
      <family val="2"/>
      <scheme val="minor"/>
    </font>
    <font>
      <b/>
      <sz val="12"/>
      <color theme="0"/>
      <name val="Calibri"/>
      <family val="2"/>
      <scheme val="minor"/>
    </font>
    <font>
      <sz val="10"/>
      <color theme="1"/>
      <name val="Calibri"/>
      <family val="2"/>
      <scheme val="minor"/>
    </font>
    <font>
      <sz val="12"/>
      <color rgb="FF073FDD"/>
      <name val="Calibri"/>
      <family val="2"/>
      <scheme val="minor"/>
    </font>
    <font>
      <b/>
      <sz val="12"/>
      <color theme="1"/>
      <name val="Calibri"/>
      <family val="2"/>
      <scheme val="minor"/>
    </font>
    <font>
      <sz val="12"/>
      <color rgb="FF008000"/>
      <name val="Calibri"/>
      <family val="2"/>
      <scheme val="minor"/>
    </font>
    <font>
      <u/>
      <sz val="12"/>
      <color theme="1"/>
      <name val="Calibri"/>
      <family val="2"/>
      <scheme val="minor"/>
    </font>
    <font>
      <sz val="12"/>
      <color rgb="FF0000FF"/>
      <name val="Calibri"/>
      <family val="2"/>
      <scheme val="minor"/>
    </font>
    <font>
      <b/>
      <sz val="14"/>
      <color theme="1"/>
      <name val="Calibri"/>
      <family val="2"/>
      <scheme val="minor"/>
    </font>
    <font>
      <b/>
      <sz val="14"/>
      <color theme="1"/>
      <name val="Arial Narrow"/>
      <family val="2"/>
    </font>
    <font>
      <b/>
      <sz val="14"/>
      <color theme="0"/>
      <name val="Arial Narrow"/>
      <family val="2"/>
    </font>
    <font>
      <b/>
      <sz val="14"/>
      <name val="Arial Narrow"/>
      <family val="2"/>
    </font>
    <font>
      <b/>
      <sz val="14"/>
      <color rgb="FFFF0000"/>
      <name val="Arial Narrow"/>
      <family val="2"/>
    </font>
    <font>
      <sz val="12"/>
      <name val="Calibri"/>
      <family val="2"/>
      <scheme val="minor"/>
    </font>
    <font>
      <b/>
      <sz val="12"/>
      <color rgb="FFFF0000"/>
      <name val="Calibri"/>
      <family val="2"/>
      <scheme val="minor"/>
    </font>
    <font>
      <b/>
      <sz val="12"/>
      <color indexed="81"/>
      <name val="Tahoma"/>
      <family val="2"/>
    </font>
    <font>
      <b/>
      <sz val="14"/>
      <name val="Calibri"/>
      <family val="2"/>
      <scheme val="minor"/>
    </font>
    <font>
      <sz val="12"/>
      <color theme="1"/>
      <name val="Arial Narrow"/>
      <family val="2"/>
    </font>
    <font>
      <sz val="14"/>
      <color theme="1"/>
      <name val="Arial Narrow"/>
      <family val="2"/>
    </font>
    <font>
      <sz val="12"/>
      <color rgb="FF000000"/>
      <name val="Arial Narrow"/>
      <family val="2"/>
    </font>
    <font>
      <b/>
      <sz val="10"/>
      <color rgb="FF000000"/>
      <name val="Arial Narrow"/>
      <family val="2"/>
    </font>
    <font>
      <b/>
      <sz val="10"/>
      <color theme="0"/>
      <name val="Arial Narrow"/>
      <family val="2"/>
    </font>
    <font>
      <b/>
      <sz val="12"/>
      <color rgb="FF000000"/>
      <name val="Arial Narrow"/>
      <family val="2"/>
    </font>
    <font>
      <b/>
      <sz val="12"/>
      <name val="Calibri"/>
      <family val="2"/>
      <scheme val="minor"/>
    </font>
    <font>
      <sz val="12"/>
      <color rgb="FF000000"/>
      <name val="Calibri"/>
      <family val="2"/>
      <scheme val="minor"/>
    </font>
    <font>
      <b/>
      <sz val="16"/>
      <color theme="0"/>
      <name val="Arial Narrow"/>
      <family val="2"/>
    </font>
    <font>
      <sz val="12"/>
      <name val="Arial Narrow"/>
      <family val="2"/>
    </font>
    <font>
      <i/>
      <sz val="12"/>
      <name val="Arial Narrow"/>
      <family val="2"/>
    </font>
    <font>
      <b/>
      <sz val="11"/>
      <color rgb="FFFF0000"/>
      <name val="Arial Narrow"/>
      <family val="2"/>
    </font>
    <font>
      <b/>
      <sz val="11"/>
      <color theme="1"/>
      <name val="Cambria"/>
      <family val="1"/>
    </font>
    <font>
      <sz val="11"/>
      <color theme="1"/>
      <name val="Cambria"/>
      <family val="1"/>
    </font>
    <font>
      <b/>
      <sz val="12"/>
      <color theme="0"/>
      <name val="Arial Narrow"/>
      <family val="2"/>
    </font>
  </fonts>
  <fills count="28">
    <fill>
      <patternFill patternType="none"/>
    </fill>
    <fill>
      <patternFill patternType="gray125"/>
    </fill>
    <fill>
      <patternFill patternType="solid">
        <fgColor rgb="FF0070C0"/>
        <bgColor indexed="64"/>
      </patternFill>
    </fill>
    <fill>
      <patternFill patternType="solid">
        <fgColor rgb="FF000000"/>
        <bgColor indexed="64"/>
      </patternFill>
    </fill>
    <fill>
      <patternFill patternType="solid">
        <fgColor rgb="FF00B050"/>
        <bgColor indexed="64"/>
      </patternFill>
    </fill>
    <fill>
      <patternFill patternType="solid">
        <fgColor rgb="FFBDD7EE"/>
        <bgColor indexed="64"/>
      </patternFill>
    </fill>
    <fill>
      <patternFill patternType="solid">
        <fgColor theme="4" tint="0.59999389629810485"/>
        <bgColor indexed="64"/>
      </patternFill>
    </fill>
    <fill>
      <patternFill patternType="solid">
        <fgColor theme="4" tint="0.59996337778862885"/>
        <bgColor indexed="64"/>
      </patternFill>
    </fill>
    <fill>
      <patternFill patternType="solid">
        <fgColor theme="0"/>
        <bgColor indexed="64"/>
      </patternFill>
    </fill>
    <fill>
      <patternFill patternType="solid">
        <fgColor rgb="FFFFC000"/>
        <bgColor indexed="64"/>
      </patternFill>
    </fill>
    <fill>
      <patternFill patternType="solid">
        <fgColor theme="7"/>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7" tint="0.79998168889431442"/>
        <bgColor indexed="64"/>
      </patternFill>
    </fill>
    <fill>
      <patternFill patternType="solid">
        <fgColor rgb="FFFF0000"/>
        <bgColor indexed="64"/>
      </patternFill>
    </fill>
    <fill>
      <patternFill patternType="lightUp">
        <fgColor theme="2" tint="-0.24994659260841701"/>
        <bgColor indexed="65"/>
      </patternFill>
    </fill>
    <fill>
      <patternFill patternType="solid">
        <fgColor theme="0" tint="-0.249977111117893"/>
        <bgColor indexed="64"/>
      </patternFill>
    </fill>
    <fill>
      <patternFill patternType="solid">
        <fgColor theme="8" tint="0.79998168889431442"/>
        <bgColor indexed="64"/>
      </patternFill>
    </fill>
    <fill>
      <patternFill patternType="solid">
        <fgColor indexed="22"/>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FFFF00"/>
        <bgColor indexed="64"/>
      </patternFill>
    </fill>
    <fill>
      <patternFill patternType="lightUp">
        <bgColor rgb="FFFFFF00"/>
      </patternFill>
    </fill>
    <fill>
      <patternFill patternType="solid">
        <fgColor rgb="FFF8F8F8"/>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7" tint="0.39997558519241921"/>
        <bgColor indexed="64"/>
      </patternFill>
    </fill>
  </fills>
  <borders count="152">
    <border>
      <left/>
      <right/>
      <top/>
      <bottom/>
      <diagonal/>
    </border>
    <border>
      <left style="medium">
        <color indexed="64"/>
      </left>
      <right style="medium">
        <color indexed="64"/>
      </right>
      <top style="medium">
        <color indexed="64"/>
      </top>
      <bottom/>
      <diagonal/>
    </border>
    <border>
      <left/>
      <right style="medium">
        <color auto="1"/>
      </right>
      <top style="medium">
        <color auto="1"/>
      </top>
      <bottom style="medium">
        <color auto="1"/>
      </bottom>
      <diagonal/>
    </border>
    <border>
      <left style="medium">
        <color indexed="64"/>
      </left>
      <right style="medium">
        <color indexed="64"/>
      </right>
      <top/>
      <bottom/>
      <diagonal/>
    </border>
    <border>
      <left/>
      <right style="medium">
        <color auto="1"/>
      </right>
      <top/>
      <bottom style="medium">
        <color auto="1"/>
      </bottom>
      <diagonal/>
    </border>
    <border>
      <left style="medium">
        <color indexed="64"/>
      </left>
      <right style="medium">
        <color indexed="64"/>
      </right>
      <top/>
      <bottom style="medium">
        <color indexed="64"/>
      </bottom>
      <diagonal/>
    </border>
    <border>
      <left style="medium">
        <color auto="1"/>
      </left>
      <right style="medium">
        <color auto="1"/>
      </right>
      <top style="medium">
        <color auto="1"/>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style="medium">
        <color indexed="64"/>
      </right>
      <top style="medium">
        <color auto="1"/>
      </top>
      <bottom style="thin">
        <color auto="1"/>
      </bottom>
      <diagonal/>
    </border>
    <border>
      <left style="medium">
        <color auto="1"/>
      </left>
      <right style="thin">
        <color auto="1"/>
      </right>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medium">
        <color indexed="64"/>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medium">
        <color indexed="64"/>
      </right>
      <top style="thin">
        <color auto="1"/>
      </top>
      <bottom style="medium">
        <color indexed="64"/>
      </bottom>
      <diagonal/>
    </border>
    <border>
      <left style="medium">
        <color auto="1"/>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top style="medium">
        <color auto="1"/>
      </top>
      <bottom style="medium">
        <color auto="1"/>
      </bottom>
      <diagonal/>
    </border>
    <border>
      <left/>
      <right style="medium">
        <color indexed="64"/>
      </right>
      <top style="medium">
        <color indexed="64"/>
      </top>
      <bottom/>
      <diagonal/>
    </border>
    <border>
      <left style="medium">
        <color indexed="64"/>
      </left>
      <right/>
      <top/>
      <bottom style="medium">
        <color indexed="64"/>
      </bottom>
      <diagonal/>
    </border>
    <border>
      <left style="thin">
        <color auto="1"/>
      </left>
      <right style="thin">
        <color auto="1"/>
      </right>
      <top/>
      <bottom style="thin">
        <color auto="1"/>
      </bottom>
      <diagonal/>
    </border>
    <border>
      <left/>
      <right style="thin">
        <color indexed="64"/>
      </right>
      <top/>
      <bottom/>
      <diagonal/>
    </border>
    <border>
      <left style="thin">
        <color auto="1"/>
      </left>
      <right style="thin">
        <color auto="1"/>
      </right>
      <top/>
      <bottom/>
      <diagonal/>
    </border>
    <border>
      <left style="thin">
        <color auto="1"/>
      </left>
      <right style="medium">
        <color auto="1"/>
      </right>
      <top/>
      <bottom/>
      <diagonal/>
    </border>
    <border>
      <left/>
      <right/>
      <top/>
      <bottom style="thin">
        <color indexed="64"/>
      </bottom>
      <diagonal/>
    </border>
    <border>
      <left/>
      <right/>
      <top style="thin">
        <color indexed="64"/>
      </top>
      <bottom style="thin">
        <color indexed="64"/>
      </bottom>
      <diagonal/>
    </border>
    <border>
      <left style="medium">
        <color auto="1"/>
      </left>
      <right style="thin">
        <color auto="1"/>
      </right>
      <top/>
      <bottom style="medium">
        <color auto="1"/>
      </bottom>
      <diagonal/>
    </border>
    <border>
      <left style="thin">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top/>
      <bottom/>
      <diagonal/>
    </border>
    <border>
      <left style="thin">
        <color auto="1"/>
      </left>
      <right/>
      <top style="medium">
        <color auto="1"/>
      </top>
      <bottom style="medium">
        <color auto="1"/>
      </bottom>
      <diagonal/>
    </border>
    <border>
      <left style="thin">
        <color auto="1"/>
      </left>
      <right style="thin">
        <color auto="1"/>
      </right>
      <top style="thin">
        <color auto="1"/>
      </top>
      <bottom/>
      <diagonal/>
    </border>
    <border>
      <left/>
      <right style="thin">
        <color auto="1"/>
      </right>
      <top/>
      <bottom style="medium">
        <color auto="1"/>
      </bottom>
      <diagonal/>
    </border>
    <border>
      <left/>
      <right style="medium">
        <color indexed="64"/>
      </right>
      <top style="medium">
        <color auto="1"/>
      </top>
      <bottom style="thin">
        <color indexed="64"/>
      </bottom>
      <diagonal/>
    </border>
    <border>
      <left/>
      <right style="medium">
        <color auto="1"/>
      </right>
      <top style="thin">
        <color auto="1"/>
      </top>
      <bottom style="thin">
        <color auto="1"/>
      </bottom>
      <diagonal/>
    </border>
    <border>
      <left style="medium">
        <color auto="1"/>
      </left>
      <right style="hair">
        <color auto="1"/>
      </right>
      <top/>
      <bottom/>
      <diagonal/>
    </border>
    <border>
      <left style="hair">
        <color auto="1"/>
      </left>
      <right style="hair">
        <color auto="1"/>
      </right>
      <top/>
      <bottom/>
      <diagonal/>
    </border>
    <border>
      <left/>
      <right style="hair">
        <color auto="1"/>
      </right>
      <top/>
      <bottom/>
      <diagonal/>
    </border>
    <border>
      <left style="hair">
        <color auto="1"/>
      </left>
      <right style="medium">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auto="1"/>
      </right>
      <top style="medium">
        <color indexed="64"/>
      </top>
      <bottom style="thin">
        <color auto="1"/>
      </bottom>
      <diagonal/>
    </border>
    <border>
      <left/>
      <right style="medium">
        <color indexed="64"/>
      </right>
      <top style="thin">
        <color indexed="64"/>
      </top>
      <bottom style="medium">
        <color indexed="64"/>
      </bottom>
      <diagonal/>
    </border>
    <border>
      <left style="thick">
        <color auto="1"/>
      </left>
      <right style="thin">
        <color auto="1"/>
      </right>
      <top style="thick">
        <color auto="1"/>
      </top>
      <bottom style="double">
        <color auto="1"/>
      </bottom>
      <diagonal/>
    </border>
    <border>
      <left style="thin">
        <color auto="1"/>
      </left>
      <right/>
      <top style="thick">
        <color auto="1"/>
      </top>
      <bottom style="double">
        <color auto="1"/>
      </bottom>
      <diagonal/>
    </border>
    <border>
      <left style="thin">
        <color auto="1"/>
      </left>
      <right style="thick">
        <color indexed="64"/>
      </right>
      <top style="medium">
        <color auto="1"/>
      </top>
      <bottom style="medium">
        <color auto="1"/>
      </bottom>
      <diagonal/>
    </border>
    <border>
      <left/>
      <right style="thick">
        <color indexed="64"/>
      </right>
      <top style="medium">
        <color auto="1"/>
      </top>
      <bottom/>
      <diagonal/>
    </border>
    <border>
      <left style="thick">
        <color auto="1"/>
      </left>
      <right/>
      <top/>
      <bottom/>
      <diagonal/>
    </border>
    <border>
      <left/>
      <right style="thick">
        <color auto="1"/>
      </right>
      <top/>
      <bottom/>
      <diagonal/>
    </border>
    <border>
      <left/>
      <right style="slantDashDot">
        <color auto="1"/>
      </right>
      <top/>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right style="thin">
        <color auto="1"/>
      </right>
      <top style="thin">
        <color auto="1"/>
      </top>
      <bottom style="thin">
        <color auto="1"/>
      </bottom>
      <diagonal/>
    </border>
    <border>
      <left style="medium">
        <color auto="1"/>
      </left>
      <right/>
      <top/>
      <bottom/>
      <diagonal/>
    </border>
    <border>
      <left/>
      <right style="medium">
        <color indexed="64"/>
      </right>
      <top/>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style="medium">
        <color auto="1"/>
      </bottom>
      <diagonal/>
    </border>
    <border>
      <left/>
      <right/>
      <top style="thin">
        <color auto="1"/>
      </top>
      <bottom style="medium">
        <color auto="1"/>
      </bottom>
      <diagonal/>
    </border>
    <border>
      <left/>
      <right style="medium">
        <color auto="1"/>
      </right>
      <top style="thin">
        <color theme="0" tint="-0.249977111117893"/>
      </top>
      <bottom style="medium">
        <color auto="1"/>
      </bottom>
      <diagonal/>
    </border>
    <border>
      <left/>
      <right style="medium">
        <color auto="1"/>
      </right>
      <top/>
      <bottom style="thin">
        <color theme="0" tint="-0.499984740745262"/>
      </bottom>
      <diagonal/>
    </border>
    <border>
      <left style="medium">
        <color auto="1"/>
      </left>
      <right/>
      <top/>
      <bottom style="thin">
        <color auto="1"/>
      </bottom>
      <diagonal/>
    </border>
    <border>
      <left/>
      <right style="medium">
        <color auto="1"/>
      </right>
      <top style="thin">
        <color theme="0" tint="-0.249977111117893"/>
      </top>
      <bottom/>
      <diagonal/>
    </border>
    <border>
      <left style="medium">
        <color auto="1"/>
      </left>
      <right style="thin">
        <color indexed="64"/>
      </right>
      <top/>
      <bottom/>
      <diagonal/>
    </border>
    <border>
      <left/>
      <right style="medium">
        <color auto="1"/>
      </right>
      <top style="thin">
        <color theme="0" tint="-0.249977111117893"/>
      </top>
      <bottom style="thin">
        <color theme="0" tint="-0.249977111117893"/>
      </bottom>
      <diagonal/>
    </border>
    <border>
      <left/>
      <right style="medium">
        <color auto="1"/>
      </right>
      <top style="thin">
        <color theme="0" tint="-0.499984740745262"/>
      </top>
      <bottom style="thin">
        <color theme="0" tint="-0.24994659260841701"/>
      </bottom>
      <diagonal/>
    </border>
    <border>
      <left/>
      <right/>
      <top style="thin">
        <color auto="1"/>
      </top>
      <bottom/>
      <diagonal/>
    </border>
    <border>
      <left style="medium">
        <color auto="1"/>
      </left>
      <right/>
      <top style="thin">
        <color auto="1"/>
      </top>
      <bottom/>
      <diagonal/>
    </border>
    <border>
      <left style="thin">
        <color theme="0" tint="-0.249977111117893"/>
      </left>
      <right style="medium">
        <color auto="1"/>
      </right>
      <top/>
      <bottom style="thin">
        <color theme="0" tint="-0.249977111117893"/>
      </bottom>
      <diagonal/>
    </border>
    <border>
      <left style="thin">
        <color rgb="FFBFBFBF"/>
      </left>
      <right style="thin">
        <color rgb="FFBFBFBF"/>
      </right>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medium">
        <color auto="1"/>
      </left>
      <right style="thin">
        <color theme="0" tint="-0.249977111117893"/>
      </right>
      <top/>
      <bottom style="thin">
        <color theme="0" tint="-0.249977111117893"/>
      </bottom>
      <diagonal/>
    </border>
    <border>
      <left style="thin">
        <color rgb="FFBFBFBF"/>
      </left>
      <right style="thin">
        <color rgb="FFBFBFBF"/>
      </right>
      <top/>
      <bottom style="thin">
        <color rgb="FFBFBFBF"/>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auto="1"/>
      </left>
      <right style="thin">
        <color theme="0" tint="-0.249977111117893"/>
      </right>
      <top style="thin">
        <color theme="0" tint="-0.249977111117893"/>
      </top>
      <bottom style="thin">
        <color theme="0" tint="-0.249977111117893"/>
      </bottom>
      <diagonal/>
    </border>
    <border>
      <left style="thin">
        <color auto="1"/>
      </left>
      <right style="medium">
        <color auto="1"/>
      </right>
      <top style="medium">
        <color auto="1"/>
      </top>
      <bottom style="thin">
        <color theme="0" tint="-0.249977111117893"/>
      </bottom>
      <diagonal/>
    </border>
    <border>
      <left style="thin">
        <color auto="1"/>
      </left>
      <right style="thin">
        <color auto="1"/>
      </right>
      <top style="medium">
        <color auto="1"/>
      </top>
      <bottom style="thin">
        <color theme="0" tint="-0.249977111117893"/>
      </bottom>
      <diagonal/>
    </border>
    <border>
      <left style="medium">
        <color auto="1"/>
      </left>
      <right style="thin">
        <color auto="1"/>
      </right>
      <top style="medium">
        <color auto="1"/>
      </top>
      <bottom style="thin">
        <color theme="0" tint="-0.249977111117893"/>
      </bottom>
      <diagonal/>
    </border>
    <border>
      <left style="thin">
        <color theme="0" tint="-0.249977111117893"/>
      </left>
      <right style="medium">
        <color auto="1"/>
      </right>
      <top style="medium">
        <color auto="1"/>
      </top>
      <bottom style="medium">
        <color auto="1"/>
      </bottom>
      <diagonal/>
    </border>
    <border>
      <left style="thin">
        <color theme="0" tint="-0.249977111117893"/>
      </left>
      <right style="thin">
        <color theme="0" tint="-0.249977111117893"/>
      </right>
      <top style="medium">
        <color auto="1"/>
      </top>
      <bottom style="medium">
        <color auto="1"/>
      </bottom>
      <diagonal/>
    </border>
    <border>
      <left style="medium">
        <color auto="1"/>
      </left>
      <right style="thin">
        <color theme="0" tint="-0.249977111117893"/>
      </right>
      <top style="medium">
        <color auto="1"/>
      </top>
      <bottom style="medium">
        <color auto="1"/>
      </bottom>
      <diagonal/>
    </border>
    <border>
      <left style="medium">
        <color auto="1"/>
      </left>
      <right style="thin">
        <color auto="1"/>
      </right>
      <top style="medium">
        <color indexed="64"/>
      </top>
      <bottom style="hair">
        <color auto="1"/>
      </bottom>
      <diagonal/>
    </border>
    <border>
      <left style="thin">
        <color auto="1"/>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indexed="64"/>
      </right>
      <top style="hair">
        <color auto="1"/>
      </top>
      <bottom style="hair">
        <color auto="1"/>
      </bottom>
      <diagonal/>
    </border>
    <border>
      <left style="medium">
        <color auto="1"/>
      </left>
      <right style="thin">
        <color auto="1"/>
      </right>
      <top style="hair">
        <color auto="1"/>
      </top>
      <bottom style="medium">
        <color auto="1"/>
      </bottom>
      <diagonal/>
    </border>
    <border>
      <left style="thin">
        <color auto="1"/>
      </left>
      <right style="thin">
        <color auto="1"/>
      </right>
      <top style="hair">
        <color auto="1"/>
      </top>
      <bottom style="medium">
        <color auto="1"/>
      </bottom>
      <diagonal/>
    </border>
    <border>
      <left style="thin">
        <color auto="1"/>
      </left>
      <right style="medium">
        <color indexed="64"/>
      </right>
      <top style="hair">
        <color auto="1"/>
      </top>
      <bottom style="medium">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style="medium">
        <color auto="1"/>
      </left>
      <right style="thin">
        <color auto="1"/>
      </right>
      <top/>
      <bottom style="hair">
        <color auto="1"/>
      </bottom>
      <diagonal/>
    </border>
    <border>
      <left style="thin">
        <color auto="1"/>
      </left>
      <right style="thin">
        <color auto="1"/>
      </right>
      <top/>
      <bottom style="hair">
        <color auto="1"/>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style="medium">
        <color theme="0" tint="-0.249977111117893"/>
      </left>
      <right style="medium">
        <color theme="0" tint="-0.249977111117893"/>
      </right>
      <top style="medium">
        <color theme="0" tint="-0.249977111117893"/>
      </top>
      <bottom style="medium">
        <color theme="0" tint="-0.249977111117893"/>
      </bottom>
      <diagonal/>
    </border>
    <border>
      <left/>
      <right style="medium">
        <color indexed="64"/>
      </right>
      <top/>
      <bottom style="thin">
        <color indexed="64"/>
      </bottom>
      <diagonal/>
    </border>
    <border>
      <left style="thin">
        <color auto="1"/>
      </left>
      <right style="thin">
        <color auto="1"/>
      </right>
      <top style="thick">
        <color auto="1"/>
      </top>
      <bottom style="double">
        <color auto="1"/>
      </bottom>
      <diagonal/>
    </border>
    <border>
      <left style="thin">
        <color auto="1"/>
      </left>
      <right style="thick">
        <color auto="1"/>
      </right>
      <top style="thick">
        <color auto="1"/>
      </top>
      <bottom style="double">
        <color auto="1"/>
      </bottom>
      <diagonal/>
    </border>
    <border>
      <left style="thick">
        <color auto="1"/>
      </left>
      <right style="thin">
        <color theme="4" tint="0.39994506668294322"/>
      </right>
      <top style="double">
        <color auto="1"/>
      </top>
      <bottom style="thin">
        <color theme="4" tint="0.39994506668294322"/>
      </bottom>
      <diagonal/>
    </border>
    <border>
      <left style="thin">
        <color theme="4" tint="0.39994506668294322"/>
      </left>
      <right style="thin">
        <color theme="4" tint="0.39994506668294322"/>
      </right>
      <top style="double">
        <color auto="1"/>
      </top>
      <bottom style="thin">
        <color theme="4" tint="0.39994506668294322"/>
      </bottom>
      <diagonal/>
    </border>
    <border>
      <left style="thin">
        <color theme="4" tint="0.39994506668294322"/>
      </left>
      <right style="thick">
        <color auto="1"/>
      </right>
      <top style="double">
        <color auto="1"/>
      </top>
      <bottom style="thin">
        <color theme="4" tint="0.39994506668294322"/>
      </bottom>
      <diagonal/>
    </border>
    <border>
      <left style="thick">
        <color auto="1"/>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thick">
        <color auto="1"/>
      </right>
      <top style="thin">
        <color theme="4" tint="0.39994506668294322"/>
      </top>
      <bottom style="thin">
        <color theme="4" tint="0.39994506668294322"/>
      </bottom>
      <diagonal/>
    </border>
    <border>
      <left style="thick">
        <color auto="1"/>
      </left>
      <right style="thin">
        <color theme="4" tint="0.39994506668294322"/>
      </right>
      <top style="thin">
        <color theme="4" tint="0.39994506668294322"/>
      </top>
      <bottom style="thick">
        <color auto="1"/>
      </bottom>
      <diagonal/>
    </border>
    <border>
      <left style="thin">
        <color theme="4" tint="0.39994506668294322"/>
      </left>
      <right style="thin">
        <color theme="4" tint="0.39994506668294322"/>
      </right>
      <top style="thin">
        <color theme="4" tint="0.39994506668294322"/>
      </top>
      <bottom style="thick">
        <color auto="1"/>
      </bottom>
      <diagonal/>
    </border>
    <border>
      <left style="thin">
        <color theme="4" tint="0.39994506668294322"/>
      </left>
      <right style="thick">
        <color auto="1"/>
      </right>
      <top style="thin">
        <color theme="4" tint="0.39994506668294322"/>
      </top>
      <bottom style="thick">
        <color auto="1"/>
      </bottom>
      <diagonal/>
    </border>
    <border>
      <left style="medium">
        <color auto="1"/>
      </left>
      <right style="thin">
        <color auto="1"/>
      </right>
      <top style="hair">
        <color auto="1"/>
      </top>
      <bottom/>
      <diagonal/>
    </border>
    <border>
      <left style="thin">
        <color auto="1"/>
      </left>
      <right style="thin">
        <color auto="1"/>
      </right>
      <top style="hair">
        <color auto="1"/>
      </top>
      <bottom/>
      <diagonal/>
    </border>
    <border>
      <left/>
      <right style="medium">
        <color indexed="64"/>
      </right>
      <top style="hair">
        <color auto="1"/>
      </top>
      <bottom style="medium">
        <color auto="1"/>
      </bottom>
      <diagonal/>
    </border>
    <border>
      <left style="medium">
        <color auto="1"/>
      </left>
      <right style="dotted">
        <color indexed="64"/>
      </right>
      <top/>
      <bottom/>
      <diagonal/>
    </border>
    <border>
      <left/>
      <right style="medium">
        <color indexed="64"/>
      </right>
      <top style="hair">
        <color auto="1"/>
      </top>
      <bottom/>
      <diagonal/>
    </border>
    <border>
      <left style="thin">
        <color auto="1"/>
      </left>
      <right/>
      <top style="medium">
        <color auto="1"/>
      </top>
      <bottom/>
      <diagonal/>
    </border>
    <border>
      <left style="thin">
        <color auto="1"/>
      </left>
      <right style="medium">
        <color auto="1"/>
      </right>
      <top style="medium">
        <color auto="1"/>
      </top>
      <bottom/>
      <diagonal/>
    </border>
    <border>
      <left style="thin">
        <color auto="1"/>
      </left>
      <right style="medium">
        <color indexed="64"/>
      </right>
      <top/>
      <bottom style="hair">
        <color auto="1"/>
      </bottom>
      <diagonal/>
    </border>
    <border>
      <left style="thin">
        <color auto="1"/>
      </left>
      <right style="medium">
        <color indexed="64"/>
      </right>
      <top style="hair">
        <color auto="1"/>
      </top>
      <bottom/>
      <diagonal/>
    </border>
    <border>
      <left style="medium">
        <color auto="1"/>
      </left>
      <right/>
      <top style="hair">
        <color auto="1"/>
      </top>
      <bottom style="hair">
        <color auto="1"/>
      </bottom>
      <diagonal/>
    </border>
    <border>
      <left/>
      <right style="medium">
        <color indexed="64"/>
      </right>
      <top style="hair">
        <color auto="1"/>
      </top>
      <bottom style="hair">
        <color auto="1"/>
      </bottom>
      <diagonal/>
    </border>
    <border>
      <left style="medium">
        <color indexed="64"/>
      </left>
      <right/>
      <top style="thin">
        <color indexed="64"/>
      </top>
      <bottom style="hair">
        <color indexed="64"/>
      </bottom>
      <diagonal/>
    </border>
  </borders>
  <cellStyleXfs count="11">
    <xf numFmtId="0" fontId="0" fillId="0" borderId="0"/>
    <xf numFmtId="44" fontId="1" fillId="0" borderId="0" applyFont="0" applyFill="0" applyBorder="0" applyAlignment="0" applyProtection="0"/>
    <xf numFmtId="9" fontId="1" fillId="0" borderId="0" applyFont="0" applyFill="0" applyBorder="0" applyAlignment="0" applyProtection="0"/>
    <xf numFmtId="0" fontId="21" fillId="0" borderId="0"/>
    <xf numFmtId="0" fontId="21" fillId="0" borderId="0"/>
    <xf numFmtId="44" fontId="21" fillId="0" borderId="0" applyFont="0" applyFill="0" applyBorder="0" applyAlignment="0" applyProtection="0"/>
    <xf numFmtId="43" fontId="21" fillId="0" borderId="0" applyFont="0" applyFill="0" applyBorder="0" applyAlignment="0" applyProtection="0"/>
    <xf numFmtId="44" fontId="21" fillId="0" borderId="0" applyFont="0" applyFill="0" applyBorder="0" applyAlignment="0" applyProtection="0"/>
    <xf numFmtId="0" fontId="18" fillId="0" borderId="0"/>
    <xf numFmtId="43" fontId="1" fillId="0" borderId="0" applyFont="0" applyFill="0" applyBorder="0" applyAlignment="0" applyProtection="0"/>
    <xf numFmtId="0" fontId="21" fillId="0" borderId="0"/>
  </cellStyleXfs>
  <cellXfs count="642">
    <xf numFmtId="0" fontId="0" fillId="0" borderId="0" xfId="0"/>
    <xf numFmtId="0" fontId="3" fillId="0" borderId="0" xfId="0" applyFont="1" applyAlignment="1">
      <alignment vertical="center"/>
    </xf>
    <xf numFmtId="0" fontId="4" fillId="0" borderId="0" xfId="0" applyFont="1"/>
    <xf numFmtId="0" fontId="5" fillId="0" borderId="0" xfId="0" applyFont="1" applyAlignment="1">
      <alignment vertical="center"/>
    </xf>
    <xf numFmtId="0" fontId="6" fillId="0" borderId="0" xfId="0" applyFont="1" applyAlignment="1">
      <alignment vertical="center"/>
    </xf>
    <xf numFmtId="0" fontId="8" fillId="0" borderId="0" xfId="0" applyFont="1" applyAlignment="1">
      <alignment vertical="center"/>
    </xf>
    <xf numFmtId="0" fontId="9" fillId="0" borderId="1" xfId="0" applyFont="1" applyBorder="1" applyAlignment="1">
      <alignment vertical="center"/>
    </xf>
    <xf numFmtId="0" fontId="6" fillId="0" borderId="2" xfId="0" applyFont="1" applyBorder="1" applyAlignment="1">
      <alignment vertical="center" wrapText="1"/>
    </xf>
    <xf numFmtId="0" fontId="6" fillId="0" borderId="3" xfId="0" applyFont="1" applyBorder="1" applyAlignment="1">
      <alignment vertical="center"/>
    </xf>
    <xf numFmtId="0" fontId="5" fillId="0" borderId="4" xfId="0" applyFont="1" applyBorder="1" applyAlignment="1">
      <alignment vertical="center" wrapText="1"/>
    </xf>
    <xf numFmtId="0" fontId="6" fillId="2" borderId="3" xfId="0" applyFont="1" applyFill="1" applyBorder="1" applyAlignment="1">
      <alignment vertical="center"/>
    </xf>
    <xf numFmtId="0" fontId="10" fillId="0" borderId="4" xfId="0" applyFont="1" applyBorder="1" applyAlignment="1">
      <alignment vertical="center" wrapText="1"/>
    </xf>
    <xf numFmtId="0" fontId="6" fillId="3" borderId="5" xfId="0" applyFont="1" applyFill="1" applyBorder="1" applyAlignment="1">
      <alignment vertical="center"/>
    </xf>
    <xf numFmtId="0" fontId="6" fillId="0" borderId="4" xfId="0" applyFont="1" applyBorder="1" applyAlignment="1">
      <alignment vertical="center" wrapText="1"/>
    </xf>
    <xf numFmtId="0" fontId="4" fillId="0" borderId="0" xfId="0" applyFont="1" applyAlignment="1">
      <alignment wrapText="1"/>
    </xf>
    <xf numFmtId="0" fontId="6" fillId="4" borderId="3" xfId="0" applyFont="1" applyFill="1" applyBorder="1" applyAlignment="1">
      <alignment vertical="center"/>
    </xf>
    <xf numFmtId="0" fontId="13" fillId="0" borderId="4" xfId="0" applyFont="1" applyBorder="1" applyAlignment="1">
      <alignment vertical="center" wrapText="1"/>
    </xf>
    <xf numFmtId="0" fontId="6" fillId="3" borderId="3" xfId="0" applyFont="1" applyFill="1" applyBorder="1" applyAlignment="1">
      <alignment vertical="center"/>
    </xf>
    <xf numFmtId="0" fontId="2" fillId="0" borderId="0" xfId="0" applyFont="1"/>
    <xf numFmtId="0" fontId="6" fillId="5" borderId="3" xfId="0" applyFont="1" applyFill="1" applyBorder="1" applyAlignment="1">
      <alignment vertical="center"/>
    </xf>
    <xf numFmtId="0" fontId="14" fillId="5" borderId="4" xfId="0" applyFont="1" applyFill="1" applyBorder="1" applyAlignment="1">
      <alignment vertical="center" wrapText="1"/>
    </xf>
    <xf numFmtId="0" fontId="6" fillId="5" borderId="5" xfId="0" applyFont="1" applyFill="1" applyBorder="1" applyAlignment="1">
      <alignment vertical="center"/>
    </xf>
    <xf numFmtId="0" fontId="4" fillId="0" borderId="0" xfId="0" applyFont="1" applyAlignment="1">
      <alignment vertical="center" wrapText="1"/>
    </xf>
    <xf numFmtId="0" fontId="9" fillId="0" borderId="3" xfId="0" applyFont="1" applyBorder="1" applyAlignment="1">
      <alignment vertical="center"/>
    </xf>
    <xf numFmtId="0" fontId="9" fillId="0" borderId="5" xfId="0" applyFont="1" applyBorder="1" applyAlignment="1">
      <alignment vertical="center"/>
    </xf>
    <xf numFmtId="0" fontId="9" fillId="0" borderId="6" xfId="0" applyFont="1" applyBorder="1" applyAlignment="1">
      <alignment vertical="center"/>
    </xf>
    <xf numFmtId="0" fontId="12" fillId="0" borderId="0" xfId="0" applyFont="1" applyAlignment="1">
      <alignment vertical="center" wrapText="1"/>
    </xf>
    <xf numFmtId="0" fontId="17" fillId="0" borderId="6" xfId="0" applyFont="1" applyBorder="1" applyAlignment="1">
      <alignment vertical="center"/>
    </xf>
    <xf numFmtId="0" fontId="15" fillId="0" borderId="6" xfId="0" applyFont="1" applyBorder="1" applyAlignment="1">
      <alignment vertical="center"/>
    </xf>
    <xf numFmtId="0" fontId="12" fillId="0" borderId="1" xfId="0" applyFont="1" applyBorder="1" applyAlignment="1">
      <alignment vertical="center"/>
    </xf>
    <xf numFmtId="0" fontId="12" fillId="0" borderId="2" xfId="0" applyFont="1" applyBorder="1" applyAlignment="1">
      <alignment vertical="center" wrapText="1"/>
    </xf>
    <xf numFmtId="0" fontId="6" fillId="0" borderId="5" xfId="0" applyFont="1" applyBorder="1" applyAlignment="1">
      <alignment vertical="center"/>
    </xf>
    <xf numFmtId="0" fontId="18" fillId="0" borderId="0" xfId="0" applyFont="1" applyAlignment="1">
      <alignment vertical="center"/>
    </xf>
    <xf numFmtId="0" fontId="19" fillId="0" borderId="0" xfId="0" applyFont="1" applyProtection="1"/>
    <xf numFmtId="0" fontId="19" fillId="0" borderId="0" xfId="0" applyFont="1" applyAlignment="1" applyProtection="1">
      <alignment horizontal="left"/>
    </xf>
    <xf numFmtId="0" fontId="20" fillId="0" borderId="0" xfId="0" applyFont="1" applyAlignment="1" applyProtection="1">
      <alignment horizontal="left"/>
    </xf>
    <xf numFmtId="0" fontId="19" fillId="0" borderId="0" xfId="0" applyFont="1" applyFill="1" applyProtection="1"/>
    <xf numFmtId="0" fontId="19" fillId="6" borderId="8" xfId="0" applyFont="1" applyFill="1" applyBorder="1" applyAlignment="1" applyProtection="1">
      <alignment horizontal="center"/>
    </xf>
    <xf numFmtId="0" fontId="22" fillId="7" borderId="8" xfId="3" applyFont="1" applyFill="1" applyBorder="1" applyAlignment="1" applyProtection="1">
      <alignment horizontal="left" vertical="center"/>
    </xf>
    <xf numFmtId="0" fontId="19" fillId="0" borderId="8" xfId="0" applyFont="1" applyBorder="1" applyProtection="1"/>
    <xf numFmtId="14" fontId="20" fillId="0" borderId="0" xfId="0" applyNumberFormat="1" applyFont="1" applyAlignment="1" applyProtection="1">
      <alignment horizontal="left"/>
    </xf>
    <xf numFmtId="0" fontId="23" fillId="0" borderId="0" xfId="0" applyFont="1" applyProtection="1"/>
    <xf numFmtId="0" fontId="22" fillId="0" borderId="9" xfId="3" applyFont="1" applyBorder="1" applyAlignment="1" applyProtection="1">
      <alignment horizontal="left"/>
    </xf>
    <xf numFmtId="0" fontId="22" fillId="0" borderId="15" xfId="3" applyFont="1" applyBorder="1" applyAlignment="1" applyProtection="1">
      <alignment horizontal="left"/>
    </xf>
    <xf numFmtId="0" fontId="22" fillId="0" borderId="17" xfId="3" applyFont="1" applyBorder="1" applyAlignment="1" applyProtection="1">
      <alignment horizontal="left"/>
    </xf>
    <xf numFmtId="44" fontId="22" fillId="0" borderId="19" xfId="1" applyFont="1" applyFill="1" applyBorder="1" applyAlignment="1" applyProtection="1"/>
    <xf numFmtId="44" fontId="24" fillId="0" borderId="19" xfId="1" applyFont="1" applyFill="1" applyBorder="1" applyAlignment="1" applyProtection="1"/>
    <xf numFmtId="44" fontId="27" fillId="0" borderId="19" xfId="1" applyFont="1" applyFill="1" applyBorder="1" applyAlignment="1" applyProtection="1"/>
    <xf numFmtId="0" fontId="22" fillId="6" borderId="22" xfId="3" applyFont="1" applyFill="1" applyBorder="1" applyAlignment="1" applyProtection="1">
      <alignment horizontal="left"/>
    </xf>
    <xf numFmtId="0" fontId="22" fillId="0" borderId="24" xfId="3" applyFont="1" applyBorder="1" applyAlignment="1" applyProtection="1">
      <alignment horizontal="left"/>
    </xf>
    <xf numFmtId="0" fontId="28" fillId="0" borderId="0" xfId="0" applyFont="1" applyProtection="1"/>
    <xf numFmtId="44" fontId="30" fillId="0" borderId="28" xfId="1" applyNumberFormat="1" applyFont="1" applyFill="1" applyBorder="1" applyAlignment="1" applyProtection="1">
      <alignment horizontal="right"/>
    </xf>
    <xf numFmtId="0" fontId="22" fillId="6" borderId="24" xfId="3" applyFont="1" applyFill="1" applyBorder="1" applyAlignment="1" applyProtection="1">
      <alignment horizontal="left"/>
    </xf>
    <xf numFmtId="0" fontId="24" fillId="0" borderId="0" xfId="3" applyFont="1" applyAlignment="1" applyProtection="1"/>
    <xf numFmtId="0" fontId="28" fillId="0" borderId="0" xfId="0" applyFont="1" applyFill="1" applyProtection="1"/>
    <xf numFmtId="0" fontId="31" fillId="2" borderId="30" xfId="0" applyFont="1" applyFill="1" applyBorder="1" applyAlignment="1" applyProtection="1">
      <alignment horizontal="left"/>
    </xf>
    <xf numFmtId="0" fontId="31" fillId="2" borderId="31" xfId="0" applyFont="1" applyFill="1" applyBorder="1" applyProtection="1"/>
    <xf numFmtId="0" fontId="31" fillId="2" borderId="33" xfId="0" applyFont="1" applyFill="1" applyBorder="1" applyProtection="1"/>
    <xf numFmtId="0" fontId="23" fillId="9" borderId="34" xfId="4" applyFont="1" applyFill="1" applyBorder="1" applyAlignment="1" applyProtection="1">
      <alignment horizontal="left" vertical="center"/>
    </xf>
    <xf numFmtId="0" fontId="23" fillId="9" borderId="7" xfId="4" applyFont="1" applyFill="1" applyBorder="1" applyAlignment="1" applyProtection="1">
      <alignment horizontal="left" vertical="center"/>
    </xf>
    <xf numFmtId="0" fontId="22" fillId="10" borderId="35" xfId="3" applyFont="1" applyFill="1" applyBorder="1" applyAlignment="1" applyProtection="1">
      <alignment horizontal="center" vertical="center" wrapText="1"/>
    </xf>
    <xf numFmtId="0" fontId="22" fillId="10" borderId="36" xfId="3" applyFont="1" applyFill="1" applyBorder="1" applyAlignment="1" applyProtection="1">
      <alignment horizontal="center" vertical="center" wrapText="1"/>
    </xf>
    <xf numFmtId="0" fontId="22" fillId="10" borderId="37" xfId="3" applyFont="1" applyFill="1" applyBorder="1" applyAlignment="1" applyProtection="1">
      <alignment horizontal="center" vertical="center" wrapText="1"/>
    </xf>
    <xf numFmtId="0" fontId="22" fillId="10" borderId="38" xfId="3" applyFont="1" applyFill="1" applyBorder="1" applyAlignment="1" applyProtection="1">
      <alignment horizontal="center" vertical="center" wrapText="1"/>
    </xf>
    <xf numFmtId="0" fontId="19" fillId="0" borderId="39" xfId="0" applyFont="1" applyBorder="1" applyProtection="1"/>
    <xf numFmtId="44" fontId="32" fillId="0" borderId="21" xfId="0" applyNumberFormat="1" applyFont="1" applyFill="1" applyBorder="1" applyProtection="1"/>
    <xf numFmtId="0" fontId="24" fillId="0" borderId="17" xfId="4" applyFont="1" applyBorder="1" applyAlignment="1" applyProtection="1">
      <alignment horizontal="left"/>
    </xf>
    <xf numFmtId="0" fontId="19" fillId="0" borderId="40" xfId="0" applyFont="1" applyBorder="1" applyProtection="1"/>
    <xf numFmtId="0" fontId="22" fillId="6" borderId="29" xfId="4" applyFont="1" applyFill="1" applyBorder="1" applyAlignment="1" applyProtection="1">
      <alignment horizontal="left"/>
    </xf>
    <xf numFmtId="0" fontId="22" fillId="6" borderId="32" xfId="4" applyFont="1" applyFill="1" applyBorder="1" applyAlignment="1" applyProtection="1">
      <alignment horizontal="left" indent="1"/>
    </xf>
    <xf numFmtId="44" fontId="32" fillId="6" borderId="42" xfId="0" applyNumberFormat="1" applyFont="1" applyFill="1" applyBorder="1" applyProtection="1"/>
    <xf numFmtId="44" fontId="32" fillId="6" borderId="10" xfId="0" applyNumberFormat="1" applyFont="1" applyFill="1" applyBorder="1" applyProtection="1"/>
    <xf numFmtId="0" fontId="22" fillId="0" borderId="32" xfId="4" applyFont="1" applyFill="1" applyBorder="1" applyAlignment="1" applyProtection="1">
      <alignment horizontal="left"/>
    </xf>
    <xf numFmtId="0" fontId="22" fillId="0" borderId="0" xfId="4" applyFont="1" applyFill="1" applyBorder="1" applyAlignment="1" applyProtection="1">
      <alignment horizontal="left" indent="1"/>
    </xf>
    <xf numFmtId="44" fontId="32" fillId="0" borderId="31" xfId="0" applyNumberFormat="1" applyFont="1" applyFill="1" applyBorder="1" applyProtection="1"/>
    <xf numFmtId="44" fontId="32" fillId="0" borderId="32" xfId="0" applyNumberFormat="1" applyFont="1" applyFill="1" applyBorder="1" applyProtection="1"/>
    <xf numFmtId="0" fontId="22" fillId="10" borderId="42" xfId="3" applyFont="1" applyFill="1" applyBorder="1" applyAlignment="1" applyProtection="1">
      <alignment horizontal="center" vertical="center" wrapText="1"/>
    </xf>
    <xf numFmtId="0" fontId="22" fillId="10" borderId="10" xfId="3" applyFont="1" applyFill="1" applyBorder="1" applyAlignment="1" applyProtection="1">
      <alignment horizontal="center" vertical="center" wrapText="1"/>
    </xf>
    <xf numFmtId="0" fontId="19" fillId="0" borderId="17" xfId="0" applyFont="1" applyBorder="1" applyAlignment="1" applyProtection="1">
      <alignment horizontal="left"/>
    </xf>
    <xf numFmtId="0" fontId="33" fillId="0" borderId="40" xfId="4" applyFont="1" applyBorder="1" applyAlignment="1" applyProtection="1">
      <alignment horizontal="left"/>
    </xf>
    <xf numFmtId="44" fontId="32" fillId="0" borderId="21" xfId="0" applyNumberFormat="1" applyFont="1" applyBorder="1" applyProtection="1"/>
    <xf numFmtId="0" fontId="33" fillId="0" borderId="40" xfId="4" applyFont="1" applyBorder="1" applyAlignment="1" applyProtection="1"/>
    <xf numFmtId="44" fontId="32" fillId="0" borderId="44" xfId="0" applyNumberFormat="1" applyFont="1" applyFill="1" applyBorder="1" applyProtection="1"/>
    <xf numFmtId="44" fontId="32" fillId="0" borderId="0" xfId="0" applyNumberFormat="1" applyFont="1" applyFill="1" applyBorder="1" applyProtection="1"/>
    <xf numFmtId="0" fontId="22" fillId="9" borderId="42" xfId="3" applyFont="1" applyFill="1" applyBorder="1" applyAlignment="1" applyProtection="1">
      <alignment horizontal="center" vertical="center" wrapText="1"/>
    </xf>
    <xf numFmtId="0" fontId="22" fillId="9" borderId="10" xfId="3" applyFont="1" applyFill="1" applyBorder="1" applyAlignment="1" applyProtection="1">
      <alignment horizontal="center" vertical="center" wrapText="1"/>
    </xf>
    <xf numFmtId="0" fontId="19" fillId="0" borderId="0" xfId="0" applyFont="1" applyFill="1" applyBorder="1" applyProtection="1"/>
    <xf numFmtId="0" fontId="22" fillId="0" borderId="32" xfId="4" applyFont="1" applyFill="1" applyBorder="1" applyAlignment="1" applyProtection="1">
      <alignment horizontal="left" indent="1"/>
    </xf>
    <xf numFmtId="44" fontId="32" fillId="0" borderId="42" xfId="0" applyNumberFormat="1" applyFont="1" applyFill="1" applyBorder="1" applyProtection="1"/>
    <xf numFmtId="44" fontId="32" fillId="0" borderId="45" xfId="0" applyNumberFormat="1" applyFont="1" applyFill="1" applyBorder="1" applyProtection="1"/>
    <xf numFmtId="0" fontId="24" fillId="8" borderId="17" xfId="4" applyFont="1" applyFill="1" applyBorder="1" applyAlignment="1" applyProtection="1">
      <alignment horizontal="left"/>
    </xf>
    <xf numFmtId="0" fontId="33" fillId="8" borderId="40" xfId="4" applyFont="1" applyFill="1" applyBorder="1" applyAlignment="1" applyProtection="1">
      <alignment horizontal="left"/>
    </xf>
    <xf numFmtId="0" fontId="19" fillId="0" borderId="17" xfId="0" applyFont="1" applyBorder="1" applyProtection="1"/>
    <xf numFmtId="0" fontId="33" fillId="0" borderId="8" xfId="4" applyFont="1" applyBorder="1" applyAlignment="1" applyProtection="1">
      <alignment horizontal="left"/>
    </xf>
    <xf numFmtId="0" fontId="22" fillId="0" borderId="32" xfId="4" applyFont="1" applyBorder="1" applyAlignment="1" applyProtection="1">
      <alignment horizontal="left"/>
    </xf>
    <xf numFmtId="0" fontId="22" fillId="0" borderId="32" xfId="4" applyFont="1" applyBorder="1" applyAlignment="1" applyProtection="1">
      <alignment horizontal="left" indent="1"/>
    </xf>
    <xf numFmtId="0" fontId="26" fillId="0" borderId="32" xfId="0" applyFont="1" applyFill="1" applyBorder="1" applyProtection="1"/>
    <xf numFmtId="0" fontId="24" fillId="0" borderId="24" xfId="4" applyFont="1" applyBorder="1" applyAlignment="1" applyProtection="1">
      <alignment horizontal="left"/>
    </xf>
    <xf numFmtId="0" fontId="26" fillId="0" borderId="32" xfId="0" applyFont="1" applyBorder="1" applyProtection="1"/>
    <xf numFmtId="0" fontId="33" fillId="0" borderId="26" xfId="4" applyFont="1" applyBorder="1" applyAlignment="1" applyProtection="1">
      <alignment horizontal="left"/>
    </xf>
    <xf numFmtId="44" fontId="32" fillId="0" borderId="25" xfId="0" applyNumberFormat="1" applyFont="1" applyBorder="1" applyProtection="1"/>
    <xf numFmtId="0" fontId="24" fillId="0" borderId="32" xfId="4" applyFont="1" applyBorder="1" applyAlignment="1" applyProtection="1">
      <alignment horizontal="left"/>
    </xf>
    <xf numFmtId="0" fontId="33" fillId="0" borderId="47" xfId="4" applyFont="1" applyBorder="1" applyAlignment="1" applyProtection="1">
      <alignment horizontal="left"/>
    </xf>
    <xf numFmtId="44" fontId="25" fillId="0" borderId="37" xfId="0" applyNumberFormat="1" applyFont="1" applyFill="1" applyBorder="1" applyProtection="1"/>
    <xf numFmtId="44" fontId="25" fillId="0" borderId="42" xfId="0" applyNumberFormat="1" applyFont="1" applyFill="1" applyBorder="1" applyProtection="1"/>
    <xf numFmtId="0" fontId="24" fillId="0" borderId="0" xfId="0" applyFont="1" applyProtection="1"/>
    <xf numFmtId="0" fontId="36" fillId="11" borderId="9" xfId="0" applyFont="1" applyFill="1" applyBorder="1" applyAlignment="1" applyProtection="1"/>
    <xf numFmtId="0" fontId="36" fillId="11" borderId="42" xfId="0" applyFont="1" applyFill="1" applyBorder="1" applyAlignment="1" applyProtection="1"/>
    <xf numFmtId="44" fontId="36" fillId="11" borderId="42" xfId="0" applyNumberFormat="1" applyFont="1" applyFill="1" applyBorder="1" applyAlignment="1" applyProtection="1"/>
    <xf numFmtId="44" fontId="36" fillId="11" borderId="42" xfId="1" applyNumberFormat="1" applyFont="1" applyFill="1" applyBorder="1" applyAlignment="1" applyProtection="1"/>
    <xf numFmtId="44" fontId="36" fillId="11" borderId="10" xfId="1" applyNumberFormat="1" applyFont="1" applyFill="1" applyBorder="1" applyAlignment="1" applyProtection="1"/>
    <xf numFmtId="0" fontId="22" fillId="0" borderId="0" xfId="4" applyFont="1" applyFill="1" applyBorder="1" applyAlignment="1" applyProtection="1">
      <alignment horizontal="left"/>
    </xf>
    <xf numFmtId="0" fontId="22" fillId="0" borderId="0" xfId="0" applyFont="1" applyProtection="1"/>
    <xf numFmtId="0" fontId="26" fillId="0" borderId="11" xfId="0" applyFont="1" applyFill="1" applyBorder="1" applyAlignment="1" applyProtection="1"/>
    <xf numFmtId="44" fontId="26" fillId="0" borderId="48" xfId="1" applyNumberFormat="1" applyFont="1" applyFill="1" applyBorder="1" applyAlignment="1" applyProtection="1"/>
    <xf numFmtId="0" fontId="26" fillId="0" borderId="17" xfId="0" applyFont="1" applyFill="1" applyBorder="1" applyAlignment="1" applyProtection="1"/>
    <xf numFmtId="44" fontId="26" fillId="0" borderId="49" xfId="1" applyNumberFormat="1" applyFont="1" applyFill="1" applyBorder="1" applyAlignment="1" applyProtection="1"/>
    <xf numFmtId="0" fontId="26" fillId="0" borderId="24" xfId="0" applyFont="1" applyFill="1" applyBorder="1" applyAlignment="1" applyProtection="1"/>
    <xf numFmtId="44" fontId="26" fillId="0" borderId="26" xfId="1" applyNumberFormat="1" applyFont="1" applyFill="1" applyBorder="1" applyAlignment="1" applyProtection="1"/>
    <xf numFmtId="44" fontId="26" fillId="0" borderId="26" xfId="1" applyFont="1" applyFill="1" applyBorder="1" applyAlignment="1" applyProtection="1"/>
    <xf numFmtId="44" fontId="26" fillId="0" borderId="25" xfId="1" applyNumberFormat="1" applyFont="1" applyFill="1" applyBorder="1" applyAlignment="1" applyProtection="1"/>
    <xf numFmtId="0" fontId="29" fillId="6" borderId="29" xfId="0" applyFont="1" applyFill="1" applyBorder="1" applyAlignment="1" applyProtection="1"/>
    <xf numFmtId="0" fontId="29" fillId="6" borderId="32" xfId="0" applyFont="1" applyFill="1" applyBorder="1" applyAlignment="1" applyProtection="1"/>
    <xf numFmtId="0" fontId="26" fillId="0" borderId="31" xfId="0" applyFont="1" applyBorder="1" applyAlignment="1" applyProtection="1"/>
    <xf numFmtId="44" fontId="26" fillId="0" borderId="31" xfId="0" applyNumberFormat="1" applyFont="1" applyFill="1" applyBorder="1" applyAlignment="1" applyProtection="1"/>
    <xf numFmtId="44" fontId="26" fillId="0" borderId="31" xfId="1" applyNumberFormat="1" applyFont="1" applyFill="1" applyBorder="1" applyAlignment="1" applyProtection="1"/>
    <xf numFmtId="44" fontId="24" fillId="0" borderId="0" xfId="0" applyNumberFormat="1" applyFont="1" applyProtection="1"/>
    <xf numFmtId="0" fontId="36" fillId="8" borderId="0" xfId="0" applyFont="1" applyFill="1" applyBorder="1" applyAlignment="1" applyProtection="1"/>
    <xf numFmtId="44" fontId="36" fillId="8" borderId="0" xfId="0" applyNumberFormat="1" applyFont="1" applyFill="1" applyBorder="1" applyAlignment="1" applyProtection="1"/>
    <xf numFmtId="44" fontId="36" fillId="8" borderId="0" xfId="1" applyNumberFormat="1" applyFont="1" applyFill="1" applyBorder="1" applyAlignment="1" applyProtection="1"/>
    <xf numFmtId="0" fontId="31" fillId="12" borderId="29" xfId="0" applyFont="1" applyFill="1" applyBorder="1" applyProtection="1"/>
    <xf numFmtId="0" fontId="31" fillId="12" borderId="32" xfId="0" applyFont="1" applyFill="1" applyBorder="1" applyProtection="1"/>
    <xf numFmtId="0" fontId="31" fillId="12" borderId="2" xfId="0" applyFont="1" applyFill="1" applyBorder="1" applyProtection="1"/>
    <xf numFmtId="0" fontId="22" fillId="10" borderId="9" xfId="3" applyFont="1" applyFill="1" applyBorder="1" applyAlignment="1" applyProtection="1">
      <alignment horizontal="center"/>
    </xf>
    <xf numFmtId="0" fontId="22" fillId="10" borderId="45" xfId="3" applyFont="1" applyFill="1" applyBorder="1" applyAlignment="1" applyProtection="1">
      <alignment horizontal="center"/>
    </xf>
    <xf numFmtId="44" fontId="26" fillId="7" borderId="51" xfId="1" applyFont="1" applyFill="1" applyBorder="1" applyProtection="1">
      <protection locked="0"/>
    </xf>
    <xf numFmtId="44" fontId="26" fillId="0" borderId="52" xfId="1" applyFont="1" applyBorder="1" applyProtection="1">
      <protection locked="0"/>
    </xf>
    <xf numFmtId="44" fontId="26" fillId="0" borderId="51" xfId="1" applyFont="1" applyBorder="1" applyProtection="1">
      <protection locked="0"/>
    </xf>
    <xf numFmtId="44" fontId="26" fillId="0" borderId="53" xfId="1" applyFont="1" applyBorder="1" applyProtection="1">
      <protection locked="0"/>
    </xf>
    <xf numFmtId="0" fontId="22" fillId="10" borderId="41" xfId="3" applyFont="1" applyFill="1" applyBorder="1" applyAlignment="1" applyProtection="1">
      <alignment horizontal="center"/>
    </xf>
    <xf numFmtId="0" fontId="22" fillId="10" borderId="54" xfId="3" applyFont="1" applyFill="1" applyBorder="1" applyAlignment="1" applyProtection="1"/>
    <xf numFmtId="44" fontId="22" fillId="10" borderId="7" xfId="3" applyNumberFormat="1" applyFont="1" applyFill="1" applyBorder="1" applyAlignment="1" applyProtection="1">
      <alignment horizontal="center"/>
    </xf>
    <xf numFmtId="44" fontId="22" fillId="10" borderId="54" xfId="3" applyNumberFormat="1" applyFont="1" applyFill="1" applyBorder="1" applyAlignment="1" applyProtection="1">
      <alignment horizontal="center"/>
    </xf>
    <xf numFmtId="44" fontId="22" fillId="10" borderId="55" xfId="3" applyNumberFormat="1" applyFont="1" applyFill="1" applyBorder="1" applyAlignment="1" applyProtection="1">
      <alignment horizontal="center"/>
    </xf>
    <xf numFmtId="0" fontId="29" fillId="0" borderId="29" xfId="0" applyFont="1" applyBorder="1" applyAlignment="1" applyProtection="1">
      <alignment wrapText="1"/>
    </xf>
    <xf numFmtId="0" fontId="29" fillId="0" borderId="56" xfId="0" applyFont="1" applyBorder="1" applyAlignment="1" applyProtection="1">
      <alignment horizontal="right" vertical="center" wrapText="1"/>
    </xf>
    <xf numFmtId="44" fontId="38" fillId="0" borderId="57" xfId="1" applyFont="1" applyBorder="1" applyProtection="1"/>
    <xf numFmtId="44" fontId="38" fillId="0" borderId="2" xfId="1" applyFont="1" applyBorder="1" applyProtection="1"/>
    <xf numFmtId="0" fontId="31" fillId="12" borderId="29" xfId="0" applyFont="1" applyFill="1" applyBorder="1" applyAlignment="1" applyProtection="1"/>
    <xf numFmtId="0" fontId="31" fillId="12" borderId="32" xfId="0" applyFont="1" applyFill="1" applyBorder="1" applyAlignment="1" applyProtection="1"/>
    <xf numFmtId="0" fontId="22" fillId="10" borderId="42" xfId="3" applyFont="1" applyFill="1" applyBorder="1" applyAlignment="1" applyProtection="1">
      <alignment horizontal="center" wrapText="1"/>
    </xf>
    <xf numFmtId="0" fontId="22" fillId="10" borderId="10" xfId="3" applyFont="1" applyFill="1" applyBorder="1" applyAlignment="1" applyProtection="1">
      <alignment horizontal="center" wrapText="1"/>
    </xf>
    <xf numFmtId="0" fontId="26" fillId="0" borderId="58" xfId="1" applyNumberFormat="1" applyFont="1" applyBorder="1" applyAlignment="1" applyProtection="1"/>
    <xf numFmtId="44" fontId="26" fillId="0" borderId="59" xfId="1" applyNumberFormat="1" applyFont="1" applyBorder="1" applyAlignment="1" applyProtection="1"/>
    <xf numFmtId="9" fontId="26" fillId="0" borderId="59" xfId="2" applyFont="1" applyBorder="1" applyAlignment="1" applyProtection="1"/>
    <xf numFmtId="9" fontId="26" fillId="0" borderId="60" xfId="2" applyFont="1" applyBorder="1" applyAlignment="1" applyProtection="1"/>
    <xf numFmtId="0" fontId="26" fillId="0" borderId="50" xfId="1" applyNumberFormat="1" applyFont="1" applyBorder="1" applyAlignment="1" applyProtection="1"/>
    <xf numFmtId="44" fontId="26" fillId="0" borderId="51" xfId="1" applyNumberFormat="1" applyFont="1" applyBorder="1" applyAlignment="1" applyProtection="1"/>
    <xf numFmtId="9" fontId="26" fillId="0" borderId="51" xfId="2" applyFont="1" applyBorder="1" applyAlignment="1" applyProtection="1"/>
    <xf numFmtId="9" fontId="26" fillId="0" borderId="53" xfId="2" applyFont="1" applyBorder="1" applyAlignment="1" applyProtection="1"/>
    <xf numFmtId="6" fontId="26" fillId="0" borderId="61" xfId="1" applyNumberFormat="1" applyFont="1" applyBorder="1" applyAlignment="1" applyProtection="1"/>
    <xf numFmtId="44" fontId="26" fillId="0" borderId="62" xfId="1" applyNumberFormat="1" applyFont="1" applyBorder="1" applyAlignment="1" applyProtection="1"/>
    <xf numFmtId="9" fontId="26" fillId="0" borderId="62" xfId="2" applyFont="1" applyBorder="1" applyAlignment="1" applyProtection="1"/>
    <xf numFmtId="9" fontId="26" fillId="0" borderId="63" xfId="2" applyFont="1" applyBorder="1" applyAlignment="1" applyProtection="1"/>
    <xf numFmtId="0" fontId="0" fillId="0" borderId="0" xfId="0" applyAlignment="1" applyProtection="1">
      <alignment horizontal="center"/>
    </xf>
    <xf numFmtId="0" fontId="0" fillId="0" borderId="0" xfId="0" applyProtection="1"/>
    <xf numFmtId="0" fontId="0" fillId="0" borderId="0" xfId="0" applyFill="1" applyProtection="1"/>
    <xf numFmtId="164" fontId="24" fillId="0" borderId="10" xfId="3" applyNumberFormat="1" applyFont="1" applyBorder="1" applyAlignment="1" applyProtection="1">
      <alignment horizontal="left"/>
    </xf>
    <xf numFmtId="0" fontId="35" fillId="0" borderId="11" xfId="0" applyFont="1" applyBorder="1" applyAlignment="1" applyProtection="1">
      <alignment horizontal="center"/>
    </xf>
    <xf numFmtId="0" fontId="35" fillId="0" borderId="17" xfId="0" applyFont="1" applyBorder="1" applyAlignment="1" applyProtection="1">
      <alignment horizontal="center"/>
    </xf>
    <xf numFmtId="0" fontId="35" fillId="0" borderId="8" xfId="0" applyFont="1" applyBorder="1" applyAlignment="1" applyProtection="1">
      <alignment horizontal="center"/>
    </xf>
    <xf numFmtId="0" fontId="22" fillId="0" borderId="11" xfId="3" applyFont="1" applyBorder="1" applyAlignment="1" applyProtection="1">
      <alignment horizontal="left"/>
    </xf>
    <xf numFmtId="0" fontId="24" fillId="0" borderId="16" xfId="3" applyFont="1" applyBorder="1" applyAlignment="1" applyProtection="1">
      <alignment horizontal="left"/>
    </xf>
    <xf numFmtId="0" fontId="35" fillId="0" borderId="24" xfId="0" applyFont="1" applyBorder="1" applyAlignment="1" applyProtection="1">
      <alignment horizontal="center"/>
    </xf>
    <xf numFmtId="0" fontId="35" fillId="0" borderId="26" xfId="0" applyFont="1" applyBorder="1" applyAlignment="1" applyProtection="1">
      <alignment horizontal="center"/>
    </xf>
    <xf numFmtId="0" fontId="24" fillId="0" borderId="21" xfId="3" applyFont="1" applyBorder="1" applyAlignment="1" applyProtection="1">
      <alignment horizontal="left"/>
    </xf>
    <xf numFmtId="0" fontId="35" fillId="0" borderId="0" xfId="0" applyFont="1" applyProtection="1"/>
    <xf numFmtId="0" fontId="35" fillId="0" borderId="11" xfId="0" applyFont="1" applyBorder="1" applyAlignment="1" applyProtection="1">
      <alignment horizontal="center" vertical="center"/>
    </xf>
    <xf numFmtId="165" fontId="35" fillId="0" borderId="12" xfId="1" applyNumberFormat="1" applyFont="1" applyBorder="1" applyAlignment="1" applyProtection="1">
      <alignment horizontal="center"/>
    </xf>
    <xf numFmtId="166" fontId="35" fillId="0" borderId="16" xfId="0" applyNumberFormat="1" applyFont="1" applyBorder="1" applyAlignment="1" applyProtection="1">
      <alignment horizontal="center"/>
    </xf>
    <xf numFmtId="0" fontId="35" fillId="0" borderId="17" xfId="0" applyFont="1" applyBorder="1" applyAlignment="1" applyProtection="1">
      <alignment horizontal="center" vertical="center"/>
    </xf>
    <xf numFmtId="165" fontId="35" fillId="0" borderId="8" xfId="1" applyNumberFormat="1" applyFont="1" applyBorder="1" applyAlignment="1" applyProtection="1">
      <alignment horizontal="center"/>
    </xf>
    <xf numFmtId="166" fontId="35" fillId="0" borderId="21" xfId="0" applyNumberFormat="1" applyFont="1" applyBorder="1" applyAlignment="1" applyProtection="1">
      <alignment horizontal="center"/>
    </xf>
    <xf numFmtId="0" fontId="24" fillId="0" borderId="25" xfId="3" applyFont="1" applyBorder="1" applyAlignment="1" applyProtection="1">
      <alignment horizontal="left"/>
    </xf>
    <xf numFmtId="0" fontId="0" fillId="0" borderId="0" xfId="0" applyBorder="1" applyProtection="1"/>
    <xf numFmtId="0" fontId="22" fillId="0" borderId="0" xfId="3" applyFont="1" applyBorder="1" applyAlignment="1" applyProtection="1">
      <alignment horizontal="left"/>
    </xf>
    <xf numFmtId="0" fontId="24" fillId="0" borderId="0" xfId="3" applyFont="1" applyBorder="1" applyAlignment="1" applyProtection="1">
      <alignment horizontal="left"/>
    </xf>
    <xf numFmtId="0" fontId="49" fillId="0" borderId="24" xfId="0" applyFont="1" applyBorder="1" applyAlignment="1" applyProtection="1">
      <alignment horizontal="center"/>
    </xf>
    <xf numFmtId="165" fontId="49" fillId="0" borderId="26" xfId="0" applyNumberFormat="1" applyFont="1" applyBorder="1" applyProtection="1"/>
    <xf numFmtId="166" fontId="49" fillId="0" borderId="25" xfId="0" applyNumberFormat="1" applyFont="1" applyBorder="1" applyAlignment="1" applyProtection="1">
      <alignment horizontal="center"/>
    </xf>
    <xf numFmtId="167" fontId="49" fillId="0" borderId="26" xfId="2" applyNumberFormat="1" applyFont="1" applyBorder="1" applyProtection="1"/>
    <xf numFmtId="0" fontId="46" fillId="14" borderId="0" xfId="0" applyFont="1" applyFill="1" applyAlignment="1" applyProtection="1">
      <alignment horizontal="center"/>
    </xf>
    <xf numFmtId="0" fontId="31" fillId="12" borderId="66" xfId="0" applyFont="1" applyFill="1" applyBorder="1" applyAlignment="1" applyProtection="1">
      <alignment horizontal="center"/>
    </xf>
    <xf numFmtId="0" fontId="31" fillId="12" borderId="67" xfId="0" applyFont="1" applyFill="1" applyBorder="1" applyAlignment="1" applyProtection="1">
      <alignment horizontal="center"/>
    </xf>
    <xf numFmtId="0" fontId="31" fillId="12" borderId="9" xfId="0" applyFont="1" applyFill="1" applyBorder="1" applyAlignment="1" applyProtection="1">
      <alignment horizontal="center"/>
    </xf>
    <xf numFmtId="0" fontId="31" fillId="12" borderId="42" xfId="0" applyFont="1" applyFill="1" applyBorder="1" applyAlignment="1" applyProtection="1">
      <alignment horizontal="center"/>
    </xf>
    <xf numFmtId="0" fontId="31" fillId="12" borderId="45" xfId="0" applyFont="1" applyFill="1" applyBorder="1" applyAlignment="1" applyProtection="1">
      <alignment horizontal="center"/>
    </xf>
    <xf numFmtId="0" fontId="31" fillId="12" borderId="68" xfId="0" applyFont="1" applyFill="1" applyBorder="1" applyAlignment="1" applyProtection="1">
      <alignment horizontal="center"/>
    </xf>
    <xf numFmtId="0" fontId="0" fillId="0" borderId="0" xfId="0" applyFill="1" applyAlignment="1" applyProtection="1">
      <alignment horizontal="center"/>
    </xf>
    <xf numFmtId="0" fontId="0" fillId="0" borderId="69" xfId="0" applyFill="1" applyBorder="1" applyAlignment="1" applyProtection="1">
      <alignment horizontal="center"/>
    </xf>
    <xf numFmtId="0" fontId="47" fillId="0" borderId="0" xfId="0" applyFont="1" applyFill="1" applyProtection="1"/>
    <xf numFmtId="0" fontId="50" fillId="0" borderId="70" xfId="3" applyNumberFormat="1" applyFont="1" applyFill="1" applyBorder="1" applyAlignment="1" applyProtection="1">
      <alignment horizontal="center"/>
    </xf>
    <xf numFmtId="0" fontId="50" fillId="0" borderId="0" xfId="3" applyNumberFormat="1" applyFont="1" applyFill="1" applyBorder="1" applyAlignment="1" applyProtection="1">
      <alignment horizontal="center"/>
    </xf>
    <xf numFmtId="0" fontId="50" fillId="0" borderId="0" xfId="3" applyNumberFormat="1" applyFont="1" applyFill="1" applyBorder="1" applyAlignment="1" applyProtection="1"/>
    <xf numFmtId="165" fontId="51" fillId="0" borderId="0" xfId="5" applyNumberFormat="1" applyFont="1" applyFill="1" applyBorder="1" applyProtection="1"/>
    <xf numFmtId="165" fontId="51" fillId="0" borderId="71" xfId="5" applyNumberFormat="1" applyFont="1" applyFill="1" applyBorder="1" applyProtection="1"/>
    <xf numFmtId="0" fontId="50" fillId="0" borderId="70" xfId="3" applyFont="1" applyFill="1" applyBorder="1" applyAlignment="1" applyProtection="1">
      <alignment horizontal="center"/>
    </xf>
    <xf numFmtId="0" fontId="50" fillId="0" borderId="0" xfId="3" applyFont="1" applyFill="1" applyBorder="1" applyAlignment="1" applyProtection="1">
      <alignment horizontal="center"/>
    </xf>
    <xf numFmtId="168" fontId="49" fillId="13" borderId="0" xfId="6" applyNumberFormat="1" applyFont="1" applyFill="1" applyBorder="1" applyAlignment="1" applyProtection="1">
      <alignment horizontal="right"/>
    </xf>
    <xf numFmtId="165" fontId="49" fillId="13" borderId="0" xfId="5" applyNumberFormat="1" applyFont="1" applyFill="1" applyBorder="1" applyProtection="1"/>
    <xf numFmtId="165" fontId="49" fillId="13" borderId="71" xfId="5" applyNumberFormat="1" applyFont="1" applyFill="1" applyBorder="1" applyProtection="1"/>
    <xf numFmtId="0" fontId="0" fillId="0" borderId="0" xfId="0" applyBorder="1" applyAlignment="1" applyProtection="1">
      <alignment horizontal="center"/>
    </xf>
    <xf numFmtId="0" fontId="0" fillId="0" borderId="71" xfId="0" applyFill="1" applyBorder="1" applyAlignment="1" applyProtection="1">
      <alignment horizontal="center"/>
    </xf>
    <xf numFmtId="165" fontId="50" fillId="0" borderId="0" xfId="5" applyNumberFormat="1" applyFont="1" applyFill="1" applyBorder="1" applyProtection="1"/>
    <xf numFmtId="165" fontId="50" fillId="0" borderId="71" xfId="5" applyNumberFormat="1" applyFont="1" applyFill="1" applyBorder="1" applyProtection="1"/>
    <xf numFmtId="165" fontId="50" fillId="0" borderId="72" xfId="5" applyNumberFormat="1" applyFont="1" applyFill="1" applyBorder="1" applyProtection="1"/>
    <xf numFmtId="0" fontId="47" fillId="0" borderId="0" xfId="0" applyFont="1" applyFill="1" applyBorder="1" applyProtection="1"/>
    <xf numFmtId="0" fontId="0" fillId="0" borderId="0" xfId="0" applyFill="1" applyBorder="1" applyProtection="1"/>
    <xf numFmtId="0" fontId="47" fillId="0" borderId="70" xfId="0" applyFont="1" applyFill="1" applyBorder="1" applyProtection="1"/>
    <xf numFmtId="0" fontId="52" fillId="0" borderId="70" xfId="3" applyNumberFormat="1" applyFont="1" applyFill="1" applyBorder="1" applyAlignment="1" applyProtection="1">
      <alignment horizontal="center"/>
    </xf>
    <xf numFmtId="0" fontId="52" fillId="0" borderId="0" xfId="3" applyNumberFormat="1" applyFont="1" applyFill="1" applyBorder="1" applyAlignment="1" applyProtection="1">
      <alignment horizontal="center"/>
    </xf>
    <xf numFmtId="0" fontId="0" fillId="0" borderId="70" xfId="0" applyBorder="1" applyProtection="1"/>
    <xf numFmtId="0" fontId="0" fillId="0" borderId="0" xfId="0" applyFill="1" applyBorder="1" applyAlignment="1" applyProtection="1">
      <alignment horizontal="center"/>
    </xf>
    <xf numFmtId="0" fontId="50" fillId="0" borderId="0" xfId="3" applyNumberFormat="1" applyFont="1" applyFill="1" applyAlignment="1" applyProtection="1">
      <alignment horizontal="center"/>
    </xf>
    <xf numFmtId="0" fontId="50" fillId="0" borderId="0" xfId="3" applyNumberFormat="1" applyFont="1" applyFill="1" applyBorder="1" applyAlignment="1" applyProtection="1">
      <alignment horizontal="left"/>
    </xf>
    <xf numFmtId="0" fontId="50" fillId="0" borderId="0" xfId="3" applyNumberFormat="1" applyFont="1" applyFill="1" applyBorder="1" applyAlignment="1" applyProtection="1">
      <alignment wrapText="1"/>
    </xf>
    <xf numFmtId="0" fontId="35" fillId="0" borderId="0" xfId="0" applyFont="1" applyFill="1" applyBorder="1" applyAlignment="1" applyProtection="1">
      <alignment horizontal="center"/>
    </xf>
    <xf numFmtId="44" fontId="50" fillId="0" borderId="0" xfId="7" applyNumberFormat="1" applyFont="1" applyFill="1" applyBorder="1" applyAlignment="1" applyProtection="1">
      <alignment vertical="center" wrapText="1"/>
    </xf>
    <xf numFmtId="0" fontId="21" fillId="0" borderId="0" xfId="0" applyFont="1" applyFill="1" applyBorder="1" applyAlignment="1" applyProtection="1">
      <alignment horizontal="center"/>
    </xf>
    <xf numFmtId="0" fontId="50" fillId="0" borderId="0" xfId="0" applyFont="1" applyFill="1" applyBorder="1" applyProtection="1"/>
    <xf numFmtId="165" fontId="52" fillId="13" borderId="73" xfId="0" applyNumberFormat="1" applyFont="1" applyFill="1" applyBorder="1" applyProtection="1"/>
    <xf numFmtId="0" fontId="50" fillId="0" borderId="74" xfId="3" applyFont="1" applyFill="1" applyBorder="1" applyAlignment="1" applyProtection="1">
      <alignment horizontal="center"/>
    </xf>
    <xf numFmtId="0" fontId="50" fillId="0" borderId="75" xfId="3" applyFont="1" applyFill="1" applyBorder="1" applyAlignment="1" applyProtection="1">
      <alignment horizontal="center"/>
    </xf>
    <xf numFmtId="168" fontId="50" fillId="0" borderId="75" xfId="6" applyNumberFormat="1" applyFont="1" applyFill="1" applyBorder="1" applyAlignment="1" applyProtection="1">
      <alignment horizontal="right"/>
    </xf>
    <xf numFmtId="165" fontId="50" fillId="0" borderId="75" xfId="5" applyNumberFormat="1" applyFont="1" applyFill="1" applyBorder="1" applyProtection="1"/>
    <xf numFmtId="165" fontId="50" fillId="0" borderId="76" xfId="5" applyNumberFormat="1" applyFont="1" applyFill="1" applyBorder="1" applyProtection="1"/>
    <xf numFmtId="0" fontId="53" fillId="0" borderId="77" xfId="0" applyFont="1" applyFill="1" applyBorder="1" applyAlignment="1" applyProtection="1">
      <alignment horizontal="center"/>
    </xf>
    <xf numFmtId="0" fontId="52" fillId="0" borderId="73" xfId="0" applyFont="1" applyFill="1" applyBorder="1" applyAlignment="1" applyProtection="1">
      <alignment horizontal="center"/>
    </xf>
    <xf numFmtId="0" fontId="53" fillId="0" borderId="73" xfId="0" applyFont="1" applyFill="1" applyBorder="1" applyAlignment="1" applyProtection="1">
      <alignment horizontal="center"/>
    </xf>
    <xf numFmtId="168" fontId="52" fillId="0" borderId="73" xfId="6" applyNumberFormat="1" applyFont="1" applyFill="1" applyBorder="1" applyAlignment="1" applyProtection="1">
      <alignment horizontal="right"/>
    </xf>
    <xf numFmtId="165" fontId="50" fillId="0" borderId="73" xfId="0" applyNumberFormat="1" applyFont="1" applyFill="1" applyBorder="1" applyProtection="1"/>
    <xf numFmtId="165" fontId="50" fillId="0" borderId="78" xfId="0" applyNumberFormat="1" applyFont="1" applyFill="1" applyBorder="1" applyProtection="1"/>
    <xf numFmtId="0" fontId="50" fillId="0" borderId="77" xfId="0" applyFont="1" applyFill="1" applyBorder="1" applyAlignment="1" applyProtection="1">
      <alignment horizontal="center"/>
    </xf>
    <xf numFmtId="0" fontId="50" fillId="0" borderId="73" xfId="0" applyFont="1" applyFill="1" applyBorder="1" applyAlignment="1" applyProtection="1">
      <alignment horizontal="center"/>
    </xf>
    <xf numFmtId="168" fontId="49" fillId="0" borderId="73" xfId="6" applyNumberFormat="1" applyFont="1" applyFill="1" applyBorder="1" applyAlignment="1" applyProtection="1">
      <alignment horizontal="right"/>
    </xf>
    <xf numFmtId="165" fontId="52" fillId="0" borderId="73" xfId="5" applyNumberFormat="1" applyFont="1" applyFill="1" applyBorder="1" applyProtection="1"/>
    <xf numFmtId="165" fontId="52" fillId="0" borderId="78" xfId="5" applyNumberFormat="1" applyFont="1" applyFill="1" applyBorder="1" applyProtection="1"/>
    <xf numFmtId="0" fontId="0" fillId="15" borderId="0" xfId="0" applyFill="1" applyProtection="1"/>
    <xf numFmtId="0" fontId="18" fillId="0" borderId="0" xfId="8" applyProtection="1"/>
    <xf numFmtId="0" fontId="18" fillId="0" borderId="0" xfId="8" applyAlignment="1" applyProtection="1">
      <alignment wrapText="1"/>
    </xf>
    <xf numFmtId="164" fontId="24" fillId="16" borderId="10" xfId="3" applyNumberFormat="1" applyFont="1" applyFill="1" applyBorder="1" applyAlignment="1" applyProtection="1">
      <alignment horizontal="left"/>
    </xf>
    <xf numFmtId="0" fontId="24" fillId="16" borderId="16" xfId="3" applyFont="1" applyFill="1" applyBorder="1" applyAlignment="1" applyProtection="1">
      <alignment horizontal="left"/>
    </xf>
    <xf numFmtId="0" fontId="24" fillId="16" borderId="21" xfId="3" applyFont="1" applyFill="1" applyBorder="1" applyAlignment="1" applyProtection="1">
      <alignment horizontal="left"/>
    </xf>
    <xf numFmtId="0" fontId="24" fillId="16" borderId="25" xfId="3" applyFont="1" applyFill="1" applyBorder="1" applyAlignment="1" applyProtection="1">
      <alignment horizontal="left"/>
    </xf>
    <xf numFmtId="0" fontId="18" fillId="0" borderId="0" xfId="8" applyAlignment="1" applyProtection="1">
      <alignment horizontal="center"/>
    </xf>
    <xf numFmtId="0" fontId="18" fillId="9" borderId="10" xfId="8" applyFill="1" applyBorder="1" applyProtection="1"/>
    <xf numFmtId="44" fontId="18" fillId="16" borderId="8" xfId="8" applyNumberFormat="1" applyFill="1" applyBorder="1" applyProtection="1"/>
    <xf numFmtId="0" fontId="18" fillId="9" borderId="9" xfId="8" applyFill="1" applyBorder="1" applyProtection="1"/>
    <xf numFmtId="0" fontId="18" fillId="9" borderId="42" xfId="8" applyFill="1" applyBorder="1" applyProtection="1"/>
    <xf numFmtId="0" fontId="18" fillId="0" borderId="9" xfId="8" applyBorder="1" applyProtection="1"/>
    <xf numFmtId="167" fontId="18" fillId="16" borderId="8" xfId="2" applyNumberFormat="1" applyFont="1" applyFill="1" applyBorder="1" applyProtection="1"/>
    <xf numFmtId="0" fontId="18" fillId="0" borderId="0" xfId="8" applyNumberFormat="1" applyProtection="1"/>
    <xf numFmtId="0" fontId="61" fillId="0" borderId="0" xfId="8" applyFont="1" applyProtection="1"/>
    <xf numFmtId="0" fontId="57" fillId="0" borderId="0" xfId="8" applyFont="1" applyProtection="1"/>
    <xf numFmtId="0" fontId="2" fillId="19" borderId="84" xfId="0" applyFont="1" applyFill="1" applyBorder="1" applyAlignment="1" applyProtection="1">
      <alignment horizontal="center" wrapText="1"/>
    </xf>
    <xf numFmtId="0" fontId="63" fillId="0" borderId="85" xfId="0" applyFont="1" applyFill="1" applyBorder="1" applyAlignment="1" applyProtection="1"/>
    <xf numFmtId="0" fontId="61" fillId="0" borderId="0" xfId="8" applyFont="1" applyBorder="1" applyProtection="1"/>
    <xf numFmtId="0" fontId="18" fillId="0" borderId="0" xfId="8" applyAlignment="1" applyProtection="1">
      <alignment horizontal="center" wrapText="1"/>
    </xf>
    <xf numFmtId="0" fontId="64" fillId="9" borderId="9" xfId="3" applyFont="1" applyFill="1" applyBorder="1" applyAlignment="1" applyProtection="1">
      <alignment horizontal="center" vertical="center" wrapText="1"/>
    </xf>
    <xf numFmtId="0" fontId="64" fillId="9" borderId="42" xfId="3" applyFont="1" applyFill="1" applyBorder="1" applyAlignment="1" applyProtection="1">
      <alignment horizontal="center" vertical="center" wrapText="1"/>
    </xf>
    <xf numFmtId="0" fontId="27" fillId="9" borderId="42" xfId="3" applyFont="1" applyFill="1" applyBorder="1" applyAlignment="1" applyProtection="1">
      <alignment horizontal="center" vertical="center" wrapText="1"/>
    </xf>
    <xf numFmtId="0" fontId="64" fillId="9" borderId="10" xfId="3" applyFont="1" applyFill="1" applyBorder="1" applyAlignment="1" applyProtection="1">
      <alignment horizontal="center" vertical="center" wrapText="1"/>
    </xf>
    <xf numFmtId="0" fontId="64" fillId="10" borderId="41" xfId="3" applyFont="1" applyFill="1" applyBorder="1" applyAlignment="1" applyProtection="1">
      <alignment horizontal="center" vertical="center" wrapText="1"/>
    </xf>
    <xf numFmtId="0" fontId="64" fillId="10" borderId="47" xfId="3" applyFont="1" applyFill="1" applyBorder="1" applyAlignment="1" applyProtection="1">
      <alignment horizontal="center" vertical="center" wrapText="1"/>
    </xf>
    <xf numFmtId="0" fontId="27" fillId="10" borderId="47" xfId="3" applyFont="1" applyFill="1" applyBorder="1" applyAlignment="1" applyProtection="1">
      <alignment horizontal="center" vertical="center" wrapText="1"/>
    </xf>
    <xf numFmtId="0" fontId="64" fillId="9" borderId="47" xfId="3" applyFont="1" applyFill="1" applyBorder="1" applyAlignment="1" applyProtection="1">
      <alignment horizontal="center" vertical="center" wrapText="1"/>
    </xf>
    <xf numFmtId="0" fontId="64" fillId="9" borderId="54" xfId="3" applyFont="1" applyFill="1" applyBorder="1" applyAlignment="1" applyProtection="1">
      <alignment horizontal="center" vertical="center" wrapText="1"/>
    </xf>
    <xf numFmtId="0" fontId="27" fillId="9" borderId="54" xfId="3" applyFont="1" applyFill="1" applyBorder="1" applyAlignment="1" applyProtection="1">
      <alignment horizontal="center" vertical="center" wrapText="1"/>
    </xf>
    <xf numFmtId="0" fontId="64" fillId="9" borderId="55" xfId="3" applyFont="1" applyFill="1" applyBorder="1" applyAlignment="1" applyProtection="1">
      <alignment horizontal="center" vertical="center" wrapText="1"/>
    </xf>
    <xf numFmtId="0" fontId="64" fillId="9" borderId="7" xfId="3" applyFont="1" applyFill="1" applyBorder="1" applyAlignment="1" applyProtection="1">
      <alignment horizontal="center" vertical="center" wrapText="1"/>
    </xf>
    <xf numFmtId="0" fontId="64" fillId="9" borderId="41" xfId="3" applyFont="1" applyFill="1" applyBorder="1" applyAlignment="1" applyProtection="1">
      <alignment horizontal="center" vertical="center" wrapText="1"/>
    </xf>
    <xf numFmtId="0" fontId="57" fillId="22" borderId="9" xfId="8" applyFont="1" applyFill="1" applyBorder="1" applyProtection="1"/>
    <xf numFmtId="44" fontId="57" fillId="22" borderId="43" xfId="8" applyNumberFormat="1" applyFont="1" applyFill="1" applyBorder="1" applyProtection="1"/>
    <xf numFmtId="44" fontId="57" fillId="23" borderId="43" xfId="8" applyNumberFormat="1" applyFont="1" applyFill="1" applyBorder="1" applyProtection="1"/>
    <xf numFmtId="9" fontId="57" fillId="23" borderId="43" xfId="2" applyFont="1" applyFill="1" applyBorder="1" applyProtection="1"/>
    <xf numFmtId="44" fontId="57" fillId="22" borderId="10" xfId="8" applyNumberFormat="1" applyFont="1" applyFill="1" applyBorder="1" applyProtection="1"/>
    <xf numFmtId="0" fontId="57" fillId="23" borderId="10" xfId="8" applyFont="1" applyFill="1" applyBorder="1" applyAlignment="1" applyProtection="1">
      <alignment wrapText="1"/>
    </xf>
    <xf numFmtId="0" fontId="67" fillId="0" borderId="0" xfId="8" applyFont="1" applyProtection="1"/>
    <xf numFmtId="0" fontId="67" fillId="0" borderId="0" xfId="8" applyFont="1" applyAlignment="1" applyProtection="1">
      <alignment wrapText="1"/>
    </xf>
    <xf numFmtId="1" fontId="69" fillId="9" borderId="28" xfId="8" applyNumberFormat="1" applyFont="1" applyFill="1" applyBorder="1" applyProtection="1"/>
    <xf numFmtId="10" fontId="69" fillId="9" borderId="28" xfId="2" applyNumberFormat="1" applyFont="1" applyFill="1" applyBorder="1" applyProtection="1"/>
    <xf numFmtId="1" fontId="69" fillId="9" borderId="24" xfId="8" applyNumberFormat="1" applyFont="1" applyFill="1" applyBorder="1" applyProtection="1"/>
    <xf numFmtId="170" fontId="69" fillId="9" borderId="24" xfId="8" applyNumberFormat="1" applyFont="1" applyFill="1" applyBorder="1" applyProtection="1"/>
    <xf numFmtId="171" fontId="69" fillId="9" borderId="24" xfId="8" applyNumberFormat="1" applyFont="1" applyFill="1" applyBorder="1" applyProtection="1"/>
    <xf numFmtId="0" fontId="64" fillId="10" borderId="9" xfId="3" applyFont="1" applyFill="1" applyBorder="1" applyAlignment="1" applyProtection="1">
      <alignment horizontal="center" vertical="center" wrapText="1"/>
    </xf>
    <xf numFmtId="0" fontId="70" fillId="0" borderId="88" xfId="0" applyFont="1" applyBorder="1" applyAlignment="1">
      <alignment horizontal="right"/>
    </xf>
    <xf numFmtId="0" fontId="71" fillId="24" borderId="41" xfId="0" applyFont="1" applyFill="1" applyBorder="1" applyAlignment="1">
      <alignment horizontal="right"/>
    </xf>
    <xf numFmtId="0" fontId="71" fillId="24" borderId="7" xfId="0" applyFont="1" applyFill="1" applyBorder="1"/>
    <xf numFmtId="0" fontId="70" fillId="24" borderId="34" xfId="0" applyFont="1" applyFill="1" applyBorder="1"/>
    <xf numFmtId="1" fontId="70" fillId="0" borderId="89" xfId="0" applyNumberFormat="1" applyFont="1" applyBorder="1" applyAlignment="1" applyProtection="1">
      <alignment horizontal="right" vertical="center"/>
    </xf>
    <xf numFmtId="0" fontId="71" fillId="24" borderId="22" xfId="0" applyFont="1" applyFill="1" applyBorder="1" applyAlignment="1">
      <alignment horizontal="right"/>
    </xf>
    <xf numFmtId="0" fontId="71" fillId="24" borderId="0" xfId="0" applyFont="1" applyFill="1" applyBorder="1"/>
    <xf numFmtId="0" fontId="70" fillId="24" borderId="82" xfId="0" applyFont="1" applyFill="1" applyBorder="1"/>
    <xf numFmtId="9" fontId="19" fillId="0" borderId="49" xfId="2" applyFont="1" applyBorder="1"/>
    <xf numFmtId="0" fontId="71" fillId="0" borderId="15" xfId="0" applyFont="1" applyBorder="1" applyAlignment="1">
      <alignment horizontal="right"/>
    </xf>
    <xf numFmtId="0" fontId="71" fillId="24" borderId="39" xfId="0" applyFont="1" applyFill="1" applyBorder="1"/>
    <xf numFmtId="0" fontId="70" fillId="24" borderId="90" xfId="0" applyFont="1" applyFill="1" applyBorder="1"/>
    <xf numFmtId="4" fontId="70" fillId="0" borderId="91" xfId="0" applyNumberFormat="1" applyFont="1" applyBorder="1"/>
    <xf numFmtId="0" fontId="71" fillId="24" borderId="92" xfId="0" applyFont="1" applyFill="1" applyBorder="1" applyAlignment="1">
      <alignment horizontal="right"/>
    </xf>
    <xf numFmtId="4" fontId="70" fillId="0" borderId="93" xfId="0" applyNumberFormat="1" applyFont="1" applyBorder="1"/>
    <xf numFmtId="4" fontId="70" fillId="8" borderId="94" xfId="0" applyNumberFormat="1" applyFont="1" applyFill="1" applyBorder="1" applyAlignment="1" applyProtection="1">
      <alignment horizontal="right" vertical="center" wrapText="1"/>
    </xf>
    <xf numFmtId="0" fontId="71" fillId="24" borderId="95" xfId="0" applyFont="1" applyFill="1" applyBorder="1"/>
    <xf numFmtId="0" fontId="70" fillId="24" borderId="96" xfId="0" applyFont="1" applyFill="1" applyBorder="1"/>
    <xf numFmtId="2" fontId="70" fillId="0" borderId="97" xfId="0" applyNumberFormat="1" applyFont="1" applyBorder="1"/>
    <xf numFmtId="10" fontId="72" fillId="0" borderId="98" xfId="0" applyNumberFormat="1" applyFont="1" applyFill="1" applyBorder="1" applyAlignment="1" applyProtection="1">
      <alignment horizontal="right" vertical="center" wrapText="1"/>
    </xf>
    <xf numFmtId="2" fontId="70" fillId="0" borderId="99" xfId="0" applyNumberFormat="1" applyFont="1" applyBorder="1"/>
    <xf numFmtId="0" fontId="70" fillId="0" borderId="100" xfId="0" applyFont="1" applyBorder="1" applyProtection="1">
      <protection locked="0"/>
    </xf>
    <xf numFmtId="0" fontId="70" fillId="0" borderId="102" xfId="0" applyFont="1" applyBorder="1" applyProtection="1">
      <protection locked="0"/>
    </xf>
    <xf numFmtId="10" fontId="72" fillId="0" borderId="103" xfId="0" applyNumberFormat="1" applyFont="1" applyFill="1" applyBorder="1" applyAlignment="1" applyProtection="1">
      <alignment horizontal="right" vertical="center" wrapText="1"/>
    </xf>
    <xf numFmtId="2" fontId="70" fillId="0" borderId="100" xfId="0" applyNumberFormat="1" applyFont="1" applyBorder="1"/>
    <xf numFmtId="0" fontId="70" fillId="0" borderId="105" xfId="0" applyFont="1" applyBorder="1" applyProtection="1">
      <protection locked="0"/>
    </xf>
    <xf numFmtId="9" fontId="70" fillId="0" borderId="100" xfId="2" applyFont="1" applyBorder="1" applyProtection="1">
      <protection locked="0"/>
    </xf>
    <xf numFmtId="172" fontId="70" fillId="0" borderId="100" xfId="9" applyNumberFormat="1" applyFont="1" applyBorder="1" applyProtection="1">
      <protection locked="0"/>
    </xf>
    <xf numFmtId="0" fontId="36" fillId="9" borderId="106" xfId="0" applyFont="1" applyFill="1" applyBorder="1" applyAlignment="1">
      <alignment horizontal="center" vertical="center" wrapText="1"/>
    </xf>
    <xf numFmtId="0" fontId="36" fillId="9" borderId="107" xfId="0" applyFont="1" applyFill="1" applyBorder="1" applyAlignment="1">
      <alignment horizontal="center" vertical="center" wrapText="1"/>
    </xf>
    <xf numFmtId="0" fontId="36" fillId="9" borderId="108" xfId="0" applyFont="1" applyFill="1" applyBorder="1" applyAlignment="1">
      <alignment horizontal="center" vertical="center" wrapText="1"/>
    </xf>
    <xf numFmtId="0" fontId="19" fillId="0" borderId="0" xfId="0" applyFont="1"/>
    <xf numFmtId="0" fontId="31" fillId="2" borderId="31" xfId="0" applyFont="1" applyFill="1" applyBorder="1" applyAlignment="1" applyProtection="1">
      <alignment horizontal="center"/>
    </xf>
    <xf numFmtId="0" fontId="31" fillId="0" borderId="31" xfId="0" applyFont="1" applyFill="1" applyBorder="1" applyAlignment="1" applyProtection="1">
      <alignment horizontal="left"/>
    </xf>
    <xf numFmtId="0" fontId="31" fillId="0" borderId="31" xfId="0" applyFont="1" applyFill="1" applyBorder="1" applyAlignment="1" applyProtection="1">
      <alignment horizontal="center"/>
    </xf>
    <xf numFmtId="0" fontId="31" fillId="0" borderId="32" xfId="0" applyFont="1" applyFill="1" applyBorder="1" applyProtection="1"/>
    <xf numFmtId="44" fontId="73" fillId="9" borderId="6" xfId="0" applyNumberFormat="1" applyFont="1" applyFill="1" applyBorder="1" applyProtection="1"/>
    <xf numFmtId="44" fontId="73" fillId="9" borderId="10" xfId="0" applyNumberFormat="1" applyFont="1" applyFill="1" applyBorder="1" applyAlignment="1" applyProtection="1">
      <alignment horizontal="center" vertical="center"/>
    </xf>
    <xf numFmtId="44" fontId="73" fillId="9" borderId="10" xfId="0" applyNumberFormat="1" applyFont="1" applyFill="1" applyBorder="1" applyAlignment="1" applyProtection="1">
      <alignment horizontal="left" vertical="center"/>
    </xf>
    <xf numFmtId="0" fontId="0" fillId="0" borderId="112" xfId="0" applyFont="1" applyBorder="1" applyProtection="1">
      <protection locked="0"/>
    </xf>
    <xf numFmtId="0" fontId="0" fillId="0" borderId="113" xfId="0" applyBorder="1" applyProtection="1">
      <protection locked="0"/>
    </xf>
    <xf numFmtId="44" fontId="0" fillId="0" borderId="113" xfId="0" applyNumberFormat="1" applyBorder="1" applyProtection="1">
      <protection locked="0"/>
    </xf>
    <xf numFmtId="0" fontId="0" fillId="0" borderId="114" xfId="0" applyBorder="1" applyProtection="1">
      <protection locked="0"/>
    </xf>
    <xf numFmtId="0" fontId="0" fillId="0" borderId="115" xfId="0" applyFont="1" applyBorder="1" applyProtection="1">
      <protection locked="0"/>
    </xf>
    <xf numFmtId="0" fontId="0" fillId="0" borderId="116" xfId="0" applyBorder="1" applyProtection="1">
      <protection locked="0"/>
    </xf>
    <xf numFmtId="44" fontId="0" fillId="0" borderId="116" xfId="0" applyNumberFormat="1" applyBorder="1" applyProtection="1">
      <protection locked="0"/>
    </xf>
    <xf numFmtId="0" fontId="0" fillId="0" borderId="117" xfId="0" applyBorder="1" applyProtection="1">
      <protection locked="0"/>
    </xf>
    <xf numFmtId="44" fontId="22" fillId="6" borderId="6" xfId="4" applyNumberFormat="1" applyFont="1" applyFill="1" applyBorder="1" applyAlignment="1" applyProtection="1">
      <alignment horizontal="left" indent="1"/>
    </xf>
    <xf numFmtId="44" fontId="32" fillId="6" borderId="43" xfId="0" applyNumberFormat="1" applyFont="1" applyFill="1" applyBorder="1" applyProtection="1"/>
    <xf numFmtId="0" fontId="74" fillId="2" borderId="29" xfId="0" applyFont="1" applyFill="1" applyBorder="1" applyAlignment="1" applyProtection="1">
      <alignment horizontal="left"/>
    </xf>
    <xf numFmtId="0" fontId="31" fillId="2" borderId="32" xfId="0" applyFont="1" applyFill="1" applyBorder="1" applyAlignment="1" applyProtection="1">
      <alignment horizontal="center"/>
    </xf>
    <xf numFmtId="44" fontId="31" fillId="2" borderId="32" xfId="0" applyNumberFormat="1" applyFont="1" applyFill="1" applyBorder="1" applyAlignment="1" applyProtection="1">
      <alignment horizontal="center"/>
    </xf>
    <xf numFmtId="0" fontId="31" fillId="2" borderId="29" xfId="0" applyFont="1" applyFill="1" applyBorder="1" applyAlignment="1" applyProtection="1">
      <alignment horizontal="left"/>
    </xf>
    <xf numFmtId="44" fontId="31" fillId="2" borderId="2" xfId="0" applyNumberFormat="1" applyFont="1" applyFill="1" applyBorder="1" applyAlignment="1" applyProtection="1">
      <alignment horizontal="center"/>
    </xf>
    <xf numFmtId="44" fontId="31" fillId="2" borderId="32" xfId="0" applyNumberFormat="1" applyFont="1" applyFill="1" applyBorder="1" applyAlignment="1" applyProtection="1">
      <alignment horizontal="center"/>
      <protection locked="0"/>
    </xf>
    <xf numFmtId="44" fontId="31" fillId="2" borderId="2" xfId="0" applyNumberFormat="1" applyFont="1" applyFill="1" applyBorder="1" applyAlignment="1" applyProtection="1">
      <alignment horizontal="center"/>
      <protection locked="0"/>
    </xf>
    <xf numFmtId="0" fontId="0" fillId="0" borderId="115" xfId="0" applyBorder="1" applyProtection="1">
      <protection locked="0"/>
    </xf>
    <xf numFmtId="0" fontId="0" fillId="0" borderId="118" xfId="0" applyBorder="1" applyProtection="1">
      <protection locked="0"/>
    </xf>
    <xf numFmtId="0" fontId="57" fillId="0" borderId="0" xfId="0" applyFont="1" applyProtection="1"/>
    <xf numFmtId="17" fontId="18" fillId="0" borderId="123" xfId="0" applyNumberFormat="1" applyFont="1" applyBorder="1" applyProtection="1">
      <protection locked="0"/>
    </xf>
    <xf numFmtId="0" fontId="18" fillId="0" borderId="124" xfId="0" applyFont="1" applyBorder="1" applyProtection="1">
      <protection locked="0"/>
    </xf>
    <xf numFmtId="0" fontId="18" fillId="0" borderId="116" xfId="0" applyFont="1" applyBorder="1" applyProtection="1">
      <protection locked="0"/>
    </xf>
    <xf numFmtId="17" fontId="18" fillId="0" borderId="115" xfId="0" applyNumberFormat="1" applyFont="1" applyBorder="1" applyProtection="1">
      <protection locked="0"/>
    </xf>
    <xf numFmtId="17" fontId="18" fillId="0" borderId="118" xfId="0" applyNumberFormat="1" applyFont="1" applyBorder="1" applyProtection="1">
      <protection locked="0"/>
    </xf>
    <xf numFmtId="0" fontId="18" fillId="0" borderId="119" xfId="0" applyFont="1" applyBorder="1" applyProtection="1">
      <protection locked="0"/>
    </xf>
    <xf numFmtId="0" fontId="76" fillId="9" borderId="29" xfId="4" applyFont="1" applyFill="1" applyBorder="1" applyAlignment="1" applyProtection="1">
      <alignment horizontal="left"/>
    </xf>
    <xf numFmtId="0" fontId="77" fillId="9" borderId="42" xfId="0" applyNumberFormat="1" applyFont="1" applyFill="1" applyBorder="1" applyProtection="1"/>
    <xf numFmtId="0" fontId="2" fillId="0" borderId="29" xfId="0" applyFont="1" applyBorder="1" applyProtection="1"/>
    <xf numFmtId="0" fontId="0" fillId="0" borderId="32" xfId="0" applyBorder="1" applyProtection="1"/>
    <xf numFmtId="0" fontId="0" fillId="0" borderId="2" xfId="0" applyBorder="1" applyProtection="1"/>
    <xf numFmtId="0" fontId="0" fillId="0" borderId="123" xfId="0" applyBorder="1" applyProtection="1">
      <protection locked="0"/>
    </xf>
    <xf numFmtId="164" fontId="0" fillId="0" borderId="124" xfId="0" applyNumberFormat="1" applyBorder="1" applyProtection="1">
      <protection locked="0"/>
    </xf>
    <xf numFmtId="164" fontId="0" fillId="0" borderId="116" xfId="0" applyNumberFormat="1" applyBorder="1" applyProtection="1">
      <protection locked="0"/>
    </xf>
    <xf numFmtId="164" fontId="0" fillId="0" borderId="119" xfId="0" applyNumberFormat="1" applyBorder="1" applyProtection="1">
      <protection locked="0"/>
    </xf>
    <xf numFmtId="164" fontId="0" fillId="0" borderId="120" xfId="0" applyNumberFormat="1" applyBorder="1" applyProtection="1">
      <protection locked="0"/>
    </xf>
    <xf numFmtId="0" fontId="19" fillId="12" borderId="0" xfId="0" applyFont="1" applyFill="1"/>
    <xf numFmtId="0" fontId="78" fillId="12" borderId="0" xfId="0" applyFont="1" applyFill="1" applyAlignment="1" applyProtection="1">
      <alignment horizontal="left" vertical="center"/>
      <protection hidden="1"/>
    </xf>
    <xf numFmtId="14" fontId="78" fillId="12" borderId="0" xfId="0" applyNumberFormat="1" applyFont="1" applyFill="1" applyAlignment="1" applyProtection="1">
      <alignment horizontal="center" vertical="center"/>
      <protection hidden="1"/>
    </xf>
    <xf numFmtId="172" fontId="70" fillId="0" borderId="104" xfId="9" applyNumberFormat="1" applyFont="1" applyBorder="1" applyProtection="1">
      <protection locked="0"/>
    </xf>
    <xf numFmtId="0" fontId="70" fillId="0" borderId="104" xfId="0" applyFont="1" applyBorder="1" applyProtection="1">
      <protection locked="0"/>
    </xf>
    <xf numFmtId="9" fontId="70" fillId="0" borderId="104" xfId="2" applyFont="1" applyBorder="1" applyProtection="1">
      <protection locked="0"/>
    </xf>
    <xf numFmtId="172" fontId="70" fillId="0" borderId="101" xfId="9" applyNumberFormat="1" applyFont="1" applyBorder="1" applyProtection="1">
      <protection locked="0"/>
    </xf>
    <xf numFmtId="0" fontId="70" fillId="0" borderId="101" xfId="0" applyFont="1" applyBorder="1" applyProtection="1">
      <protection locked="0"/>
    </xf>
    <xf numFmtId="9" fontId="70" fillId="0" borderId="101" xfId="2" applyFont="1" applyBorder="1" applyProtection="1">
      <protection locked="0"/>
    </xf>
    <xf numFmtId="0" fontId="70" fillId="24" borderId="95" xfId="0" applyFont="1" applyFill="1" applyBorder="1"/>
    <xf numFmtId="0" fontId="70" fillId="24" borderId="0" xfId="0" applyFont="1" applyFill="1" applyBorder="1"/>
    <xf numFmtId="0" fontId="70" fillId="24" borderId="39" xfId="0" applyFont="1" applyFill="1" applyBorder="1"/>
    <xf numFmtId="0" fontId="70" fillId="24" borderId="7" xfId="0" applyFont="1" applyFill="1" applyBorder="1"/>
    <xf numFmtId="0" fontId="70" fillId="0" borderId="0" xfId="0" applyFont="1" applyBorder="1" applyAlignment="1">
      <alignment horizontal="right"/>
    </xf>
    <xf numFmtId="0" fontId="19" fillId="9" borderId="121" xfId="0" applyFont="1" applyFill="1" applyBorder="1" applyAlignment="1">
      <alignment vertical="center"/>
    </xf>
    <xf numFmtId="0" fontId="62" fillId="9" borderId="122" xfId="0" applyFont="1" applyFill="1" applyBorder="1" applyAlignment="1">
      <alignment vertical="center"/>
    </xf>
    <xf numFmtId="0" fontId="19" fillId="9" borderId="122" xfId="0" applyFont="1" applyFill="1" applyBorder="1" applyAlignment="1">
      <alignment vertical="center"/>
    </xf>
    <xf numFmtId="0" fontId="19" fillId="9" borderId="48" xfId="0" applyFont="1" applyFill="1" applyBorder="1" applyAlignment="1">
      <alignment vertical="center"/>
    </xf>
    <xf numFmtId="0" fontId="19" fillId="0" borderId="82" xfId="0" applyFont="1" applyBorder="1"/>
    <xf numFmtId="0" fontId="19" fillId="0" borderId="0" xfId="0" applyFont="1" applyBorder="1"/>
    <xf numFmtId="0" fontId="19" fillId="0" borderId="83" xfId="0" applyFont="1" applyBorder="1"/>
    <xf numFmtId="0" fontId="19" fillId="0" borderId="0" xfId="0" applyFont="1" applyBorder="1" applyProtection="1">
      <protection locked="0"/>
    </xf>
    <xf numFmtId="0" fontId="71" fillId="0" borderId="125" xfId="0" applyFont="1" applyBorder="1"/>
    <xf numFmtId="0" fontId="19" fillId="0" borderId="126" xfId="0" applyFont="1" applyBorder="1"/>
    <xf numFmtId="39" fontId="79" fillId="8" borderId="127" xfId="10" applyNumberFormat="1" applyFont="1" applyFill="1" applyBorder="1" applyAlignment="1" applyProtection="1">
      <alignment horizontal="right" vertical="center"/>
    </xf>
    <xf numFmtId="39" fontId="79" fillId="8" borderId="0" xfId="10" applyNumberFormat="1" applyFont="1" applyFill="1" applyBorder="1" applyAlignment="1" applyProtection="1">
      <alignment horizontal="right" vertical="center"/>
    </xf>
    <xf numFmtId="0" fontId="71" fillId="0" borderId="0" xfId="0" applyFont="1" applyBorder="1"/>
    <xf numFmtId="0" fontId="19" fillId="0" borderId="0" xfId="0" applyFont="1" applyBorder="1" applyProtection="1"/>
    <xf numFmtId="49" fontId="80" fillId="8" borderId="0" xfId="10" applyNumberFormat="1" applyFont="1" applyFill="1" applyBorder="1" applyAlignment="1" applyProtection="1">
      <alignment horizontal="right" vertical="center" wrapText="1"/>
      <protection hidden="1"/>
    </xf>
    <xf numFmtId="10" fontId="79" fillId="8" borderId="127" xfId="2" applyNumberFormat="1" applyFont="1" applyFill="1" applyBorder="1" applyAlignment="1" applyProtection="1">
      <alignment horizontal="right" vertical="center"/>
    </xf>
    <xf numFmtId="10" fontId="79" fillId="8" borderId="0" xfId="10" applyNumberFormat="1" applyFont="1" applyFill="1" applyBorder="1" applyAlignment="1" applyProtection="1">
      <alignment horizontal="right" vertical="center"/>
    </xf>
    <xf numFmtId="0" fontId="19" fillId="0" borderId="90" xfId="0" applyFont="1" applyBorder="1"/>
    <xf numFmtId="0" fontId="19" fillId="0" borderId="39" xfId="0" applyFont="1" applyBorder="1"/>
    <xf numFmtId="0" fontId="19" fillId="0" borderId="39" xfId="0" applyFont="1" applyBorder="1" applyAlignment="1">
      <alignment horizontal="right"/>
    </xf>
    <xf numFmtId="0" fontId="19" fillId="0" borderId="128" xfId="0" applyFont="1" applyBorder="1"/>
    <xf numFmtId="0" fontId="19" fillId="0" borderId="0" xfId="0" applyFont="1" applyBorder="1" applyAlignment="1">
      <alignment horizontal="right"/>
    </xf>
    <xf numFmtId="0" fontId="79" fillId="8" borderId="0" xfId="10" applyFont="1" applyFill="1" applyBorder="1" applyAlignment="1" applyProtection="1">
      <alignment vertical="center"/>
      <protection hidden="1"/>
    </xf>
    <xf numFmtId="1" fontId="70" fillId="8" borderId="0" xfId="0" applyNumberFormat="1" applyFont="1" applyFill="1" applyBorder="1" applyAlignment="1" applyProtection="1">
      <alignment horizontal="right" vertical="center" wrapText="1"/>
    </xf>
    <xf numFmtId="0" fontId="70" fillId="0" borderId="83" xfId="0" applyFont="1" applyBorder="1"/>
    <xf numFmtId="0" fontId="19" fillId="0" borderId="34" xfId="0" applyFont="1" applyBorder="1"/>
    <xf numFmtId="0" fontId="19" fillId="0" borderId="7" xfId="0" applyFont="1" applyBorder="1"/>
    <xf numFmtId="0" fontId="19" fillId="0" borderId="4" xfId="0" applyFont="1" applyBorder="1"/>
    <xf numFmtId="0" fontId="64" fillId="10" borderId="6" xfId="3" applyFont="1" applyFill="1" applyBorder="1" applyAlignment="1" applyProtection="1">
      <alignment horizontal="center" vertical="center" wrapText="1"/>
    </xf>
    <xf numFmtId="10" fontId="56" fillId="0" borderId="19" xfId="2" applyNumberFormat="1" applyFont="1" applyBorder="1" applyProtection="1">
      <protection locked="0"/>
    </xf>
    <xf numFmtId="1" fontId="56" fillId="0" borderId="19" xfId="8" applyNumberFormat="1" applyFont="1" applyBorder="1" applyProtection="1">
      <protection locked="0"/>
    </xf>
    <xf numFmtId="10" fontId="56" fillId="0" borderId="28" xfId="2" applyNumberFormat="1" applyFont="1" applyBorder="1" applyProtection="1">
      <protection locked="0"/>
    </xf>
    <xf numFmtId="1" fontId="56" fillId="0" borderId="28" xfId="8" applyNumberFormat="1" applyFont="1" applyBorder="1" applyProtection="1">
      <protection locked="0"/>
    </xf>
    <xf numFmtId="0" fontId="31" fillId="2" borderId="31" xfId="0" applyFont="1" applyFill="1" applyBorder="1" applyAlignment="1" applyProtection="1">
      <alignment horizontal="center" vertical="center"/>
    </xf>
    <xf numFmtId="0" fontId="81" fillId="2" borderId="31" xfId="0" applyFont="1" applyFill="1" applyBorder="1" applyAlignment="1" applyProtection="1">
      <alignment horizontal="center" vertical="center"/>
    </xf>
    <xf numFmtId="0" fontId="81" fillId="12" borderId="32" xfId="0" applyFont="1" applyFill="1" applyBorder="1" applyAlignment="1" applyProtection="1">
      <alignment horizontal="center" vertical="center"/>
    </xf>
    <xf numFmtId="0" fontId="81" fillId="12" borderId="2" xfId="0" applyFont="1" applyFill="1" applyBorder="1" applyAlignment="1" applyProtection="1">
      <alignment horizontal="center" vertical="center"/>
    </xf>
    <xf numFmtId="0" fontId="31" fillId="12" borderId="32" xfId="0" applyFont="1" applyFill="1" applyBorder="1" applyAlignment="1" applyProtection="1">
      <alignment horizontal="center" vertical="center"/>
    </xf>
    <xf numFmtId="0" fontId="31" fillId="12" borderId="32" xfId="0" applyFont="1" applyFill="1" applyBorder="1" applyAlignment="1" applyProtection="1">
      <alignment horizontal="center"/>
    </xf>
    <xf numFmtId="0" fontId="31" fillId="12" borderId="129" xfId="0" applyFont="1" applyFill="1" applyBorder="1" applyAlignment="1" applyProtection="1">
      <alignment horizontal="center"/>
    </xf>
    <xf numFmtId="0" fontId="31" fillId="12" borderId="130" xfId="0" applyFont="1" applyFill="1" applyBorder="1" applyAlignment="1" applyProtection="1">
      <alignment horizontal="center"/>
    </xf>
    <xf numFmtId="0" fontId="46" fillId="26" borderId="131" xfId="0" applyFont="1" applyFill="1" applyBorder="1" applyAlignment="1">
      <alignment horizontal="center"/>
    </xf>
    <xf numFmtId="0" fontId="46" fillId="26" borderId="132" xfId="0" applyFont="1" applyFill="1" applyBorder="1" applyAlignment="1">
      <alignment horizontal="center"/>
    </xf>
    <xf numFmtId="0" fontId="46" fillId="26" borderId="132" xfId="0" applyFont="1" applyFill="1" applyBorder="1" applyAlignment="1" applyProtection="1">
      <alignment horizontal="center"/>
    </xf>
    <xf numFmtId="0" fontId="46" fillId="26" borderId="133" xfId="0" applyFont="1" applyFill="1" applyBorder="1" applyAlignment="1">
      <alignment horizontal="center"/>
    </xf>
    <xf numFmtId="0" fontId="50" fillId="25" borderId="134" xfId="3" applyNumberFormat="1" applyFont="1" applyFill="1" applyBorder="1" applyAlignment="1">
      <alignment horizontal="center"/>
    </xf>
    <xf numFmtId="0" fontId="50" fillId="25" borderId="135" xfId="3" applyNumberFormat="1" applyFont="1" applyFill="1" applyBorder="1" applyAlignment="1">
      <alignment horizontal="center"/>
    </xf>
    <xf numFmtId="0" fontId="50" fillId="25" borderId="135" xfId="3" applyNumberFormat="1" applyFont="1" applyFill="1" applyBorder="1" applyAlignment="1">
      <alignment horizontal="left"/>
    </xf>
    <xf numFmtId="0" fontId="50" fillId="25" borderId="134" xfId="3" applyNumberFormat="1" applyFont="1" applyFill="1" applyBorder="1" applyAlignment="1">
      <alignment horizontal="center" vertical="center"/>
    </xf>
    <xf numFmtId="0" fontId="50" fillId="25" borderId="135" xfId="3" applyNumberFormat="1" applyFont="1" applyFill="1" applyBorder="1" applyAlignment="1">
      <alignment horizontal="center" vertical="center"/>
    </xf>
    <xf numFmtId="0" fontId="50" fillId="25" borderId="135" xfId="3" applyNumberFormat="1" applyFont="1" applyFill="1" applyBorder="1" applyAlignment="1">
      <alignment horizontal="center" vertical="center" wrapText="1"/>
    </xf>
    <xf numFmtId="0" fontId="50" fillId="25" borderId="135" xfId="3" applyNumberFormat="1" applyFont="1" applyFill="1" applyBorder="1" applyAlignment="1">
      <alignment horizontal="left" vertical="center"/>
    </xf>
    <xf numFmtId="0" fontId="49" fillId="27" borderId="137" xfId="6" applyNumberFormat="1" applyFont="1" applyFill="1" applyBorder="1" applyAlignment="1">
      <alignment horizontal="center"/>
    </xf>
    <xf numFmtId="168" fontId="49" fillId="27" borderId="138" xfId="6" applyNumberFormat="1" applyFont="1" applyFill="1" applyBorder="1" applyAlignment="1">
      <alignment horizontal="center"/>
    </xf>
    <xf numFmtId="168" fontId="49" fillId="27" borderId="138" xfId="6" applyNumberFormat="1" applyFont="1" applyFill="1" applyBorder="1" applyAlignment="1">
      <alignment horizontal="right"/>
    </xf>
    <xf numFmtId="44" fontId="25" fillId="0" borderId="35" xfId="0" applyNumberFormat="1" applyFont="1" applyFill="1" applyBorder="1" applyProtection="1">
      <protection locked="0"/>
    </xf>
    <xf numFmtId="44" fontId="25" fillId="0" borderId="8" xfId="0" applyNumberFormat="1" applyFont="1" applyFill="1" applyBorder="1" applyProtection="1">
      <protection locked="0"/>
    </xf>
    <xf numFmtId="44" fontId="25" fillId="0" borderId="26" xfId="0" applyNumberFormat="1" applyFont="1" applyBorder="1" applyProtection="1">
      <protection locked="0"/>
    </xf>
    <xf numFmtId="44" fontId="25" fillId="0" borderId="46" xfId="0" applyNumberFormat="1" applyFont="1" applyBorder="1" applyProtection="1">
      <protection locked="0"/>
    </xf>
    <xf numFmtId="165" fontId="51" fillId="0" borderId="0" xfId="5" applyNumberFormat="1" applyFont="1" applyFill="1" applyBorder="1" applyProtection="1">
      <protection locked="0"/>
    </xf>
    <xf numFmtId="165" fontId="50" fillId="0" borderId="0" xfId="5" applyNumberFormat="1" applyFont="1" applyFill="1" applyBorder="1" applyProtection="1">
      <protection locked="0"/>
    </xf>
    <xf numFmtId="0" fontId="0" fillId="0" borderId="0" xfId="0" applyBorder="1" applyAlignment="1" applyProtection="1">
      <alignment horizontal="center"/>
      <protection locked="0"/>
    </xf>
    <xf numFmtId="17" fontId="56" fillId="0" borderId="11" xfId="8" applyNumberFormat="1" applyFont="1" applyFill="1" applyBorder="1" applyProtection="1">
      <protection locked="0"/>
    </xf>
    <xf numFmtId="44" fontId="56" fillId="0" borderId="8" xfId="8" applyNumberFormat="1" applyFont="1" applyFill="1" applyBorder="1" applyProtection="1">
      <protection locked="0"/>
    </xf>
    <xf numFmtId="0" fontId="18" fillId="0" borderId="21" xfId="8" applyBorder="1" applyAlignment="1" applyProtection="1">
      <alignment wrapText="1"/>
      <protection locked="0"/>
    </xf>
    <xf numFmtId="17" fontId="56" fillId="0" borderId="17" xfId="8" applyNumberFormat="1" applyFont="1" applyFill="1" applyBorder="1" applyProtection="1">
      <protection locked="0"/>
    </xf>
    <xf numFmtId="17" fontId="66" fillId="16" borderId="24" xfId="8" applyNumberFormat="1" applyFont="1" applyFill="1" applyBorder="1" applyProtection="1">
      <protection locked="0"/>
    </xf>
    <xf numFmtId="44" fontId="66" fillId="16" borderId="86" xfId="8" applyNumberFormat="1" applyFont="1" applyFill="1" applyBorder="1" applyProtection="1">
      <protection locked="0"/>
    </xf>
    <xf numFmtId="10" fontId="66" fillId="16" borderId="26" xfId="8" applyNumberFormat="1" applyFont="1" applyFill="1" applyBorder="1" applyProtection="1">
      <protection locked="0"/>
    </xf>
    <xf numFmtId="44" fontId="66" fillId="16" borderId="26" xfId="8" applyNumberFormat="1" applyFont="1" applyFill="1" applyBorder="1" applyProtection="1">
      <protection locked="0"/>
    </xf>
    <xf numFmtId="44" fontId="66" fillId="16" borderId="24" xfId="8" applyNumberFormat="1" applyFont="1" applyFill="1" applyBorder="1" applyProtection="1">
      <protection locked="0"/>
    </xf>
    <xf numFmtId="0" fontId="66" fillId="16" borderId="25" xfId="8" applyFont="1" applyFill="1" applyBorder="1" applyAlignment="1" applyProtection="1">
      <alignment wrapText="1"/>
      <protection locked="0"/>
    </xf>
    <xf numFmtId="0" fontId="18" fillId="0" borderId="0" xfId="8" applyFill="1" applyBorder="1" applyProtection="1">
      <protection locked="0"/>
    </xf>
    <xf numFmtId="44" fontId="60" fillId="0" borderId="42" xfId="8" applyNumberFormat="1" applyFont="1" applyFill="1" applyBorder="1" applyProtection="1">
      <protection locked="0"/>
    </xf>
    <xf numFmtId="169" fontId="56" fillId="0" borderId="42" xfId="8" applyNumberFormat="1" applyFont="1" applyFill="1" applyBorder="1" applyProtection="1">
      <protection locked="0"/>
    </xf>
    <xf numFmtId="0" fontId="2" fillId="0" borderId="0" xfId="0" applyFont="1" applyProtection="1"/>
    <xf numFmtId="0" fontId="31" fillId="0" borderId="0" xfId="0" applyFont="1" applyFill="1" applyBorder="1" applyProtection="1"/>
    <xf numFmtId="0" fontId="31" fillId="2" borderId="32" xfId="0" applyFont="1" applyFill="1" applyBorder="1" applyAlignment="1" applyProtection="1">
      <alignment horizontal="center"/>
      <protection locked="0"/>
    </xf>
    <xf numFmtId="0" fontId="18" fillId="0" borderId="124" xfId="0" applyFont="1" applyBorder="1" applyProtection="1"/>
    <xf numFmtId="0" fontId="2" fillId="0" borderId="0" xfId="0" applyFont="1" applyBorder="1" applyProtection="1"/>
    <xf numFmtId="0" fontId="82" fillId="0" borderId="0" xfId="0" applyFont="1"/>
    <xf numFmtId="0" fontId="83" fillId="0" borderId="0" xfId="0" applyFont="1"/>
    <xf numFmtId="0" fontId="83" fillId="0" borderId="0" xfId="0" quotePrefix="1" applyFont="1"/>
    <xf numFmtId="0" fontId="0" fillId="0" borderId="115" xfId="0" applyBorder="1" applyAlignment="1" applyProtection="1">
      <alignment horizontal="left" vertical="top" wrapText="1"/>
      <protection locked="0"/>
    </xf>
    <xf numFmtId="164" fontId="24" fillId="0" borderId="10" xfId="3" applyNumberFormat="1" applyFont="1" applyFill="1" applyBorder="1" applyAlignment="1" applyProtection="1">
      <alignment horizontal="left"/>
      <protection locked="0"/>
    </xf>
    <xf numFmtId="0" fontId="19" fillId="0" borderId="16" xfId="0" applyFont="1" applyFill="1" applyBorder="1" applyProtection="1">
      <protection locked="0"/>
    </xf>
    <xf numFmtId="0" fontId="24" fillId="0" borderId="20" xfId="3" applyFont="1" applyFill="1" applyBorder="1" applyAlignment="1" applyProtection="1">
      <alignment horizontal="left"/>
      <protection locked="0"/>
    </xf>
    <xf numFmtId="0" fontId="24" fillId="0" borderId="21" xfId="3" applyFont="1" applyFill="1" applyBorder="1" applyAlignment="1" applyProtection="1">
      <alignment horizontal="left"/>
      <protection locked="0"/>
    </xf>
    <xf numFmtId="0" fontId="24" fillId="5" borderId="23" xfId="3" applyFont="1" applyFill="1" applyBorder="1" applyAlignment="1" applyProtection="1">
      <alignment horizontal="left"/>
      <protection locked="0"/>
    </xf>
    <xf numFmtId="0" fontId="24" fillId="0" borderId="25" xfId="3" applyFont="1" applyFill="1" applyBorder="1" applyAlignment="1" applyProtection="1">
      <alignment horizontal="left"/>
      <protection locked="0"/>
    </xf>
    <xf numFmtId="0" fontId="24" fillId="6" borderId="25" xfId="3" applyFont="1" applyFill="1" applyBorder="1" applyAlignment="1" applyProtection="1">
      <alignment horizontal="left"/>
      <protection locked="0"/>
    </xf>
    <xf numFmtId="0" fontId="24" fillId="5" borderId="25" xfId="3" applyFont="1" applyFill="1" applyBorder="1" applyAlignment="1" applyProtection="1">
      <alignment horizontal="left"/>
      <protection locked="0"/>
    </xf>
    <xf numFmtId="0" fontId="0" fillId="0" borderId="0" xfId="0" applyAlignment="1">
      <alignment vertical="center" wrapText="1"/>
    </xf>
    <xf numFmtId="44" fontId="25" fillId="0" borderId="14" xfId="1" applyFont="1" applyFill="1" applyBorder="1" applyProtection="1">
      <protection locked="0"/>
    </xf>
    <xf numFmtId="44" fontId="26" fillId="6" borderId="19" xfId="1" applyNumberFormat="1" applyFont="1" applyFill="1" applyBorder="1" applyAlignment="1" applyProtection="1">
      <protection locked="0"/>
    </xf>
    <xf numFmtId="0" fontId="22" fillId="0" borderId="10" xfId="3" applyFont="1" applyFill="1" applyBorder="1" applyAlignment="1" applyProtection="1">
      <protection locked="0"/>
    </xf>
    <xf numFmtId="0" fontId="0" fillId="0" borderId="140" xfId="0" applyBorder="1" applyAlignment="1" applyProtection="1">
      <alignment horizontal="left" vertical="top" wrapText="1"/>
      <protection locked="0"/>
    </xf>
    <xf numFmtId="6" fontId="19" fillId="7" borderId="0" xfId="1" applyNumberFormat="1" applyFont="1" applyFill="1" applyBorder="1" applyProtection="1"/>
    <xf numFmtId="49" fontId="19" fillId="0" borderId="143" xfId="1" applyNumberFormat="1" applyFont="1" applyBorder="1" applyProtection="1"/>
    <xf numFmtId="0" fontId="0" fillId="0" borderId="0" xfId="0" applyBorder="1"/>
    <xf numFmtId="0" fontId="0" fillId="0" borderId="83" xfId="0" applyBorder="1" applyProtection="1"/>
    <xf numFmtId="0" fontId="75" fillId="9" borderId="9" xfId="0" applyNumberFormat="1" applyFont="1" applyFill="1" applyBorder="1" applyAlignment="1" applyProtection="1">
      <alignment horizontal="left"/>
    </xf>
    <xf numFmtId="0" fontId="32" fillId="9" borderId="2" xfId="0" applyNumberFormat="1" applyFont="1" applyFill="1" applyBorder="1" applyProtection="1"/>
    <xf numFmtId="0" fontId="72" fillId="9" borderId="42" xfId="0" applyNumberFormat="1" applyFont="1" applyFill="1" applyBorder="1" applyAlignment="1" applyProtection="1">
      <alignment horizontal="center"/>
    </xf>
    <xf numFmtId="44" fontId="25" fillId="0" borderId="26" xfId="1" applyNumberFormat="1" applyFont="1" applyFill="1" applyBorder="1" applyAlignment="1" applyProtection="1">
      <protection locked="0"/>
    </xf>
    <xf numFmtId="44" fontId="58" fillId="18" borderId="10" xfId="1" applyFont="1" applyFill="1" applyBorder="1" applyProtection="1"/>
    <xf numFmtId="44" fontId="18" fillId="18" borderId="8" xfId="8" applyNumberFormat="1" applyFill="1" applyBorder="1" applyProtection="1"/>
    <xf numFmtId="10" fontId="18" fillId="18" borderId="8" xfId="8" applyNumberFormat="1" applyFill="1" applyBorder="1" applyProtection="1"/>
    <xf numFmtId="10" fontId="18" fillId="18" borderId="46" xfId="8" applyNumberFormat="1" applyFill="1" applyBorder="1" applyProtection="1"/>
    <xf numFmtId="44" fontId="66" fillId="18" borderId="21" xfId="8" applyNumberFormat="1" applyFont="1" applyFill="1" applyBorder="1" applyProtection="1"/>
    <xf numFmtId="44" fontId="66" fillId="16" borderId="87" xfId="8" applyNumberFormat="1" applyFont="1" applyFill="1" applyBorder="1" applyProtection="1"/>
    <xf numFmtId="44" fontId="18" fillId="18" borderId="81" xfId="8" applyNumberFormat="1" applyFill="1" applyBorder="1" applyProtection="1"/>
    <xf numFmtId="0" fontId="61" fillId="0" borderId="0" xfId="8" applyFont="1" applyProtection="1">
      <protection locked="0"/>
    </xf>
    <xf numFmtId="0" fontId="18" fillId="0" borderId="0" xfId="8" applyAlignment="1" applyProtection="1">
      <alignment horizontal="center" vertical="center" wrapText="1"/>
      <protection locked="0"/>
    </xf>
    <xf numFmtId="173" fontId="18" fillId="0" borderId="0" xfId="8" applyNumberFormat="1" applyProtection="1"/>
    <xf numFmtId="9" fontId="18" fillId="18" borderId="8" xfId="8" applyNumberFormat="1" applyFill="1" applyBorder="1" applyProtection="1"/>
    <xf numFmtId="17" fontId="56" fillId="0" borderId="22" xfId="8" applyNumberFormat="1" applyFont="1" applyFill="1" applyBorder="1" applyProtection="1">
      <protection locked="0"/>
    </xf>
    <xf numFmtId="0" fontId="18" fillId="0" borderId="0" xfId="8" applyProtection="1">
      <protection locked="0"/>
    </xf>
    <xf numFmtId="44" fontId="66" fillId="16" borderId="26" xfId="8" applyNumberFormat="1" applyFont="1" applyFill="1" applyBorder="1" applyProtection="1"/>
    <xf numFmtId="9" fontId="66" fillId="16" borderId="26" xfId="8" applyNumberFormat="1" applyFont="1" applyFill="1" applyBorder="1" applyProtection="1"/>
    <xf numFmtId="44" fontId="18" fillId="16" borderId="81" xfId="8" applyNumberFormat="1" applyFill="1" applyBorder="1" applyProtection="1"/>
    <xf numFmtId="49" fontId="36" fillId="0" borderId="119" xfId="1" applyNumberFormat="1" applyFont="1" applyFill="1" applyBorder="1" applyAlignment="1" applyProtection="1">
      <alignment horizontal="center"/>
    </xf>
    <xf numFmtId="49" fontId="84" fillId="0" borderId="118" xfId="1" applyNumberFormat="1" applyFont="1" applyFill="1" applyBorder="1" applyAlignment="1" applyProtection="1">
      <alignment horizontal="center"/>
    </xf>
    <xf numFmtId="0" fontId="0" fillId="0" borderId="0" xfId="0" applyAlignment="1" applyProtection="1">
      <alignment horizontal="center" vertical="center" wrapText="1"/>
    </xf>
    <xf numFmtId="0" fontId="31" fillId="2" borderId="121" xfId="0" applyFont="1" applyFill="1" applyBorder="1" applyAlignment="1" applyProtection="1">
      <alignment horizontal="center" vertical="center" wrapText="1"/>
    </xf>
    <xf numFmtId="0" fontId="0" fillId="0" borderId="0" xfId="0" applyFont="1" applyAlignment="1" applyProtection="1">
      <alignment horizontal="center" vertical="center" wrapText="1"/>
    </xf>
    <xf numFmtId="0" fontId="22" fillId="10" borderId="79" xfId="3" applyFont="1" applyFill="1" applyBorder="1" applyAlignment="1" applyProtection="1">
      <alignment horizontal="center"/>
    </xf>
    <xf numFmtId="0" fontId="22" fillId="9" borderId="80" xfId="3" applyFont="1" applyFill="1" applyBorder="1" applyAlignment="1" applyProtection="1">
      <alignment horizontal="center"/>
    </xf>
    <xf numFmtId="0" fontId="22" fillId="9" borderId="80" xfId="3" applyFont="1" applyFill="1" applyBorder="1" applyAlignment="1" applyProtection="1">
      <alignment horizontal="center" wrapText="1"/>
    </xf>
    <xf numFmtId="0" fontId="22" fillId="10" borderId="145" xfId="3" applyFont="1" applyFill="1" applyBorder="1" applyAlignment="1" applyProtection="1">
      <alignment horizontal="center"/>
    </xf>
    <xf numFmtId="0" fontId="22" fillId="10" borderId="146" xfId="3" applyFont="1" applyFill="1" applyBorder="1" applyAlignment="1" applyProtection="1">
      <alignment horizontal="center"/>
    </xf>
    <xf numFmtId="49" fontId="19" fillId="0" borderId="8" xfId="1" applyNumberFormat="1" applyFont="1" applyBorder="1" applyProtection="1">
      <protection locked="0"/>
    </xf>
    <xf numFmtId="44" fontId="26" fillId="0" borderId="8" xfId="1" applyFont="1" applyFill="1" applyBorder="1" applyProtection="1">
      <protection locked="0"/>
    </xf>
    <xf numFmtId="44" fontId="26" fillId="0" borderId="8" xfId="1" applyFont="1" applyBorder="1" applyProtection="1">
      <protection locked="0"/>
    </xf>
    <xf numFmtId="49" fontId="36" fillId="0" borderId="8" xfId="1" applyNumberFormat="1" applyFont="1" applyFill="1" applyBorder="1" applyAlignment="1" applyProtection="1">
      <alignment horizontal="center"/>
    </xf>
    <xf numFmtId="6" fontId="19" fillId="0" borderId="8" xfId="1" applyNumberFormat="1" applyFont="1" applyBorder="1" applyAlignment="1" applyProtection="1">
      <alignment wrapText="1"/>
      <protection locked="0"/>
    </xf>
    <xf numFmtId="44" fontId="34" fillId="0" borderId="8" xfId="0" applyNumberFormat="1" applyFont="1" applyBorder="1" applyProtection="1"/>
    <xf numFmtId="0" fontId="33" fillId="0" borderId="40" xfId="4" applyFont="1" applyFill="1" applyBorder="1" applyAlignment="1" applyProtection="1">
      <alignment horizontal="left"/>
    </xf>
    <xf numFmtId="0" fontId="19" fillId="0" borderId="40" xfId="0" applyFont="1" applyFill="1" applyBorder="1" applyProtection="1"/>
    <xf numFmtId="0" fontId="22" fillId="0" borderId="31" xfId="4" applyFont="1" applyBorder="1" applyAlignment="1" applyProtection="1">
      <alignment horizontal="left"/>
    </xf>
    <xf numFmtId="0" fontId="22" fillId="0" borderId="31" xfId="4" applyFont="1" applyBorder="1" applyAlignment="1" applyProtection="1">
      <alignment horizontal="left" indent="1"/>
    </xf>
    <xf numFmtId="0" fontId="22" fillId="0" borderId="7" xfId="4" applyFont="1" applyBorder="1" applyAlignment="1" applyProtection="1">
      <alignment horizontal="left"/>
    </xf>
    <xf numFmtId="0" fontId="22" fillId="0" borderId="7" xfId="4" applyFont="1" applyBorder="1" applyAlignment="1" applyProtection="1">
      <alignment horizontal="left" indent="1"/>
    </xf>
    <xf numFmtId="0" fontId="26" fillId="0" borderId="7" xfId="0" applyFont="1" applyFill="1" applyBorder="1" applyProtection="1"/>
    <xf numFmtId="44" fontId="26" fillId="0" borderId="31" xfId="0" applyNumberFormat="1" applyFont="1" applyFill="1" applyBorder="1" applyProtection="1"/>
    <xf numFmtId="169" fontId="56" fillId="0" borderId="0" xfId="8" applyNumberFormat="1" applyFont="1" applyFill="1" applyBorder="1" applyProtection="1">
      <protection locked="0"/>
    </xf>
    <xf numFmtId="0" fontId="18" fillId="0" borderId="0" xfId="8" applyFill="1" applyBorder="1" applyProtection="1"/>
    <xf numFmtId="0" fontId="55" fillId="0" borderId="0" xfId="8" applyFont="1" applyFill="1" applyBorder="1" applyProtection="1"/>
    <xf numFmtId="0" fontId="18" fillId="0" borderId="0" xfId="8" applyBorder="1" applyProtection="1"/>
    <xf numFmtId="0" fontId="35" fillId="13" borderId="8" xfId="0" applyFont="1" applyFill="1" applyBorder="1" applyAlignment="1" applyProtection="1">
      <alignment horizontal="center"/>
      <protection locked="0"/>
    </xf>
    <xf numFmtId="3" fontId="35" fillId="13" borderId="26" xfId="0" applyNumberFormat="1" applyFont="1" applyFill="1" applyBorder="1" applyAlignment="1" applyProtection="1">
      <alignment horizontal="center"/>
      <protection locked="0"/>
    </xf>
    <xf numFmtId="0" fontId="49" fillId="0" borderId="26" xfId="2" applyNumberFormat="1" applyFont="1" applyBorder="1" applyProtection="1">
      <protection locked="0"/>
    </xf>
    <xf numFmtId="44" fontId="18" fillId="0" borderId="8" xfId="8" applyNumberFormat="1" applyFill="1" applyBorder="1" applyProtection="1">
      <protection locked="0"/>
    </xf>
    <xf numFmtId="44" fontId="22" fillId="6" borderId="6" xfId="4" applyNumberFormat="1" applyFont="1" applyFill="1" applyBorder="1" applyAlignment="1" applyProtection="1">
      <alignment horizontal="left" indent="1"/>
      <protection locked="0"/>
    </xf>
    <xf numFmtId="6" fontId="19" fillId="0" borderId="8" xfId="1" applyNumberFormat="1" applyFont="1" applyFill="1" applyBorder="1" applyAlignment="1" applyProtection="1">
      <alignment wrapText="1"/>
      <protection locked="0"/>
    </xf>
    <xf numFmtId="0" fontId="33" fillId="0" borderId="0" xfId="4" applyFont="1" applyBorder="1" applyAlignment="1" applyProtection="1"/>
    <xf numFmtId="0" fontId="33" fillId="0" borderId="8" xfId="4" applyFont="1" applyBorder="1" applyAlignment="1" applyProtection="1"/>
    <xf numFmtId="0" fontId="19" fillId="0" borderId="0" xfId="0" applyFont="1" applyProtection="1">
      <protection locked="0"/>
    </xf>
    <xf numFmtId="0" fontId="0" fillId="0" borderId="0" xfId="0" applyFill="1"/>
    <xf numFmtId="171" fontId="56" fillId="0" borderId="17" xfId="8" applyNumberFormat="1" applyFont="1" applyBorder="1" applyProtection="1"/>
    <xf numFmtId="0" fontId="31" fillId="2" borderId="14" xfId="0" applyFont="1" applyFill="1" applyBorder="1" applyAlignment="1" applyProtection="1">
      <alignment horizontal="center" vertical="center" wrapText="1"/>
    </xf>
    <xf numFmtId="164" fontId="0" fillId="0" borderId="147" xfId="0" applyNumberFormat="1" applyBorder="1" applyProtection="1">
      <protection locked="0"/>
    </xf>
    <xf numFmtId="164" fontId="0" fillId="0" borderId="117" xfId="0" applyNumberFormat="1" applyBorder="1" applyProtection="1">
      <protection locked="0"/>
    </xf>
    <xf numFmtId="0" fontId="0" fillId="0" borderId="0" xfId="0" applyAlignment="1" applyProtection="1">
      <alignment wrapText="1"/>
    </xf>
    <xf numFmtId="0" fontId="31" fillId="2" borderId="121" xfId="0" applyFont="1" applyFill="1" applyBorder="1" applyAlignment="1" applyProtection="1">
      <alignment horizontal="center" vertical="center"/>
    </xf>
    <xf numFmtId="0" fontId="74" fillId="2" borderId="121" xfId="0" applyFont="1" applyFill="1" applyBorder="1" applyAlignment="1" applyProtection="1">
      <alignment horizontal="center" vertical="center" wrapText="1"/>
    </xf>
    <xf numFmtId="2" fontId="56" fillId="0" borderId="17" xfId="8" applyNumberFormat="1" applyFont="1" applyBorder="1" applyProtection="1">
      <protection locked="0"/>
    </xf>
    <xf numFmtId="2" fontId="56" fillId="0" borderId="24" xfId="8" applyNumberFormat="1" applyFont="1" applyBorder="1" applyProtection="1">
      <protection locked="0"/>
    </xf>
    <xf numFmtId="14" fontId="0" fillId="0" borderId="117" xfId="0" applyNumberFormat="1" applyBorder="1" applyAlignment="1" applyProtection="1">
      <alignment horizontal="left" vertical="top"/>
      <protection locked="0"/>
    </xf>
    <xf numFmtId="14" fontId="0" fillId="0" borderId="144" xfId="0" applyNumberFormat="1" applyBorder="1" applyAlignment="1" applyProtection="1">
      <alignment horizontal="left" vertical="top"/>
      <protection locked="0"/>
    </xf>
    <xf numFmtId="14" fontId="36" fillId="0" borderId="142" xfId="1" applyNumberFormat="1" applyFont="1" applyFill="1" applyBorder="1" applyAlignment="1" applyProtection="1">
      <alignment horizontal="center"/>
    </xf>
    <xf numFmtId="44" fontId="51" fillId="25" borderId="135" xfId="5" applyNumberFormat="1" applyFont="1" applyFill="1" applyBorder="1" applyProtection="1">
      <protection locked="0"/>
    </xf>
    <xf numFmtId="44" fontId="50" fillId="25" borderId="135" xfId="5" applyNumberFormat="1" applyFont="1" applyFill="1" applyBorder="1" applyProtection="1"/>
    <xf numFmtId="44" fontId="51" fillId="25" borderId="136" xfId="5" applyNumberFormat="1" applyFont="1" applyFill="1" applyBorder="1" applyProtection="1">
      <protection locked="0"/>
    </xf>
    <xf numFmtId="44" fontId="51" fillId="25" borderId="135" xfId="5" applyNumberFormat="1" applyFont="1" applyFill="1" applyBorder="1" applyAlignment="1" applyProtection="1">
      <alignment vertical="center"/>
      <protection locked="0"/>
    </xf>
    <xf numFmtId="44" fontId="50" fillId="25" borderId="135" xfId="5" applyNumberFormat="1" applyFont="1" applyFill="1" applyBorder="1" applyAlignment="1" applyProtection="1">
      <alignment vertical="center"/>
    </xf>
    <xf numFmtId="44" fontId="51" fillId="25" borderId="136" xfId="5" applyNumberFormat="1" applyFont="1" applyFill="1" applyBorder="1" applyAlignment="1" applyProtection="1">
      <alignment vertical="center"/>
      <protection locked="0"/>
    </xf>
    <xf numFmtId="44" fontId="49" fillId="27" borderId="138" xfId="5" applyNumberFormat="1" applyFont="1" applyFill="1" applyBorder="1" applyProtection="1"/>
    <xf numFmtId="44" fontId="49" fillId="27" borderId="139" xfId="5" applyNumberFormat="1" applyFont="1" applyFill="1" applyBorder="1" applyProtection="1"/>
    <xf numFmtId="0" fontId="0" fillId="0" borderId="123" xfId="0" applyFont="1" applyBorder="1" applyProtection="1">
      <protection locked="0"/>
    </xf>
    <xf numFmtId="0" fontId="0" fillId="0" borderId="124" xfId="0" applyBorder="1" applyProtection="1">
      <protection locked="0"/>
    </xf>
    <xf numFmtId="44" fontId="0" fillId="0" borderId="124" xfId="0" applyNumberFormat="1" applyBorder="1" applyProtection="1">
      <protection locked="0"/>
    </xf>
    <xf numFmtId="0" fontId="0" fillId="0" borderId="147" xfId="0" applyBorder="1" applyProtection="1">
      <protection locked="0"/>
    </xf>
    <xf numFmtId="44" fontId="32" fillId="0" borderId="7" xfId="0" applyNumberFormat="1" applyFont="1" applyFill="1" applyBorder="1" applyProtection="1"/>
    <xf numFmtId="44" fontId="22" fillId="6" borderId="29" xfId="4" applyNumberFormat="1" applyFont="1" applyFill="1" applyBorder="1" applyAlignment="1" applyProtection="1">
      <alignment horizontal="left" indent="1"/>
      <protection locked="0"/>
    </xf>
    <xf numFmtId="44" fontId="0" fillId="0" borderId="141" xfId="0" applyNumberFormat="1" applyBorder="1" applyProtection="1">
      <protection locked="0"/>
    </xf>
    <xf numFmtId="0" fontId="0" fillId="0" borderId="148" xfId="0" applyBorder="1" applyProtection="1">
      <protection locked="0"/>
    </xf>
    <xf numFmtId="44" fontId="32" fillId="6" borderId="9" xfId="0" applyNumberFormat="1" applyFont="1" applyFill="1" applyBorder="1" applyProtection="1"/>
    <xf numFmtId="44" fontId="32" fillId="6" borderId="8" xfId="0" applyNumberFormat="1" applyFont="1" applyFill="1" applyBorder="1" applyProtection="1"/>
    <xf numFmtId="0" fontId="74" fillId="2" borderId="29" xfId="4" applyFont="1" applyFill="1" applyBorder="1" applyAlignment="1" applyProtection="1">
      <alignment horizontal="left"/>
    </xf>
    <xf numFmtId="44" fontId="74" fillId="2" borderId="6" xfId="4" applyNumberFormat="1" applyFont="1" applyFill="1" applyBorder="1" applyAlignment="1" applyProtection="1">
      <alignment horizontal="left" indent="1"/>
      <protection locked="0"/>
    </xf>
    <xf numFmtId="0" fontId="22" fillId="6" borderId="29" xfId="4" applyFont="1" applyFill="1" applyBorder="1" applyAlignment="1">
      <alignment horizontal="left"/>
    </xf>
    <xf numFmtId="0" fontId="74" fillId="2" borderId="29" xfId="4" applyFont="1" applyFill="1" applyBorder="1" applyAlignment="1">
      <alignment horizontal="left"/>
    </xf>
    <xf numFmtId="44" fontId="74" fillId="2" borderId="6" xfId="4" applyNumberFormat="1" applyFont="1" applyFill="1" applyBorder="1" applyAlignment="1" applyProtection="1">
      <alignment horizontal="left" indent="1"/>
    </xf>
    <xf numFmtId="44" fontId="50" fillId="0" borderId="0" xfId="7" applyNumberFormat="1" applyFont="1" applyFill="1" applyBorder="1" applyAlignment="1" applyProtection="1">
      <alignment horizontal="left" vertical="center" wrapText="1"/>
    </xf>
    <xf numFmtId="44" fontId="74" fillId="2" borderId="29" xfId="4" applyNumberFormat="1" applyFont="1" applyFill="1" applyBorder="1" applyAlignment="1" applyProtection="1">
      <alignment horizontal="left"/>
    </xf>
    <xf numFmtId="0" fontId="50" fillId="0" borderId="0" xfId="3" applyNumberFormat="1" applyFont="1" applyFill="1" applyBorder="1" applyAlignment="1" applyProtection="1">
      <protection locked="0"/>
    </xf>
    <xf numFmtId="0" fontId="50" fillId="0" borderId="0" xfId="3" applyNumberFormat="1" applyFont="1" applyFill="1" applyAlignment="1" applyProtection="1">
      <protection locked="0"/>
    </xf>
    <xf numFmtId="165" fontId="0" fillId="0" borderId="113" xfId="0" applyNumberFormat="1" applyBorder="1" applyProtection="1">
      <protection locked="0"/>
    </xf>
    <xf numFmtId="165" fontId="0" fillId="0" borderId="116" xfId="0" applyNumberFormat="1" applyBorder="1" applyProtection="1">
      <protection locked="0"/>
    </xf>
    <xf numFmtId="0" fontId="0" fillId="0" borderId="116" xfId="0" applyBorder="1" applyAlignment="1" applyProtection="1">
      <alignment horizontal="left" vertical="top" wrapText="1"/>
      <protection locked="0"/>
    </xf>
    <xf numFmtId="0" fontId="0" fillId="0" borderId="141" xfId="0" applyBorder="1" applyAlignment="1" applyProtection="1">
      <alignment horizontal="left" vertical="top" wrapText="1"/>
      <protection locked="0"/>
    </xf>
    <xf numFmtId="44" fontId="25" fillId="0" borderId="8" xfId="1" applyNumberFormat="1" applyFont="1" applyFill="1" applyBorder="1" applyAlignment="1" applyProtection="1">
      <protection locked="0"/>
    </xf>
    <xf numFmtId="0" fontId="0" fillId="0" borderId="0" xfId="0" applyProtection="1">
      <protection locked="0"/>
    </xf>
    <xf numFmtId="0" fontId="0" fillId="0" borderId="149" xfId="0" applyBorder="1" applyAlignment="1" applyProtection="1">
      <alignment horizontal="left" vertical="top" wrapText="1"/>
      <protection locked="0"/>
    </xf>
    <xf numFmtId="14" fontId="0" fillId="0" borderId="150" xfId="0" applyNumberFormat="1" applyBorder="1" applyAlignment="1" applyProtection="1">
      <alignment horizontal="left" vertical="top"/>
      <protection locked="0"/>
    </xf>
    <xf numFmtId="0" fontId="0" fillId="0" borderId="46" xfId="0" applyBorder="1" applyAlignment="1" applyProtection="1">
      <alignment horizontal="left" vertical="top" wrapText="1"/>
      <protection locked="0"/>
    </xf>
    <xf numFmtId="0" fontId="0" fillId="0" borderId="124" xfId="0" applyBorder="1" applyAlignment="1" applyProtection="1">
      <alignment horizontal="left" vertical="top" wrapText="1"/>
      <protection locked="0"/>
    </xf>
    <xf numFmtId="0" fontId="0" fillId="0" borderId="151" xfId="0" applyBorder="1" applyAlignment="1" applyProtection="1">
      <alignment horizontal="left" vertical="top" wrapText="1"/>
      <protection locked="0"/>
    </xf>
    <xf numFmtId="0" fontId="0" fillId="0" borderId="37" xfId="0" applyBorder="1" applyAlignment="1" applyProtection="1">
      <alignment horizontal="left" vertical="top" wrapText="1"/>
      <protection locked="0"/>
    </xf>
    <xf numFmtId="44" fontId="18" fillId="18" borderId="81" xfId="8" applyNumberFormat="1" applyFill="1" applyBorder="1" applyProtection="1">
      <protection locked="0"/>
    </xf>
    <xf numFmtId="0" fontId="4" fillId="0" borderId="82" xfId="0" applyFont="1" applyBorder="1"/>
    <xf numFmtId="0" fontId="4" fillId="0" borderId="83" xfId="0" applyFont="1" applyBorder="1" applyAlignment="1">
      <alignment wrapText="1"/>
    </xf>
    <xf numFmtId="0" fontId="8" fillId="0" borderId="0" xfId="0" applyFont="1" applyAlignment="1">
      <alignment vertical="center"/>
    </xf>
    <xf numFmtId="0" fontId="8" fillId="0" borderId="7" xfId="0" applyFont="1" applyBorder="1" applyAlignment="1">
      <alignment vertical="center"/>
    </xf>
    <xf numFmtId="0" fontId="23" fillId="9" borderId="29" xfId="4" applyFont="1" applyFill="1" applyBorder="1" applyAlignment="1" applyProtection="1">
      <alignment horizontal="left" vertical="center"/>
    </xf>
    <xf numFmtId="0" fontId="23" fillId="9" borderId="43" xfId="4" applyFont="1" applyFill="1" applyBorder="1" applyAlignment="1" applyProtection="1">
      <alignment horizontal="left" vertical="center"/>
    </xf>
    <xf numFmtId="0" fontId="23" fillId="6" borderId="29" xfId="3" applyFont="1" applyFill="1" applyBorder="1" applyAlignment="1" applyProtection="1">
      <alignment horizontal="center"/>
    </xf>
    <xf numFmtId="0" fontId="23" fillId="6" borderId="2" xfId="3" applyFont="1" applyFill="1" applyBorder="1" applyAlignment="1" applyProtection="1">
      <alignment horizontal="center"/>
    </xf>
    <xf numFmtId="0" fontId="29" fillId="8" borderId="24" xfId="0" applyFont="1" applyFill="1" applyBorder="1" applyAlignment="1" applyProtection="1">
      <alignment horizontal="center"/>
    </xf>
    <xf numFmtId="0" fontId="29" fillId="8" borderId="26" xfId="0" applyFont="1" applyFill="1" applyBorder="1" applyAlignment="1" applyProtection="1">
      <alignment horizontal="center"/>
    </xf>
    <xf numFmtId="0" fontId="29" fillId="8" borderId="27" xfId="0" applyFont="1" applyFill="1" applyBorder="1" applyAlignment="1" applyProtection="1">
      <alignment horizontal="center"/>
    </xf>
    <xf numFmtId="0" fontId="22" fillId="8" borderId="11" xfId="3" applyFont="1" applyFill="1" applyBorder="1" applyAlignment="1" applyProtection="1">
      <alignment horizontal="center"/>
    </xf>
    <xf numFmtId="0" fontId="22" fillId="8" borderId="12" xfId="3" applyFont="1" applyFill="1" applyBorder="1" applyAlignment="1" applyProtection="1">
      <alignment horizontal="center"/>
    </xf>
    <xf numFmtId="0" fontId="22" fillId="8" borderId="13" xfId="3" applyFont="1" applyFill="1" applyBorder="1" applyAlignment="1" applyProtection="1">
      <alignment horizontal="center"/>
    </xf>
    <xf numFmtId="0" fontId="22" fillId="6" borderId="17" xfId="3" applyFont="1" applyFill="1" applyBorder="1" applyAlignment="1" applyProtection="1">
      <alignment horizontal="center"/>
    </xf>
    <xf numFmtId="0" fontId="22" fillId="6" borderId="8" xfId="3" applyFont="1" applyFill="1" applyBorder="1" applyAlignment="1" applyProtection="1">
      <alignment horizontal="center"/>
    </xf>
    <xf numFmtId="0" fontId="22" fillId="6" borderId="18" xfId="3" applyFont="1" applyFill="1" applyBorder="1" applyAlignment="1" applyProtection="1">
      <alignment horizontal="center"/>
    </xf>
    <xf numFmtId="0" fontId="22" fillId="8" borderId="17" xfId="3" applyFont="1" applyFill="1" applyBorder="1" applyAlignment="1" applyProtection="1">
      <alignment horizontal="center"/>
    </xf>
    <xf numFmtId="0" fontId="22" fillId="8" borderId="8" xfId="3" applyFont="1" applyFill="1" applyBorder="1" applyAlignment="1" applyProtection="1">
      <alignment horizontal="center"/>
    </xf>
    <xf numFmtId="0" fontId="22" fillId="8" borderId="18" xfId="3" applyFont="1" applyFill="1" applyBorder="1" applyAlignment="1" applyProtection="1">
      <alignment horizontal="center"/>
    </xf>
    <xf numFmtId="0" fontId="27" fillId="8" borderId="17" xfId="3" applyFont="1" applyFill="1" applyBorder="1" applyAlignment="1" applyProtection="1">
      <alignment horizontal="center"/>
    </xf>
    <xf numFmtId="0" fontId="27" fillId="8" borderId="8" xfId="3" applyFont="1" applyFill="1" applyBorder="1" applyAlignment="1" applyProtection="1">
      <alignment horizontal="center"/>
    </xf>
    <xf numFmtId="0" fontId="27" fillId="8" borderId="18" xfId="3" applyFont="1" applyFill="1" applyBorder="1" applyAlignment="1" applyProtection="1">
      <alignment horizontal="center"/>
    </xf>
    <xf numFmtId="0" fontId="22" fillId="7" borderId="17" xfId="3" applyFont="1" applyFill="1" applyBorder="1" applyAlignment="1" applyProtection="1">
      <alignment horizontal="center" wrapText="1"/>
    </xf>
    <xf numFmtId="0" fontId="22" fillId="7" borderId="8" xfId="3" applyFont="1" applyFill="1" applyBorder="1" applyAlignment="1" applyProtection="1">
      <alignment horizontal="center" wrapText="1"/>
    </xf>
    <xf numFmtId="0" fontId="22" fillId="7" borderId="18" xfId="3" applyFont="1" applyFill="1" applyBorder="1" applyAlignment="1" applyProtection="1">
      <alignment horizontal="center" wrapText="1"/>
    </xf>
    <xf numFmtId="0" fontId="35" fillId="13" borderId="13" xfId="0" applyFont="1" applyFill="1" applyBorder="1" applyAlignment="1" applyProtection="1">
      <alignment horizontal="center"/>
      <protection locked="0"/>
    </xf>
    <xf numFmtId="0" fontId="35" fillId="13" borderId="64" xfId="0" applyFont="1" applyFill="1" applyBorder="1" applyAlignment="1" applyProtection="1">
      <alignment horizontal="center"/>
      <protection locked="0"/>
    </xf>
    <xf numFmtId="0" fontId="35" fillId="0" borderId="13" xfId="0" applyFont="1" applyBorder="1" applyAlignment="1" applyProtection="1">
      <alignment horizontal="center"/>
    </xf>
    <xf numFmtId="0" fontId="35" fillId="0" borderId="48" xfId="0" applyFont="1" applyBorder="1" applyAlignment="1" applyProtection="1">
      <alignment horizontal="center"/>
    </xf>
    <xf numFmtId="0" fontId="35" fillId="0" borderId="18" xfId="0" applyFont="1" applyBorder="1" applyAlignment="1" applyProtection="1">
      <alignment horizontal="center"/>
    </xf>
    <xf numFmtId="0" fontId="35" fillId="0" borderId="49" xfId="0" applyFont="1" applyBorder="1" applyAlignment="1" applyProtection="1">
      <alignment horizontal="center"/>
    </xf>
    <xf numFmtId="0" fontId="35" fillId="0" borderId="27" xfId="0" applyFont="1" applyBorder="1" applyAlignment="1" applyProtection="1">
      <alignment horizontal="center"/>
    </xf>
    <xf numFmtId="0" fontId="35" fillId="0" borderId="65" xfId="0" applyFont="1" applyBorder="1" applyAlignment="1" applyProtection="1">
      <alignment horizontal="center"/>
    </xf>
    <xf numFmtId="0" fontId="63" fillId="21" borderId="8" xfId="0" applyFont="1" applyFill="1" applyBorder="1" applyAlignment="1" applyProtection="1">
      <alignment horizontal="center"/>
    </xf>
    <xf numFmtId="0" fontId="54" fillId="0" borderId="0" xfId="8" applyFont="1" applyFill="1" applyBorder="1" applyAlignment="1" applyProtection="1">
      <alignment horizontal="center"/>
    </xf>
    <xf numFmtId="0" fontId="18" fillId="8" borderId="18" xfId="8" applyFont="1" applyFill="1" applyBorder="1" applyAlignment="1" applyProtection="1">
      <alignment horizontal="right"/>
    </xf>
    <xf numFmtId="0" fontId="18" fillId="8" borderId="81" xfId="8" applyFont="1" applyFill="1" applyBorder="1" applyAlignment="1" applyProtection="1">
      <alignment horizontal="right"/>
    </xf>
    <xf numFmtId="0" fontId="18" fillId="17" borderId="0" xfId="8" applyFill="1" applyAlignment="1" applyProtection="1">
      <alignment horizontal="center" vertical="center" wrapText="1"/>
    </xf>
    <xf numFmtId="0" fontId="62" fillId="20" borderId="29" xfId="0" applyFont="1" applyFill="1" applyBorder="1" applyAlignment="1" applyProtection="1">
      <alignment horizontal="center"/>
    </xf>
    <xf numFmtId="0" fontId="62" fillId="20" borderId="32" xfId="0" applyFont="1" applyFill="1" applyBorder="1" applyAlignment="1" applyProtection="1">
      <alignment horizontal="center"/>
    </xf>
    <xf numFmtId="0" fontId="63" fillId="12" borderId="8" xfId="0" applyFont="1" applyFill="1" applyBorder="1" applyAlignment="1" applyProtection="1">
      <alignment horizontal="center"/>
    </xf>
    <xf numFmtId="0" fontId="18" fillId="0" borderId="18" xfId="8" applyFont="1" applyFill="1" applyBorder="1" applyAlignment="1" applyProtection="1">
      <alignment horizontal="right"/>
    </xf>
    <xf numFmtId="0" fontId="18" fillId="0" borderId="81" xfId="8" applyFont="1" applyFill="1" applyBorder="1" applyAlignment="1" applyProtection="1">
      <alignment horizontal="right"/>
    </xf>
    <xf numFmtId="0" fontId="20" fillId="9" borderId="111" xfId="0" applyFont="1" applyFill="1" applyBorder="1" applyAlignment="1">
      <alignment horizontal="center"/>
    </xf>
    <xf numFmtId="0" fontId="20" fillId="9" borderId="110" xfId="0" applyFont="1" applyFill="1" applyBorder="1" applyAlignment="1">
      <alignment horizontal="center"/>
    </xf>
    <xf numFmtId="0" fontId="20" fillId="9" borderId="109" xfId="0" applyFont="1" applyFill="1" applyBorder="1" applyAlignment="1">
      <alignment horizontal="center"/>
    </xf>
  </cellXfs>
  <cellStyles count="11">
    <cellStyle name="Comma" xfId="9" builtinId="3"/>
    <cellStyle name="Comma 3 2" xfId="6" xr:uid="{9E1F8D06-3C99-405F-9262-978D0C3784D9}"/>
    <cellStyle name="Currency" xfId="1" builtinId="4"/>
    <cellStyle name="Currency 2" xfId="5" xr:uid="{E52A2178-37C1-4859-9733-88D88D6B29C3}"/>
    <cellStyle name="Currency 4" xfId="7" xr:uid="{3874BDB7-ACF2-4AEE-9DB1-BF83FCF1CA1D}"/>
    <cellStyle name="Normal" xfId="0" builtinId="0"/>
    <cellStyle name="Normal 2" xfId="3" xr:uid="{CA46A652-72B6-4D15-83F1-297373F263F5}"/>
    <cellStyle name="Normal 2 2" xfId="10" xr:uid="{717E718A-4902-436E-B0F6-ED47C85A23A6}"/>
    <cellStyle name="Normal 3" xfId="8" xr:uid="{C21CEDAF-EA62-4379-9541-2E3708F1B0EA}"/>
    <cellStyle name="Normal 9 10" xfId="4" xr:uid="{5EC27B39-0462-4CFE-9085-04D873D62C69}"/>
    <cellStyle name="Percent" xfId="2" builtinId="5"/>
  </cellStyles>
  <dxfs count="520">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val="0"/>
        <i val="0"/>
        <strike val="0"/>
        <condense val="0"/>
        <extend val="0"/>
        <outline val="0"/>
        <shadow val="0"/>
        <u val="none"/>
        <vertAlign val="baseline"/>
        <sz val="11"/>
        <color theme="1"/>
        <name val="Cambria"/>
        <family val="1"/>
        <scheme val="none"/>
      </font>
    </dxf>
    <dxf>
      <font>
        <b/>
        <i val="0"/>
        <strike val="0"/>
        <condense val="0"/>
        <extend val="0"/>
        <outline val="0"/>
        <shadow val="0"/>
        <u val="none"/>
        <vertAlign val="baseline"/>
        <sz val="11"/>
        <color theme="1"/>
        <name val="Cambria"/>
        <family val="1"/>
        <scheme val="none"/>
      </font>
    </dxf>
    <dxf>
      <alignment horizontal="general" vertical="center" textRotation="0" wrapText="1" indent="0" justifyLastLine="0" shrinkToFit="0" readingOrder="0"/>
    </dxf>
    <dxf>
      <alignment horizontal="general"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border diagonalUp="0" diagonalDown="0">
        <left/>
        <right style="slantDashDot">
          <color auto="1"/>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color auto="1"/>
      </font>
      <fill>
        <patternFill patternType="none">
          <fgColor indexed="64"/>
          <bgColor auto="1"/>
        </patternFill>
      </fill>
      <protection locked="1" hidden="0"/>
    </dxf>
    <dxf>
      <border outline="0">
        <left style="thick">
          <color auto="1"/>
        </left>
        <right style="thick">
          <color auto="1"/>
        </right>
        <top style="thin">
          <color theme="4"/>
        </top>
        <bottom style="thin">
          <color theme="4"/>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border diagonalUp="0" diagonalDown="0">
        <left/>
        <right style="thick">
          <color indexed="64"/>
        </right>
        <top/>
        <bottom/>
        <vertical/>
        <horizontal/>
      </border>
      <protection locked="1" hidden="0"/>
    </dxf>
    <dxf>
      <font>
        <b val="0"/>
        <i val="0"/>
        <strike val="0"/>
        <condense val="0"/>
        <extend val="0"/>
        <outline val="0"/>
        <shadow val="0"/>
        <u val="none"/>
        <vertAlign val="baseline"/>
        <sz val="10"/>
        <color rgb="FF073FDD"/>
        <name val="Calibri"/>
        <family val="2"/>
        <scheme val="minor"/>
      </font>
      <numFmt numFmtId="165" formatCode="_(&quot;$&quot;* #,##0_);_(&quot;$&quot;* \(#,##0\);_(&quot;$&quot;* &quot;-&quot;??_);_(@_)"/>
      <fill>
        <patternFill patternType="none">
          <fgColor indexed="64"/>
          <bgColor indexed="65"/>
        </patternFill>
      </fill>
      <protection locked="0" hidden="0"/>
    </dxf>
    <dxf>
      <font>
        <b val="0"/>
        <i val="0"/>
        <strike val="0"/>
        <condense val="0"/>
        <extend val="0"/>
        <outline val="0"/>
        <shadow val="0"/>
        <u val="none"/>
        <vertAlign val="baseline"/>
        <sz val="10"/>
        <color auto="1"/>
        <name val="Calibri"/>
        <scheme val="minor"/>
      </font>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1" hidden="0"/>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rgb="FF073FDD"/>
        <name val="Calibri"/>
        <scheme val="minor"/>
      </font>
      <numFmt numFmtId="165" formatCode="_(&quot;$&quot;* #,##0_);_(&quot;$&quot;* \(#,##0\);_(&quot;$&quot;* &quot;-&quot;??_);_(@_)"/>
      <fill>
        <patternFill patternType="none">
          <fgColor indexed="64"/>
          <bgColor auto="1"/>
        </patternFill>
      </fill>
      <protection locked="0"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protection locked="1" hidden="0"/>
    </dxf>
    <dxf>
      <border outline="0">
        <left style="thick">
          <color auto="1"/>
        </left>
        <right style="thick">
          <color auto="1"/>
        </right>
        <top style="thick">
          <color auto="1"/>
        </top>
        <bottom style="thin">
          <color theme="4" tint="0.39997558519241921"/>
        </bottom>
      </border>
    </dxf>
    <dxf>
      <font>
        <b val="0"/>
        <i val="0"/>
        <strike val="0"/>
        <condense val="0"/>
        <extend val="0"/>
        <outline val="0"/>
        <shadow val="0"/>
        <u val="none"/>
        <vertAlign val="baseline"/>
        <sz val="10"/>
        <color auto="1"/>
        <name val="Calibri"/>
        <scheme val="minor"/>
      </font>
      <numFmt numFmtId="165" formatCode="_(&quot;$&quot;* #,##0_);_(&quot;$&quot;* \(#,##0\);_(&quot;$&quot;* &quot;-&quot;??_);_(@_)"/>
      <fill>
        <patternFill patternType="none">
          <fgColor indexed="64"/>
          <bgColor auto="1"/>
        </patternFill>
      </fill>
      <protection locked="1" hidden="0"/>
    </dxf>
    <dxf>
      <alignment horizontal="center" vertical="bottom" textRotation="0" wrapText="0" indent="0" justifyLastLine="0" shrinkToFit="0" readingOrder="0"/>
      <protection locked="1" hidden="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drawings/drawing1.xml><?xml version="1.0" encoding="utf-8"?>
<xdr:wsDr xmlns:xdr="http://schemas.openxmlformats.org/drawingml/2006/spreadsheetDrawing" xmlns:a="http://schemas.openxmlformats.org/drawingml/2006/main">
  <xdr:twoCellAnchor>
    <xdr:from>
      <xdr:col>1</xdr:col>
      <xdr:colOff>34925</xdr:colOff>
      <xdr:row>134</xdr:row>
      <xdr:rowOff>34926</xdr:rowOff>
    </xdr:from>
    <xdr:to>
      <xdr:col>1</xdr:col>
      <xdr:colOff>1285875</xdr:colOff>
      <xdr:row>134</xdr:row>
      <xdr:rowOff>342899</xdr:rowOff>
    </xdr:to>
    <xdr:sp macro="insert_rows" textlink="">
      <xdr:nvSpPr>
        <xdr:cNvPr id="5" name="Rectangle: Rounded Corners 4">
          <a:extLst>
            <a:ext uri="{FF2B5EF4-FFF2-40B4-BE49-F238E27FC236}">
              <a16:creationId xmlns:a16="http://schemas.microsoft.com/office/drawing/2014/main" id="{4D380AA0-D7E5-4C98-B94A-CAB60AB49679}"/>
            </a:ext>
          </a:extLst>
        </xdr:cNvPr>
        <xdr:cNvSpPr/>
      </xdr:nvSpPr>
      <xdr:spPr>
        <a:xfrm>
          <a:off x="234950" y="24704676"/>
          <a:ext cx="1250950" cy="307973"/>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800" b="1"/>
            <a:t>Insert row </a:t>
          </a:r>
        </a:p>
      </xdr:txBody>
    </xdr:sp>
    <xdr:clientData/>
  </xdr:twoCellAnchor>
  <xdr:twoCellAnchor>
    <xdr:from>
      <xdr:col>2</xdr:col>
      <xdr:colOff>1196976</xdr:colOff>
      <xdr:row>134</xdr:row>
      <xdr:rowOff>38099</xdr:rowOff>
    </xdr:from>
    <xdr:to>
      <xdr:col>2</xdr:col>
      <xdr:colOff>2568576</xdr:colOff>
      <xdr:row>134</xdr:row>
      <xdr:rowOff>333374</xdr:rowOff>
    </xdr:to>
    <xdr:sp macro="delete_row" textlink="">
      <xdr:nvSpPr>
        <xdr:cNvPr id="9" name="Rectangle: Rounded Corners 8">
          <a:extLst>
            <a:ext uri="{FF2B5EF4-FFF2-40B4-BE49-F238E27FC236}">
              <a16:creationId xmlns:a16="http://schemas.microsoft.com/office/drawing/2014/main" id="{849BCD36-2032-40B4-9CE0-D3624B754D0F}"/>
            </a:ext>
          </a:extLst>
        </xdr:cNvPr>
        <xdr:cNvSpPr/>
      </xdr:nvSpPr>
      <xdr:spPr>
        <a:xfrm>
          <a:off x="2797176" y="24745949"/>
          <a:ext cx="1371600" cy="295275"/>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600" b="1"/>
            <a:t>Delete Rows</a:t>
          </a:r>
        </a:p>
      </xdr:txBody>
    </xdr:sp>
    <xdr:clientData/>
  </xdr:twoCellAnchor>
  <xdr:twoCellAnchor>
    <xdr:from>
      <xdr:col>3</xdr:col>
      <xdr:colOff>180976</xdr:colOff>
      <xdr:row>134</xdr:row>
      <xdr:rowOff>34925</xdr:rowOff>
    </xdr:from>
    <xdr:to>
      <xdr:col>3</xdr:col>
      <xdr:colOff>1371600</xdr:colOff>
      <xdr:row>134</xdr:row>
      <xdr:rowOff>333375</xdr:rowOff>
    </xdr:to>
    <xdr:sp macro="reset_rows" textlink="">
      <xdr:nvSpPr>
        <xdr:cNvPr id="10" name="Rectangle: Rounded Corners 9">
          <a:extLst>
            <a:ext uri="{FF2B5EF4-FFF2-40B4-BE49-F238E27FC236}">
              <a16:creationId xmlns:a16="http://schemas.microsoft.com/office/drawing/2014/main" id="{5807E848-696D-497B-A597-977AE279055D}"/>
            </a:ext>
          </a:extLst>
        </xdr:cNvPr>
        <xdr:cNvSpPr/>
      </xdr:nvSpPr>
      <xdr:spPr>
        <a:xfrm>
          <a:off x="5753101" y="24742775"/>
          <a:ext cx="1190624" cy="29845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b="1"/>
            <a:t>Reset</a:t>
          </a:r>
          <a:r>
            <a:rPr lang="en-US" sz="1600" b="1" baseline="0"/>
            <a:t> rows</a:t>
          </a:r>
          <a:endParaRPr lang="en-US" sz="1600" b="1"/>
        </a:p>
      </xdr:txBody>
    </xdr:sp>
    <xdr:clientData/>
  </xdr:twoCellAnchor>
  <xdr:twoCellAnchor>
    <xdr:from>
      <xdr:col>2</xdr:col>
      <xdr:colOff>1419225</xdr:colOff>
      <xdr:row>117</xdr:row>
      <xdr:rowOff>28577</xdr:rowOff>
    </xdr:from>
    <xdr:to>
      <xdr:col>2</xdr:col>
      <xdr:colOff>2733675</xdr:colOff>
      <xdr:row>117</xdr:row>
      <xdr:rowOff>177800</xdr:rowOff>
    </xdr:to>
    <xdr:sp macro="[0]!highlight_activate" textlink="">
      <xdr:nvSpPr>
        <xdr:cNvPr id="6" name="Rectangle: Rounded Corners 5">
          <a:extLst>
            <a:ext uri="{FF2B5EF4-FFF2-40B4-BE49-F238E27FC236}">
              <a16:creationId xmlns:a16="http://schemas.microsoft.com/office/drawing/2014/main" id="{144C4089-7D3A-4E39-AF81-E9B7A71584DA}"/>
            </a:ext>
          </a:extLst>
        </xdr:cNvPr>
        <xdr:cNvSpPr/>
      </xdr:nvSpPr>
      <xdr:spPr>
        <a:xfrm>
          <a:off x="3019425" y="21097877"/>
          <a:ext cx="1314450" cy="149223"/>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200" b="1"/>
            <a:t>Highlight Off</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48035</xdr:colOff>
      <xdr:row>28</xdr:row>
      <xdr:rowOff>40968</xdr:rowOff>
    </xdr:from>
    <xdr:to>
      <xdr:col>10</xdr:col>
      <xdr:colOff>1184890</xdr:colOff>
      <xdr:row>28</xdr:row>
      <xdr:rowOff>181180</xdr:rowOff>
    </xdr:to>
    <xdr:sp macro="[0]!hide_unhide_subcon" textlink="">
      <xdr:nvSpPr>
        <xdr:cNvPr id="2" name="Rectangle: Rounded Corners 1">
          <a:extLst>
            <a:ext uri="{FF2B5EF4-FFF2-40B4-BE49-F238E27FC236}">
              <a16:creationId xmlns:a16="http://schemas.microsoft.com/office/drawing/2014/main" id="{C3F2B119-0DEF-4A7A-89B1-A042C78689B4}"/>
            </a:ext>
          </a:extLst>
        </xdr:cNvPr>
        <xdr:cNvSpPr/>
      </xdr:nvSpPr>
      <xdr:spPr>
        <a:xfrm>
          <a:off x="17254487" y="2970162"/>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58276</xdr:colOff>
      <xdr:row>39</xdr:row>
      <xdr:rowOff>17309</xdr:rowOff>
    </xdr:from>
    <xdr:to>
      <xdr:col>10</xdr:col>
      <xdr:colOff>1201481</xdr:colOff>
      <xdr:row>39</xdr:row>
      <xdr:rowOff>160696</xdr:rowOff>
    </xdr:to>
    <xdr:sp macro="[0]!hide_unhide_subcon" textlink="">
      <xdr:nvSpPr>
        <xdr:cNvPr id="3" name="Rectangle: Rounded Corners 2">
          <a:extLst>
            <a:ext uri="{FF2B5EF4-FFF2-40B4-BE49-F238E27FC236}">
              <a16:creationId xmlns:a16="http://schemas.microsoft.com/office/drawing/2014/main" id="{02CE3C57-76F1-4EA9-919A-86DCC8EA0738}"/>
            </a:ext>
          </a:extLst>
        </xdr:cNvPr>
        <xdr:cNvSpPr/>
      </xdr:nvSpPr>
      <xdr:spPr>
        <a:xfrm>
          <a:off x="17264728" y="4984648"/>
          <a:ext cx="1143205" cy="143387"/>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51209</xdr:colOff>
      <xdr:row>48</xdr:row>
      <xdr:rowOff>17308</xdr:rowOff>
    </xdr:from>
    <xdr:to>
      <xdr:col>10</xdr:col>
      <xdr:colOff>1194414</xdr:colOff>
      <xdr:row>48</xdr:row>
      <xdr:rowOff>174112</xdr:rowOff>
    </xdr:to>
    <xdr:sp macro="[0]!hide_unhide_subcon" textlink="">
      <xdr:nvSpPr>
        <xdr:cNvPr id="4" name="Rectangle: Rounded Corners 3">
          <a:extLst>
            <a:ext uri="{FF2B5EF4-FFF2-40B4-BE49-F238E27FC236}">
              <a16:creationId xmlns:a16="http://schemas.microsoft.com/office/drawing/2014/main" id="{874F97F1-2968-4353-939A-7E96F36002FB}"/>
            </a:ext>
          </a:extLst>
        </xdr:cNvPr>
        <xdr:cNvSpPr/>
      </xdr:nvSpPr>
      <xdr:spPr>
        <a:xfrm>
          <a:off x="17257661" y="6643840"/>
          <a:ext cx="1143205" cy="156804"/>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48035</xdr:colOff>
      <xdr:row>61</xdr:row>
      <xdr:rowOff>17309</xdr:rowOff>
    </xdr:from>
    <xdr:to>
      <xdr:col>10</xdr:col>
      <xdr:colOff>1191240</xdr:colOff>
      <xdr:row>61</xdr:row>
      <xdr:rowOff>160696</xdr:rowOff>
    </xdr:to>
    <xdr:sp macro="[0]!hide_unhide_subcon" textlink="">
      <xdr:nvSpPr>
        <xdr:cNvPr id="5" name="Rectangle: Rounded Corners 4">
          <a:extLst>
            <a:ext uri="{FF2B5EF4-FFF2-40B4-BE49-F238E27FC236}">
              <a16:creationId xmlns:a16="http://schemas.microsoft.com/office/drawing/2014/main" id="{04191DFB-BDA9-4075-8E83-8F3807BA9EDF}"/>
            </a:ext>
          </a:extLst>
        </xdr:cNvPr>
        <xdr:cNvSpPr/>
      </xdr:nvSpPr>
      <xdr:spPr>
        <a:xfrm>
          <a:off x="17254487" y="9040454"/>
          <a:ext cx="1143205" cy="143387"/>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68519</xdr:colOff>
      <xdr:row>71</xdr:row>
      <xdr:rowOff>17309</xdr:rowOff>
    </xdr:from>
    <xdr:to>
      <xdr:col>10</xdr:col>
      <xdr:colOff>1211724</xdr:colOff>
      <xdr:row>71</xdr:row>
      <xdr:rowOff>160696</xdr:rowOff>
    </xdr:to>
    <xdr:sp macro="[0]!hide_unhide_subcon" textlink="">
      <xdr:nvSpPr>
        <xdr:cNvPr id="6" name="Rectangle: Rounded Corners 5">
          <a:extLst>
            <a:ext uri="{FF2B5EF4-FFF2-40B4-BE49-F238E27FC236}">
              <a16:creationId xmlns:a16="http://schemas.microsoft.com/office/drawing/2014/main" id="{9A60E272-59E3-4DC9-A530-E7DDFAFFD483}"/>
            </a:ext>
          </a:extLst>
        </xdr:cNvPr>
        <xdr:cNvSpPr/>
      </xdr:nvSpPr>
      <xdr:spPr>
        <a:xfrm>
          <a:off x="17274971" y="10884003"/>
          <a:ext cx="1143205" cy="143387"/>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80</xdr:row>
      <xdr:rowOff>20484</xdr:rowOff>
    </xdr:from>
    <xdr:to>
      <xdr:col>10</xdr:col>
      <xdr:colOff>1184173</xdr:colOff>
      <xdr:row>80</xdr:row>
      <xdr:rowOff>160696</xdr:rowOff>
    </xdr:to>
    <xdr:sp macro="[0]!hide_unhide_subcon" textlink="">
      <xdr:nvSpPr>
        <xdr:cNvPr id="7" name="Rectangle: Rounded Corners 6">
          <a:extLst>
            <a:ext uri="{FF2B5EF4-FFF2-40B4-BE49-F238E27FC236}">
              <a16:creationId xmlns:a16="http://schemas.microsoft.com/office/drawing/2014/main" id="{EBB3FC7C-26A9-4EF1-B3BA-5FAEA8B888C0}"/>
            </a:ext>
          </a:extLst>
        </xdr:cNvPr>
        <xdr:cNvSpPr/>
      </xdr:nvSpPr>
      <xdr:spPr>
        <a:xfrm>
          <a:off x="17247420" y="12546371"/>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61452</xdr:colOff>
      <xdr:row>93</xdr:row>
      <xdr:rowOff>20484</xdr:rowOff>
    </xdr:from>
    <xdr:to>
      <xdr:col>10</xdr:col>
      <xdr:colOff>1204657</xdr:colOff>
      <xdr:row>93</xdr:row>
      <xdr:rowOff>160696</xdr:rowOff>
    </xdr:to>
    <xdr:sp macro="[0]!hide_unhide_subcon" textlink="">
      <xdr:nvSpPr>
        <xdr:cNvPr id="8" name="Rectangle: Rounded Corners 7">
          <a:extLst>
            <a:ext uri="{FF2B5EF4-FFF2-40B4-BE49-F238E27FC236}">
              <a16:creationId xmlns:a16="http://schemas.microsoft.com/office/drawing/2014/main" id="{25D99C82-5312-499D-BF39-681B049F9CB0}"/>
            </a:ext>
          </a:extLst>
        </xdr:cNvPr>
        <xdr:cNvSpPr/>
      </xdr:nvSpPr>
      <xdr:spPr>
        <a:xfrm>
          <a:off x="17267904" y="14942984"/>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51209</xdr:colOff>
      <xdr:row>105</xdr:row>
      <xdr:rowOff>20484</xdr:rowOff>
    </xdr:from>
    <xdr:to>
      <xdr:col>10</xdr:col>
      <xdr:colOff>1194414</xdr:colOff>
      <xdr:row>105</xdr:row>
      <xdr:rowOff>160696</xdr:rowOff>
    </xdr:to>
    <xdr:sp macro="[0]!hide_unhide_subcon" textlink="">
      <xdr:nvSpPr>
        <xdr:cNvPr id="9" name="Rectangle: Rounded Corners 8">
          <a:extLst>
            <a:ext uri="{FF2B5EF4-FFF2-40B4-BE49-F238E27FC236}">
              <a16:creationId xmlns:a16="http://schemas.microsoft.com/office/drawing/2014/main" id="{86393A06-E622-45D3-9CFF-1928F9D47615}"/>
            </a:ext>
          </a:extLst>
        </xdr:cNvPr>
        <xdr:cNvSpPr/>
      </xdr:nvSpPr>
      <xdr:spPr>
        <a:xfrm>
          <a:off x="17257661" y="17155242"/>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61451</xdr:colOff>
      <xdr:row>117</xdr:row>
      <xdr:rowOff>20484</xdr:rowOff>
    </xdr:from>
    <xdr:to>
      <xdr:col>10</xdr:col>
      <xdr:colOff>1204656</xdr:colOff>
      <xdr:row>117</xdr:row>
      <xdr:rowOff>160696</xdr:rowOff>
    </xdr:to>
    <xdr:sp macro="[0]!hide_unhide_subcon" textlink="">
      <xdr:nvSpPr>
        <xdr:cNvPr id="10" name="Rectangle: Rounded Corners 9">
          <a:extLst>
            <a:ext uri="{FF2B5EF4-FFF2-40B4-BE49-F238E27FC236}">
              <a16:creationId xmlns:a16="http://schemas.microsoft.com/office/drawing/2014/main" id="{13265005-0430-4720-82D7-5776C6E321FF}"/>
            </a:ext>
          </a:extLst>
        </xdr:cNvPr>
        <xdr:cNvSpPr/>
      </xdr:nvSpPr>
      <xdr:spPr>
        <a:xfrm>
          <a:off x="17267903" y="19367500"/>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127</xdr:row>
      <xdr:rowOff>20483</xdr:rowOff>
    </xdr:from>
    <xdr:to>
      <xdr:col>10</xdr:col>
      <xdr:colOff>1194415</xdr:colOff>
      <xdr:row>127</xdr:row>
      <xdr:rowOff>160695</xdr:rowOff>
    </xdr:to>
    <xdr:sp macro="[0]!hide_unhide_subcon" textlink="">
      <xdr:nvSpPr>
        <xdr:cNvPr id="11" name="Rectangle: Rounded Corners 10">
          <a:extLst>
            <a:ext uri="{FF2B5EF4-FFF2-40B4-BE49-F238E27FC236}">
              <a16:creationId xmlns:a16="http://schemas.microsoft.com/office/drawing/2014/main" id="{8291E5F2-EC04-48C3-8F73-CE7E3CFD7172}"/>
            </a:ext>
          </a:extLst>
        </xdr:cNvPr>
        <xdr:cNvSpPr/>
      </xdr:nvSpPr>
      <xdr:spPr>
        <a:xfrm>
          <a:off x="17257662" y="21211048"/>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141</xdr:row>
      <xdr:rowOff>20483</xdr:rowOff>
    </xdr:from>
    <xdr:to>
      <xdr:col>10</xdr:col>
      <xdr:colOff>1194415</xdr:colOff>
      <xdr:row>141</xdr:row>
      <xdr:rowOff>160695</xdr:rowOff>
    </xdr:to>
    <xdr:sp macro="[0]!hide_unhide_subcon" textlink="">
      <xdr:nvSpPr>
        <xdr:cNvPr id="12" name="Rectangle: Rounded Corners 11">
          <a:extLst>
            <a:ext uri="{FF2B5EF4-FFF2-40B4-BE49-F238E27FC236}">
              <a16:creationId xmlns:a16="http://schemas.microsoft.com/office/drawing/2014/main" id="{45AD874F-298F-42DD-A57F-682ADB8E38DD}"/>
            </a:ext>
          </a:extLst>
        </xdr:cNvPr>
        <xdr:cNvSpPr/>
      </xdr:nvSpPr>
      <xdr:spPr>
        <a:xfrm>
          <a:off x="17257662" y="23792015"/>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51209</xdr:colOff>
      <xdr:row>150</xdr:row>
      <xdr:rowOff>20484</xdr:rowOff>
    </xdr:from>
    <xdr:to>
      <xdr:col>10</xdr:col>
      <xdr:colOff>1194414</xdr:colOff>
      <xdr:row>150</xdr:row>
      <xdr:rowOff>160696</xdr:rowOff>
    </xdr:to>
    <xdr:sp macro="[0]!hide_unhide_subcon" textlink="">
      <xdr:nvSpPr>
        <xdr:cNvPr id="13" name="Rectangle: Rounded Corners 12">
          <a:extLst>
            <a:ext uri="{FF2B5EF4-FFF2-40B4-BE49-F238E27FC236}">
              <a16:creationId xmlns:a16="http://schemas.microsoft.com/office/drawing/2014/main" id="{14F9FD48-38FD-46FC-8829-B1459CEAF033}"/>
            </a:ext>
          </a:extLst>
        </xdr:cNvPr>
        <xdr:cNvSpPr/>
      </xdr:nvSpPr>
      <xdr:spPr>
        <a:xfrm>
          <a:off x="17257661" y="25451210"/>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158</xdr:row>
      <xdr:rowOff>20484</xdr:rowOff>
    </xdr:from>
    <xdr:to>
      <xdr:col>10</xdr:col>
      <xdr:colOff>1194415</xdr:colOff>
      <xdr:row>158</xdr:row>
      <xdr:rowOff>160696</xdr:rowOff>
    </xdr:to>
    <xdr:sp macro="[0]!hide_unhide_subcon" textlink="">
      <xdr:nvSpPr>
        <xdr:cNvPr id="14" name="Rectangle: Rounded Corners 13">
          <a:extLst>
            <a:ext uri="{FF2B5EF4-FFF2-40B4-BE49-F238E27FC236}">
              <a16:creationId xmlns:a16="http://schemas.microsoft.com/office/drawing/2014/main" id="{27163366-31A9-43CF-8B32-4FEEFF5DEC27}"/>
            </a:ext>
          </a:extLst>
        </xdr:cNvPr>
        <xdr:cNvSpPr/>
      </xdr:nvSpPr>
      <xdr:spPr>
        <a:xfrm>
          <a:off x="17257662" y="26926049"/>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177</xdr:row>
      <xdr:rowOff>20484</xdr:rowOff>
    </xdr:from>
    <xdr:to>
      <xdr:col>10</xdr:col>
      <xdr:colOff>1184173</xdr:colOff>
      <xdr:row>177</xdr:row>
      <xdr:rowOff>160696</xdr:rowOff>
    </xdr:to>
    <xdr:sp macro="[0]!hide_unhide_subcon" textlink="">
      <xdr:nvSpPr>
        <xdr:cNvPr id="15" name="Rectangle: Rounded Corners 14">
          <a:extLst>
            <a:ext uri="{FF2B5EF4-FFF2-40B4-BE49-F238E27FC236}">
              <a16:creationId xmlns:a16="http://schemas.microsoft.com/office/drawing/2014/main" id="{CAC36836-B878-44FF-830A-E549642591EA}"/>
            </a:ext>
          </a:extLst>
        </xdr:cNvPr>
        <xdr:cNvSpPr/>
      </xdr:nvSpPr>
      <xdr:spPr>
        <a:xfrm>
          <a:off x="17247420" y="30428790"/>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185</xdr:row>
      <xdr:rowOff>20483</xdr:rowOff>
    </xdr:from>
    <xdr:to>
      <xdr:col>10</xdr:col>
      <xdr:colOff>1184172</xdr:colOff>
      <xdr:row>185</xdr:row>
      <xdr:rowOff>160695</xdr:rowOff>
    </xdr:to>
    <xdr:sp macro="[0]!hide_unhide_subcon" textlink="">
      <xdr:nvSpPr>
        <xdr:cNvPr id="16" name="Rectangle: Rounded Corners 15">
          <a:extLst>
            <a:ext uri="{FF2B5EF4-FFF2-40B4-BE49-F238E27FC236}">
              <a16:creationId xmlns:a16="http://schemas.microsoft.com/office/drawing/2014/main" id="{8DD8A183-3902-4ED9-B2D4-9A4162BC34FB}"/>
            </a:ext>
          </a:extLst>
        </xdr:cNvPr>
        <xdr:cNvSpPr/>
      </xdr:nvSpPr>
      <xdr:spPr>
        <a:xfrm>
          <a:off x="17247419" y="31903628"/>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207</xdr:row>
      <xdr:rowOff>20484</xdr:rowOff>
    </xdr:from>
    <xdr:to>
      <xdr:col>10</xdr:col>
      <xdr:colOff>1194415</xdr:colOff>
      <xdr:row>207</xdr:row>
      <xdr:rowOff>160696</xdr:rowOff>
    </xdr:to>
    <xdr:sp macro="[0]!hide_unhide_subcon" textlink="">
      <xdr:nvSpPr>
        <xdr:cNvPr id="17" name="Rectangle: Rounded Corners 16">
          <a:extLst>
            <a:ext uri="{FF2B5EF4-FFF2-40B4-BE49-F238E27FC236}">
              <a16:creationId xmlns:a16="http://schemas.microsoft.com/office/drawing/2014/main" id="{8B7A3F94-4559-480C-B835-7EB2090E9EF5}"/>
            </a:ext>
          </a:extLst>
        </xdr:cNvPr>
        <xdr:cNvSpPr/>
      </xdr:nvSpPr>
      <xdr:spPr>
        <a:xfrm>
          <a:off x="17257662" y="35959436"/>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223</xdr:row>
      <xdr:rowOff>20484</xdr:rowOff>
    </xdr:from>
    <xdr:to>
      <xdr:col>10</xdr:col>
      <xdr:colOff>1184173</xdr:colOff>
      <xdr:row>223</xdr:row>
      <xdr:rowOff>160696</xdr:rowOff>
    </xdr:to>
    <xdr:sp macro="[0]!hide_unhide_subcon" textlink="">
      <xdr:nvSpPr>
        <xdr:cNvPr id="18" name="Rectangle: Rounded Corners 17">
          <a:extLst>
            <a:ext uri="{FF2B5EF4-FFF2-40B4-BE49-F238E27FC236}">
              <a16:creationId xmlns:a16="http://schemas.microsoft.com/office/drawing/2014/main" id="{32C5AD7B-9BCB-4BCE-B188-EAE3428A859D}"/>
            </a:ext>
          </a:extLst>
        </xdr:cNvPr>
        <xdr:cNvSpPr/>
      </xdr:nvSpPr>
      <xdr:spPr>
        <a:xfrm>
          <a:off x="17247420" y="38909113"/>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234</xdr:row>
      <xdr:rowOff>20484</xdr:rowOff>
    </xdr:from>
    <xdr:to>
      <xdr:col>10</xdr:col>
      <xdr:colOff>1184173</xdr:colOff>
      <xdr:row>234</xdr:row>
      <xdr:rowOff>160696</xdr:rowOff>
    </xdr:to>
    <xdr:sp macro="[0]!hide_unhide_subcon" textlink="">
      <xdr:nvSpPr>
        <xdr:cNvPr id="19" name="Rectangle: Rounded Corners 18">
          <a:extLst>
            <a:ext uri="{FF2B5EF4-FFF2-40B4-BE49-F238E27FC236}">
              <a16:creationId xmlns:a16="http://schemas.microsoft.com/office/drawing/2014/main" id="{FCFE4F0C-79E7-475A-96B0-90F8C9ABCDF1}"/>
            </a:ext>
          </a:extLst>
        </xdr:cNvPr>
        <xdr:cNvSpPr/>
      </xdr:nvSpPr>
      <xdr:spPr>
        <a:xfrm>
          <a:off x="17247420" y="40937016"/>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249</xdr:row>
      <xdr:rowOff>20484</xdr:rowOff>
    </xdr:from>
    <xdr:to>
      <xdr:col>10</xdr:col>
      <xdr:colOff>1184173</xdr:colOff>
      <xdr:row>249</xdr:row>
      <xdr:rowOff>160696</xdr:rowOff>
    </xdr:to>
    <xdr:sp macro="[0]!hide_unhide_subcon" textlink="">
      <xdr:nvSpPr>
        <xdr:cNvPr id="20" name="Rectangle: Rounded Corners 19">
          <a:extLst>
            <a:ext uri="{FF2B5EF4-FFF2-40B4-BE49-F238E27FC236}">
              <a16:creationId xmlns:a16="http://schemas.microsoft.com/office/drawing/2014/main" id="{23FB1BC6-CBD6-4E76-AB60-0D1B107AF7CD}"/>
            </a:ext>
          </a:extLst>
        </xdr:cNvPr>
        <xdr:cNvSpPr/>
      </xdr:nvSpPr>
      <xdr:spPr>
        <a:xfrm>
          <a:off x="17247420" y="43702339"/>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262</xdr:row>
      <xdr:rowOff>30725</xdr:rowOff>
    </xdr:from>
    <xdr:to>
      <xdr:col>10</xdr:col>
      <xdr:colOff>1184172</xdr:colOff>
      <xdr:row>262</xdr:row>
      <xdr:rowOff>170937</xdr:rowOff>
    </xdr:to>
    <xdr:sp macro="[0]!hide_unhide_subcon" textlink="">
      <xdr:nvSpPr>
        <xdr:cNvPr id="21" name="Rectangle: Rounded Corners 20">
          <a:extLst>
            <a:ext uri="{FF2B5EF4-FFF2-40B4-BE49-F238E27FC236}">
              <a16:creationId xmlns:a16="http://schemas.microsoft.com/office/drawing/2014/main" id="{9248C064-377E-49C0-84CE-B14B2C08466F}"/>
            </a:ext>
          </a:extLst>
        </xdr:cNvPr>
        <xdr:cNvSpPr/>
      </xdr:nvSpPr>
      <xdr:spPr>
        <a:xfrm>
          <a:off x="17247419" y="46109193"/>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51209</xdr:colOff>
      <xdr:row>274</xdr:row>
      <xdr:rowOff>20484</xdr:rowOff>
    </xdr:from>
    <xdr:to>
      <xdr:col>10</xdr:col>
      <xdr:colOff>1194414</xdr:colOff>
      <xdr:row>274</xdr:row>
      <xdr:rowOff>160696</xdr:rowOff>
    </xdr:to>
    <xdr:sp macro="[0]!hide_unhide_subcon" textlink="">
      <xdr:nvSpPr>
        <xdr:cNvPr id="22" name="Rectangle: Rounded Corners 21">
          <a:extLst>
            <a:ext uri="{FF2B5EF4-FFF2-40B4-BE49-F238E27FC236}">
              <a16:creationId xmlns:a16="http://schemas.microsoft.com/office/drawing/2014/main" id="{DDD0D66E-957E-4DD0-A4AA-76832AC0EB03}"/>
            </a:ext>
          </a:extLst>
        </xdr:cNvPr>
        <xdr:cNvSpPr/>
      </xdr:nvSpPr>
      <xdr:spPr>
        <a:xfrm>
          <a:off x="17257661" y="48311210"/>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284</xdr:row>
      <xdr:rowOff>20484</xdr:rowOff>
    </xdr:from>
    <xdr:to>
      <xdr:col>10</xdr:col>
      <xdr:colOff>1184172</xdr:colOff>
      <xdr:row>284</xdr:row>
      <xdr:rowOff>160696</xdr:rowOff>
    </xdr:to>
    <xdr:sp macro="[0]!hide_unhide_subcon" textlink="">
      <xdr:nvSpPr>
        <xdr:cNvPr id="23" name="Rectangle: Rounded Corners 22">
          <a:extLst>
            <a:ext uri="{FF2B5EF4-FFF2-40B4-BE49-F238E27FC236}">
              <a16:creationId xmlns:a16="http://schemas.microsoft.com/office/drawing/2014/main" id="{5B6C73DE-B3AD-426B-ADA8-155BC7A596C0}"/>
            </a:ext>
          </a:extLst>
        </xdr:cNvPr>
        <xdr:cNvSpPr/>
      </xdr:nvSpPr>
      <xdr:spPr>
        <a:xfrm>
          <a:off x="17247419" y="50154758"/>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294</xdr:row>
      <xdr:rowOff>20484</xdr:rowOff>
    </xdr:from>
    <xdr:to>
      <xdr:col>10</xdr:col>
      <xdr:colOff>1194415</xdr:colOff>
      <xdr:row>294</xdr:row>
      <xdr:rowOff>160696</xdr:rowOff>
    </xdr:to>
    <xdr:sp macro="[0]!hide_unhide_subcon" textlink="">
      <xdr:nvSpPr>
        <xdr:cNvPr id="24" name="Rectangle: Rounded Corners 23">
          <a:extLst>
            <a:ext uri="{FF2B5EF4-FFF2-40B4-BE49-F238E27FC236}">
              <a16:creationId xmlns:a16="http://schemas.microsoft.com/office/drawing/2014/main" id="{7A9D20BC-C431-4664-8A1F-B824D0EF3C3A}"/>
            </a:ext>
          </a:extLst>
        </xdr:cNvPr>
        <xdr:cNvSpPr/>
      </xdr:nvSpPr>
      <xdr:spPr>
        <a:xfrm>
          <a:off x="17257662" y="51998307"/>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306</xdr:row>
      <xdr:rowOff>20484</xdr:rowOff>
    </xdr:from>
    <xdr:to>
      <xdr:col>10</xdr:col>
      <xdr:colOff>1194415</xdr:colOff>
      <xdr:row>306</xdr:row>
      <xdr:rowOff>160696</xdr:rowOff>
    </xdr:to>
    <xdr:sp macro="[0]!hide_unhide_subcon" textlink="">
      <xdr:nvSpPr>
        <xdr:cNvPr id="25" name="Rectangle: Rounded Corners 24">
          <a:extLst>
            <a:ext uri="{FF2B5EF4-FFF2-40B4-BE49-F238E27FC236}">
              <a16:creationId xmlns:a16="http://schemas.microsoft.com/office/drawing/2014/main" id="{4A28B5A2-5EBE-4F51-B281-AF8EE61689AC}"/>
            </a:ext>
          </a:extLst>
        </xdr:cNvPr>
        <xdr:cNvSpPr/>
      </xdr:nvSpPr>
      <xdr:spPr>
        <a:xfrm>
          <a:off x="17257662" y="54210565"/>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316</xdr:row>
      <xdr:rowOff>20484</xdr:rowOff>
    </xdr:from>
    <xdr:to>
      <xdr:col>10</xdr:col>
      <xdr:colOff>1194415</xdr:colOff>
      <xdr:row>316</xdr:row>
      <xdr:rowOff>160696</xdr:rowOff>
    </xdr:to>
    <xdr:sp macro="[0]!hide_unhide_subcon" textlink="">
      <xdr:nvSpPr>
        <xdr:cNvPr id="26" name="Rectangle: Rounded Corners 25">
          <a:extLst>
            <a:ext uri="{FF2B5EF4-FFF2-40B4-BE49-F238E27FC236}">
              <a16:creationId xmlns:a16="http://schemas.microsoft.com/office/drawing/2014/main" id="{E0E0BC1A-2A96-481A-A9CD-7DAAB210CEB8}"/>
            </a:ext>
          </a:extLst>
        </xdr:cNvPr>
        <xdr:cNvSpPr/>
      </xdr:nvSpPr>
      <xdr:spPr>
        <a:xfrm>
          <a:off x="17257662" y="56054113"/>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330</xdr:row>
      <xdr:rowOff>17308</xdr:rowOff>
    </xdr:from>
    <xdr:to>
      <xdr:col>10</xdr:col>
      <xdr:colOff>1184172</xdr:colOff>
      <xdr:row>330</xdr:row>
      <xdr:rowOff>160695</xdr:rowOff>
    </xdr:to>
    <xdr:sp macro="[0]!hide_unhide_subcon" textlink="">
      <xdr:nvSpPr>
        <xdr:cNvPr id="27" name="Rectangle: Rounded Corners 26">
          <a:extLst>
            <a:ext uri="{FF2B5EF4-FFF2-40B4-BE49-F238E27FC236}">
              <a16:creationId xmlns:a16="http://schemas.microsoft.com/office/drawing/2014/main" id="{89088897-DB2E-433E-AEF4-778B1BF5305F}"/>
            </a:ext>
          </a:extLst>
        </xdr:cNvPr>
        <xdr:cNvSpPr/>
      </xdr:nvSpPr>
      <xdr:spPr>
        <a:xfrm>
          <a:off x="17247419" y="58631905"/>
          <a:ext cx="1143205" cy="143387"/>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30726</xdr:colOff>
      <xdr:row>356</xdr:row>
      <xdr:rowOff>20484</xdr:rowOff>
    </xdr:from>
    <xdr:to>
      <xdr:col>10</xdr:col>
      <xdr:colOff>1173931</xdr:colOff>
      <xdr:row>356</xdr:row>
      <xdr:rowOff>160696</xdr:rowOff>
    </xdr:to>
    <xdr:sp macro="[0]!hide_unhide_subcon" textlink="">
      <xdr:nvSpPr>
        <xdr:cNvPr id="28" name="Rectangle: Rounded Corners 27">
          <a:extLst>
            <a:ext uri="{FF2B5EF4-FFF2-40B4-BE49-F238E27FC236}">
              <a16:creationId xmlns:a16="http://schemas.microsoft.com/office/drawing/2014/main" id="{47692ABD-4C61-41E6-A20B-A677B5E90E83}"/>
            </a:ext>
          </a:extLst>
        </xdr:cNvPr>
        <xdr:cNvSpPr/>
      </xdr:nvSpPr>
      <xdr:spPr>
        <a:xfrm>
          <a:off x="17237178" y="63428307"/>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372</xdr:row>
      <xdr:rowOff>20484</xdr:rowOff>
    </xdr:from>
    <xdr:to>
      <xdr:col>10</xdr:col>
      <xdr:colOff>1184172</xdr:colOff>
      <xdr:row>372</xdr:row>
      <xdr:rowOff>160696</xdr:rowOff>
    </xdr:to>
    <xdr:sp macro="[0]!hide_unhide_subcon" textlink="">
      <xdr:nvSpPr>
        <xdr:cNvPr id="29" name="Rectangle: Rounded Corners 28">
          <a:extLst>
            <a:ext uri="{FF2B5EF4-FFF2-40B4-BE49-F238E27FC236}">
              <a16:creationId xmlns:a16="http://schemas.microsoft.com/office/drawing/2014/main" id="{1DBCAE05-D654-4CE3-AC7B-D6F6E3E4D2C6}"/>
            </a:ext>
          </a:extLst>
        </xdr:cNvPr>
        <xdr:cNvSpPr/>
      </xdr:nvSpPr>
      <xdr:spPr>
        <a:xfrm>
          <a:off x="17247419" y="66377984"/>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380</xdr:row>
      <xdr:rowOff>20483</xdr:rowOff>
    </xdr:from>
    <xdr:to>
      <xdr:col>10</xdr:col>
      <xdr:colOff>1184172</xdr:colOff>
      <xdr:row>380</xdr:row>
      <xdr:rowOff>160695</xdr:rowOff>
    </xdr:to>
    <xdr:sp macro="[0]!hide_unhide_subcon" textlink="">
      <xdr:nvSpPr>
        <xdr:cNvPr id="30" name="Rectangle: Rounded Corners 29">
          <a:extLst>
            <a:ext uri="{FF2B5EF4-FFF2-40B4-BE49-F238E27FC236}">
              <a16:creationId xmlns:a16="http://schemas.microsoft.com/office/drawing/2014/main" id="{28CC01CD-3225-46B4-A6B4-59493DE71071}"/>
            </a:ext>
          </a:extLst>
        </xdr:cNvPr>
        <xdr:cNvSpPr/>
      </xdr:nvSpPr>
      <xdr:spPr>
        <a:xfrm>
          <a:off x="17247419" y="67863064"/>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389</xdr:row>
      <xdr:rowOff>20484</xdr:rowOff>
    </xdr:from>
    <xdr:to>
      <xdr:col>10</xdr:col>
      <xdr:colOff>1184173</xdr:colOff>
      <xdr:row>389</xdr:row>
      <xdr:rowOff>160696</xdr:rowOff>
    </xdr:to>
    <xdr:sp macro="[0]!hide_unhide_subcon" textlink="">
      <xdr:nvSpPr>
        <xdr:cNvPr id="31" name="Rectangle: Rounded Corners 30">
          <a:extLst>
            <a:ext uri="{FF2B5EF4-FFF2-40B4-BE49-F238E27FC236}">
              <a16:creationId xmlns:a16="http://schemas.microsoft.com/office/drawing/2014/main" id="{CD0A0765-1C78-4415-98E2-76DD834540DB}"/>
            </a:ext>
          </a:extLst>
        </xdr:cNvPr>
        <xdr:cNvSpPr/>
      </xdr:nvSpPr>
      <xdr:spPr>
        <a:xfrm>
          <a:off x="17247420" y="69522258"/>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398</xdr:row>
      <xdr:rowOff>20484</xdr:rowOff>
    </xdr:from>
    <xdr:to>
      <xdr:col>10</xdr:col>
      <xdr:colOff>1184173</xdr:colOff>
      <xdr:row>398</xdr:row>
      <xdr:rowOff>160696</xdr:rowOff>
    </xdr:to>
    <xdr:sp macro="[0]!hide_unhide_subcon" textlink="">
      <xdr:nvSpPr>
        <xdr:cNvPr id="32" name="Rectangle: Rounded Corners 31">
          <a:extLst>
            <a:ext uri="{FF2B5EF4-FFF2-40B4-BE49-F238E27FC236}">
              <a16:creationId xmlns:a16="http://schemas.microsoft.com/office/drawing/2014/main" id="{92FDB2E5-12D1-4B9B-B1B1-CE3C85472EE7}"/>
            </a:ext>
          </a:extLst>
        </xdr:cNvPr>
        <xdr:cNvSpPr/>
      </xdr:nvSpPr>
      <xdr:spPr>
        <a:xfrm>
          <a:off x="17247420" y="71181452"/>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415</xdr:row>
      <xdr:rowOff>20484</xdr:rowOff>
    </xdr:from>
    <xdr:to>
      <xdr:col>10</xdr:col>
      <xdr:colOff>1184173</xdr:colOff>
      <xdr:row>415</xdr:row>
      <xdr:rowOff>160696</xdr:rowOff>
    </xdr:to>
    <xdr:sp macro="[0]!hide_unhide_subcon" textlink="">
      <xdr:nvSpPr>
        <xdr:cNvPr id="33" name="Rectangle: Rounded Corners 32">
          <a:extLst>
            <a:ext uri="{FF2B5EF4-FFF2-40B4-BE49-F238E27FC236}">
              <a16:creationId xmlns:a16="http://schemas.microsoft.com/office/drawing/2014/main" id="{AF7B5A76-2291-4A5D-9D7D-8AFCD404F8D2}"/>
            </a:ext>
          </a:extLst>
        </xdr:cNvPr>
        <xdr:cNvSpPr/>
      </xdr:nvSpPr>
      <xdr:spPr>
        <a:xfrm>
          <a:off x="17247420" y="74315484"/>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40968</xdr:colOff>
      <xdr:row>429</xdr:row>
      <xdr:rowOff>20484</xdr:rowOff>
    </xdr:from>
    <xdr:to>
      <xdr:col>10</xdr:col>
      <xdr:colOff>1184173</xdr:colOff>
      <xdr:row>429</xdr:row>
      <xdr:rowOff>160696</xdr:rowOff>
    </xdr:to>
    <xdr:sp macro="[0]!hide_unhide_subcon" textlink="">
      <xdr:nvSpPr>
        <xdr:cNvPr id="34" name="Rectangle: Rounded Corners 33">
          <a:extLst>
            <a:ext uri="{FF2B5EF4-FFF2-40B4-BE49-F238E27FC236}">
              <a16:creationId xmlns:a16="http://schemas.microsoft.com/office/drawing/2014/main" id="{E76B56BD-505F-4DFB-A092-D5D3FD8E5DAA}"/>
            </a:ext>
          </a:extLst>
        </xdr:cNvPr>
        <xdr:cNvSpPr/>
      </xdr:nvSpPr>
      <xdr:spPr>
        <a:xfrm>
          <a:off x="17247420" y="76896452"/>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40967</xdr:colOff>
      <xdr:row>443</xdr:row>
      <xdr:rowOff>20483</xdr:rowOff>
    </xdr:from>
    <xdr:to>
      <xdr:col>10</xdr:col>
      <xdr:colOff>1184172</xdr:colOff>
      <xdr:row>443</xdr:row>
      <xdr:rowOff>160695</xdr:rowOff>
    </xdr:to>
    <xdr:sp macro="[0]!hide_unhide_subcon" textlink="">
      <xdr:nvSpPr>
        <xdr:cNvPr id="35" name="Rectangle: Rounded Corners 34">
          <a:extLst>
            <a:ext uri="{FF2B5EF4-FFF2-40B4-BE49-F238E27FC236}">
              <a16:creationId xmlns:a16="http://schemas.microsoft.com/office/drawing/2014/main" id="{B2DF4EFB-8532-47F6-B35C-D2B2B25996D3}"/>
            </a:ext>
          </a:extLst>
        </xdr:cNvPr>
        <xdr:cNvSpPr/>
      </xdr:nvSpPr>
      <xdr:spPr>
        <a:xfrm>
          <a:off x="17247419" y="79477418"/>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58277</xdr:colOff>
      <xdr:row>467</xdr:row>
      <xdr:rowOff>20484</xdr:rowOff>
    </xdr:from>
    <xdr:to>
      <xdr:col>10</xdr:col>
      <xdr:colOff>1201482</xdr:colOff>
      <xdr:row>467</xdr:row>
      <xdr:rowOff>163871</xdr:rowOff>
    </xdr:to>
    <xdr:sp macro="[0]!hide_unhide_subcon" textlink="">
      <xdr:nvSpPr>
        <xdr:cNvPr id="36" name="Rectangle: Rounded Corners 35">
          <a:extLst>
            <a:ext uri="{FF2B5EF4-FFF2-40B4-BE49-F238E27FC236}">
              <a16:creationId xmlns:a16="http://schemas.microsoft.com/office/drawing/2014/main" id="{ABB9195D-AFE1-4163-A972-05CB3A655799}"/>
            </a:ext>
          </a:extLst>
        </xdr:cNvPr>
        <xdr:cNvSpPr/>
      </xdr:nvSpPr>
      <xdr:spPr>
        <a:xfrm>
          <a:off x="17264729" y="83901936"/>
          <a:ext cx="1143205" cy="143387"/>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51209</xdr:colOff>
      <xdr:row>481</xdr:row>
      <xdr:rowOff>20484</xdr:rowOff>
    </xdr:from>
    <xdr:to>
      <xdr:col>10</xdr:col>
      <xdr:colOff>1194414</xdr:colOff>
      <xdr:row>481</xdr:row>
      <xdr:rowOff>160696</xdr:rowOff>
    </xdr:to>
    <xdr:sp macro="[0]!hide_unhide_subcon" textlink="">
      <xdr:nvSpPr>
        <xdr:cNvPr id="37" name="Rectangle: Rounded Corners 36">
          <a:extLst>
            <a:ext uri="{FF2B5EF4-FFF2-40B4-BE49-F238E27FC236}">
              <a16:creationId xmlns:a16="http://schemas.microsoft.com/office/drawing/2014/main" id="{A80F737E-57D5-4861-A477-C38BDD077F7A}"/>
            </a:ext>
          </a:extLst>
        </xdr:cNvPr>
        <xdr:cNvSpPr/>
      </xdr:nvSpPr>
      <xdr:spPr>
        <a:xfrm>
          <a:off x="17257661" y="86482903"/>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51210</xdr:colOff>
      <xdr:row>488</xdr:row>
      <xdr:rowOff>20484</xdr:rowOff>
    </xdr:from>
    <xdr:to>
      <xdr:col>10</xdr:col>
      <xdr:colOff>1194415</xdr:colOff>
      <xdr:row>488</xdr:row>
      <xdr:rowOff>160696</xdr:rowOff>
    </xdr:to>
    <xdr:sp macro="[0]!hide_unhide_subcon" textlink="">
      <xdr:nvSpPr>
        <xdr:cNvPr id="38" name="Rectangle: Rounded Corners 37">
          <a:extLst>
            <a:ext uri="{FF2B5EF4-FFF2-40B4-BE49-F238E27FC236}">
              <a16:creationId xmlns:a16="http://schemas.microsoft.com/office/drawing/2014/main" id="{B6AA4671-ABAE-471A-B43E-6FA46690AE3C}"/>
            </a:ext>
          </a:extLst>
        </xdr:cNvPr>
        <xdr:cNvSpPr/>
      </xdr:nvSpPr>
      <xdr:spPr>
        <a:xfrm>
          <a:off x="17257662" y="87773387"/>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61451</xdr:colOff>
      <xdr:row>499</xdr:row>
      <xdr:rowOff>20483</xdr:rowOff>
    </xdr:from>
    <xdr:to>
      <xdr:col>10</xdr:col>
      <xdr:colOff>1204656</xdr:colOff>
      <xdr:row>499</xdr:row>
      <xdr:rowOff>160695</xdr:rowOff>
    </xdr:to>
    <xdr:sp macro="[0]!hide_unhide_subcon" textlink="">
      <xdr:nvSpPr>
        <xdr:cNvPr id="39" name="Rectangle: Rounded Corners 38">
          <a:extLst>
            <a:ext uri="{FF2B5EF4-FFF2-40B4-BE49-F238E27FC236}">
              <a16:creationId xmlns:a16="http://schemas.microsoft.com/office/drawing/2014/main" id="{D9F80755-6837-4A83-9BE2-F31AE4964774}"/>
            </a:ext>
          </a:extLst>
        </xdr:cNvPr>
        <xdr:cNvSpPr/>
      </xdr:nvSpPr>
      <xdr:spPr>
        <a:xfrm>
          <a:off x="17267903" y="89801289"/>
          <a:ext cx="114320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10</xdr:col>
      <xdr:colOff>44859</xdr:colOff>
      <xdr:row>12</xdr:row>
      <xdr:rowOff>30725</xdr:rowOff>
    </xdr:from>
    <xdr:to>
      <xdr:col>10</xdr:col>
      <xdr:colOff>1177822</xdr:colOff>
      <xdr:row>13</xdr:row>
      <xdr:rowOff>153628</xdr:rowOff>
    </xdr:to>
    <xdr:sp macro="[0]!unhide_all" textlink="">
      <xdr:nvSpPr>
        <xdr:cNvPr id="40" name="Rectangle: Rounded Corners 39">
          <a:extLst>
            <a:ext uri="{FF2B5EF4-FFF2-40B4-BE49-F238E27FC236}">
              <a16:creationId xmlns:a16="http://schemas.microsoft.com/office/drawing/2014/main" id="{CD7CCD7D-240D-45AD-B186-9D8DB7D226A5}"/>
            </a:ext>
          </a:extLst>
        </xdr:cNvPr>
        <xdr:cNvSpPr/>
      </xdr:nvSpPr>
      <xdr:spPr>
        <a:xfrm>
          <a:off x="17251311" y="2314677"/>
          <a:ext cx="1132963" cy="317499"/>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Unhide All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14</xdr:row>
      <xdr:rowOff>99784</xdr:rowOff>
    </xdr:from>
    <xdr:to>
      <xdr:col>7</xdr:col>
      <xdr:colOff>1496785</xdr:colOff>
      <xdr:row>16</xdr:row>
      <xdr:rowOff>9070</xdr:rowOff>
    </xdr:to>
    <xdr:sp macro="[0]!hide_unhide_subcon" textlink="">
      <xdr:nvSpPr>
        <xdr:cNvPr id="3" name="Rectangle: Rounded Corners 2">
          <a:extLst>
            <a:ext uri="{FF2B5EF4-FFF2-40B4-BE49-F238E27FC236}">
              <a16:creationId xmlns:a16="http://schemas.microsoft.com/office/drawing/2014/main" id="{0E3D6A6A-9D9D-4493-BF4F-DCA53637CEF8}"/>
            </a:ext>
          </a:extLst>
        </xdr:cNvPr>
        <xdr:cNvSpPr/>
      </xdr:nvSpPr>
      <xdr:spPr>
        <a:xfrm>
          <a:off x="11801929" y="2694213"/>
          <a:ext cx="1496785" cy="208643"/>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54429</xdr:colOff>
      <xdr:row>15</xdr:row>
      <xdr:rowOff>36286</xdr:rowOff>
    </xdr:from>
    <xdr:to>
      <xdr:col>6</xdr:col>
      <xdr:colOff>1191284</xdr:colOff>
      <xdr:row>15</xdr:row>
      <xdr:rowOff>176498</xdr:rowOff>
    </xdr:to>
    <xdr:sp macro="[0]!hide_unhide_subcon" textlink="">
      <xdr:nvSpPr>
        <xdr:cNvPr id="2" name="Rectangle: Rounded Corners 1">
          <a:extLst>
            <a:ext uri="{FF2B5EF4-FFF2-40B4-BE49-F238E27FC236}">
              <a16:creationId xmlns:a16="http://schemas.microsoft.com/office/drawing/2014/main" id="{D583772A-EF62-4A30-A74C-5027A23C3054}"/>
            </a:ext>
          </a:extLst>
        </xdr:cNvPr>
        <xdr:cNvSpPr/>
      </xdr:nvSpPr>
      <xdr:spPr>
        <a:xfrm>
          <a:off x="12736286" y="2730500"/>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6</xdr:col>
      <xdr:colOff>36285</xdr:colOff>
      <xdr:row>49</xdr:row>
      <xdr:rowOff>27215</xdr:rowOff>
    </xdr:from>
    <xdr:to>
      <xdr:col>6</xdr:col>
      <xdr:colOff>1173140</xdr:colOff>
      <xdr:row>49</xdr:row>
      <xdr:rowOff>167427</xdr:rowOff>
    </xdr:to>
    <xdr:sp macro="[0]!hide_unhide_subcon" textlink="">
      <xdr:nvSpPr>
        <xdr:cNvPr id="3" name="Rectangle: Rounded Corners 2">
          <a:extLst>
            <a:ext uri="{FF2B5EF4-FFF2-40B4-BE49-F238E27FC236}">
              <a16:creationId xmlns:a16="http://schemas.microsoft.com/office/drawing/2014/main" id="{2061C99F-C0C6-4828-8360-9A33B698E54C}"/>
            </a:ext>
          </a:extLst>
        </xdr:cNvPr>
        <xdr:cNvSpPr/>
      </xdr:nvSpPr>
      <xdr:spPr>
        <a:xfrm>
          <a:off x="12718142" y="8853715"/>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6</xdr:col>
      <xdr:colOff>18142</xdr:colOff>
      <xdr:row>83</xdr:row>
      <xdr:rowOff>36286</xdr:rowOff>
    </xdr:from>
    <xdr:to>
      <xdr:col>6</xdr:col>
      <xdr:colOff>1154997</xdr:colOff>
      <xdr:row>83</xdr:row>
      <xdr:rowOff>176498</xdr:rowOff>
    </xdr:to>
    <xdr:sp macro="[0]!hide_unhide_subcon" textlink="">
      <xdr:nvSpPr>
        <xdr:cNvPr id="4" name="Rectangle: Rounded Corners 3">
          <a:extLst>
            <a:ext uri="{FF2B5EF4-FFF2-40B4-BE49-F238E27FC236}">
              <a16:creationId xmlns:a16="http://schemas.microsoft.com/office/drawing/2014/main" id="{62F21AE8-EC83-4048-AFCE-8E5293F5B091}"/>
            </a:ext>
          </a:extLst>
        </xdr:cNvPr>
        <xdr:cNvSpPr/>
      </xdr:nvSpPr>
      <xdr:spPr>
        <a:xfrm>
          <a:off x="12699999" y="14986000"/>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6</xdr:col>
      <xdr:colOff>27214</xdr:colOff>
      <xdr:row>117</xdr:row>
      <xdr:rowOff>27214</xdr:rowOff>
    </xdr:from>
    <xdr:to>
      <xdr:col>6</xdr:col>
      <xdr:colOff>1164069</xdr:colOff>
      <xdr:row>117</xdr:row>
      <xdr:rowOff>167426</xdr:rowOff>
    </xdr:to>
    <xdr:sp macro="[0]!hide_unhide_subcon" textlink="">
      <xdr:nvSpPr>
        <xdr:cNvPr id="5" name="Rectangle: Rounded Corners 4">
          <a:extLst>
            <a:ext uri="{FF2B5EF4-FFF2-40B4-BE49-F238E27FC236}">
              <a16:creationId xmlns:a16="http://schemas.microsoft.com/office/drawing/2014/main" id="{37819E30-D99F-4766-9FFB-0B9E6EC51FFC}"/>
            </a:ext>
          </a:extLst>
        </xdr:cNvPr>
        <xdr:cNvSpPr/>
      </xdr:nvSpPr>
      <xdr:spPr>
        <a:xfrm>
          <a:off x="12709071" y="21100143"/>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6</xdr:col>
      <xdr:colOff>36286</xdr:colOff>
      <xdr:row>151</xdr:row>
      <xdr:rowOff>36285</xdr:rowOff>
    </xdr:from>
    <xdr:to>
      <xdr:col>6</xdr:col>
      <xdr:colOff>1173141</xdr:colOff>
      <xdr:row>151</xdr:row>
      <xdr:rowOff>176497</xdr:rowOff>
    </xdr:to>
    <xdr:sp macro="[0]!hide_unhide_subcon" textlink="">
      <xdr:nvSpPr>
        <xdr:cNvPr id="6" name="Rectangle: Rounded Corners 5">
          <a:extLst>
            <a:ext uri="{FF2B5EF4-FFF2-40B4-BE49-F238E27FC236}">
              <a16:creationId xmlns:a16="http://schemas.microsoft.com/office/drawing/2014/main" id="{444E8E87-84A1-44F8-B807-C18FCDB80CA8}"/>
            </a:ext>
          </a:extLst>
        </xdr:cNvPr>
        <xdr:cNvSpPr/>
      </xdr:nvSpPr>
      <xdr:spPr>
        <a:xfrm>
          <a:off x="12718143" y="27232428"/>
          <a:ext cx="1136855" cy="140212"/>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Hide</a:t>
          </a:r>
        </a:p>
      </xdr:txBody>
    </xdr:sp>
    <xdr:clientData/>
  </xdr:twoCellAnchor>
  <xdr:twoCellAnchor>
    <xdr:from>
      <xdr:col>6</xdr:col>
      <xdr:colOff>45356</xdr:colOff>
      <xdr:row>12</xdr:row>
      <xdr:rowOff>190498</xdr:rowOff>
    </xdr:from>
    <xdr:to>
      <xdr:col>7</xdr:col>
      <xdr:colOff>644070</xdr:colOff>
      <xdr:row>14</xdr:row>
      <xdr:rowOff>-1</xdr:rowOff>
    </xdr:to>
    <xdr:sp macro="[0]!unhide_all" textlink="">
      <xdr:nvSpPr>
        <xdr:cNvPr id="8" name="Rectangle: Rounded Corners 7">
          <a:extLst>
            <a:ext uri="{FF2B5EF4-FFF2-40B4-BE49-F238E27FC236}">
              <a16:creationId xmlns:a16="http://schemas.microsoft.com/office/drawing/2014/main" id="{FBF8580E-976C-4DBF-88CF-3D869779D410}"/>
            </a:ext>
          </a:extLst>
        </xdr:cNvPr>
        <xdr:cNvSpPr/>
      </xdr:nvSpPr>
      <xdr:spPr>
        <a:xfrm>
          <a:off x="12727213" y="2403927"/>
          <a:ext cx="1796143" cy="190501"/>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000" b="1"/>
            <a:t>Unhide All</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660399</xdr:colOff>
      <xdr:row>37</xdr:row>
      <xdr:rowOff>66676</xdr:rowOff>
    </xdr:from>
    <xdr:to>
      <xdr:col>1</xdr:col>
      <xdr:colOff>2105584</xdr:colOff>
      <xdr:row>37</xdr:row>
      <xdr:rowOff>316942</xdr:rowOff>
    </xdr:to>
    <xdr:sp macro="insert_rows" textlink="">
      <xdr:nvSpPr>
        <xdr:cNvPr id="2" name="Rectangle: Rounded Corners 1">
          <a:extLst>
            <a:ext uri="{FF2B5EF4-FFF2-40B4-BE49-F238E27FC236}">
              <a16:creationId xmlns:a16="http://schemas.microsoft.com/office/drawing/2014/main" id="{2607DA24-D2F7-4B64-A2CA-598428CEE67B}"/>
            </a:ext>
          </a:extLst>
        </xdr:cNvPr>
        <xdr:cNvSpPr/>
      </xdr:nvSpPr>
      <xdr:spPr>
        <a:xfrm>
          <a:off x="917574" y="7448551"/>
          <a:ext cx="1445185" cy="250266"/>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b="1"/>
            <a:t>Insert row </a:t>
          </a:r>
        </a:p>
      </xdr:txBody>
    </xdr:sp>
    <xdr:clientData/>
  </xdr:twoCellAnchor>
  <xdr:twoCellAnchor>
    <xdr:from>
      <xdr:col>2</xdr:col>
      <xdr:colOff>561975</xdr:colOff>
      <xdr:row>37</xdr:row>
      <xdr:rowOff>66676</xdr:rowOff>
    </xdr:from>
    <xdr:to>
      <xdr:col>2</xdr:col>
      <xdr:colOff>1943100</xdr:colOff>
      <xdr:row>37</xdr:row>
      <xdr:rowOff>323851</xdr:rowOff>
    </xdr:to>
    <xdr:sp macro="delete_row" textlink="">
      <xdr:nvSpPr>
        <xdr:cNvPr id="3" name="Rectangle: Rounded Corners 2">
          <a:extLst>
            <a:ext uri="{FF2B5EF4-FFF2-40B4-BE49-F238E27FC236}">
              <a16:creationId xmlns:a16="http://schemas.microsoft.com/office/drawing/2014/main" id="{7F3713FE-8848-40E8-9BAE-5E3A193416F1}"/>
            </a:ext>
          </a:extLst>
        </xdr:cNvPr>
        <xdr:cNvSpPr/>
      </xdr:nvSpPr>
      <xdr:spPr>
        <a:xfrm>
          <a:off x="3629025" y="13350876"/>
          <a:ext cx="1381125" cy="257175"/>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b="1"/>
            <a:t>Delete Rows</a:t>
          </a:r>
        </a:p>
      </xdr:txBody>
    </xdr:sp>
    <xdr:clientData/>
  </xdr:twoCellAnchor>
  <xdr:twoCellAnchor>
    <xdr:from>
      <xdr:col>3</xdr:col>
      <xdr:colOff>15875</xdr:colOff>
      <xdr:row>37</xdr:row>
      <xdr:rowOff>66675</xdr:rowOff>
    </xdr:from>
    <xdr:to>
      <xdr:col>3</xdr:col>
      <xdr:colOff>1120775</xdr:colOff>
      <xdr:row>37</xdr:row>
      <xdr:rowOff>316940</xdr:rowOff>
    </xdr:to>
    <xdr:sp macro="reset_rows" textlink="">
      <xdr:nvSpPr>
        <xdr:cNvPr id="5" name="Rectangle: Rounded Corners 4">
          <a:extLst>
            <a:ext uri="{FF2B5EF4-FFF2-40B4-BE49-F238E27FC236}">
              <a16:creationId xmlns:a16="http://schemas.microsoft.com/office/drawing/2014/main" id="{1B86D9D7-A60A-4175-8585-50DB9E24FFE7}"/>
            </a:ext>
          </a:extLst>
        </xdr:cNvPr>
        <xdr:cNvSpPr/>
      </xdr:nvSpPr>
      <xdr:spPr>
        <a:xfrm>
          <a:off x="4864100" y="7448550"/>
          <a:ext cx="1104900" cy="250265"/>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b="1"/>
            <a:t>Reset</a:t>
          </a:r>
          <a:r>
            <a:rPr lang="en-US" sz="1600" b="1" baseline="0"/>
            <a:t> rows</a:t>
          </a:r>
          <a:endParaRPr lang="en-US" sz="16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ortal.ant.amazon.com/Gen_Ledger/G&amp;A/GLDI%20Files/08-Aug-12/Fixed%20Assets/FA115B_HVAC_Depreciation%20Accrual_AUG_S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W:\My%20Documents\Construction%20Macro\Template%20Project%20Report%202.3.0.ro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pCache"/>
      <sheetName val="BneWorkBookProperties"/>
      <sheetName val="BneLog"/>
      <sheetName val="Entry"/>
      <sheetName val="Email"/>
      <sheetName val="Monthly Spend-Cooling JUL"/>
      <sheetName val="Reference"/>
      <sheetName val="data validation"/>
      <sheetName val="Sites"/>
      <sheetName val="BRS"/>
      <sheetName val="Pending_Data"/>
      <sheetName val="Reqs_Data"/>
      <sheetName val="CCO LOG YHM9"/>
      <sheetName val="Finl Summary"/>
      <sheetName val="Plan"/>
    </sheetNames>
    <sheetDataSet>
      <sheetData sheetId="0">
        <row r="1">
          <cell r="A1" t="str">
            <v>No</v>
          </cell>
        </row>
        <row r="2">
          <cell r="A2" t="str">
            <v>Yes</v>
          </cell>
        </row>
      </sheetData>
      <sheetData sheetId="1"/>
      <sheetData sheetId="2"/>
      <sheetData sheetId="3"/>
      <sheetData sheetId="4"/>
      <sheetData sheetId="5">
        <row r="3">
          <cell r="A3" t="str">
            <v>TUL1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GMP-PO Breakdown"/>
      <sheetName val="Subcontractor Breakdown"/>
      <sheetName val="Cash Flow"/>
      <sheetName val="TI Allow. &amp; Contingency"/>
      <sheetName val="Developer Contingency"/>
      <sheetName val="Monthly Weather Report"/>
      <sheetName val="Construction Waste Tracker"/>
      <sheetName val="Sustainability (GSF Only)"/>
      <sheetName val="Drop Down"/>
      <sheetName val="Sheet4"/>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53FB86-82F8-4B26-8A8C-F547E81F4F14}" name="OffSite22062444" displayName="OffSite22062444" ref="A29:J38" totalsRowShown="0" headerRowDxfId="512" dataDxfId="511" tableBorderDxfId="510" headerRowCellStyle="Normal" dataCellStyle="Currency 2">
  <tableColumns count="10">
    <tableColumn id="1" xr3:uid="{CFAF8F76-6D65-4817-B64B-B662DCE06F0E}" name="34" dataDxfId="509" totalsRowDxfId="508" dataCellStyle="Normal 2"/>
    <tableColumn id="2" xr3:uid="{7AEB5D46-63FD-46ED-B022-DFE468840CA4}" name="Off-Site Infrastructure " dataDxfId="507" totalsRowDxfId="506" dataCellStyle="Normal 2"/>
    <tableColumn id="3" xr3:uid="{9600B765-1A01-4300-A9E0-16C4D58F01A3}" name="CSI Sec" dataDxfId="505" totalsRowDxfId="504" dataCellStyle="Normal 2"/>
    <tableColumn id="4" xr3:uid="{8D6BE929-4C8B-4680-BDA0-BCB06CCD1C87}" name="Description of work" dataDxfId="503" totalsRowDxfId="502" dataCellStyle="Normal 2"/>
    <tableColumn id="5" xr3:uid="{4155A7FA-BABA-423B-A56D-4630A38FB363}" name="Original Contract" dataDxfId="501" dataCellStyle="Currency 2"/>
    <tableColumn id="6" xr3:uid="{DFCCF9E0-3C4E-4DC7-A097-6B9BEE531072}" name="Actual Buyout" dataDxfId="500" dataCellStyle="Currency 2"/>
    <tableColumn id="7" xr3:uid="{72AD1FF2-07CE-4E22-BDF1-8AD621C75A8A}" name="Change Orders" dataDxfId="499" dataCellStyle="Currency 2"/>
    <tableColumn id="8" xr3:uid="{18741606-3353-4381-8047-D21C94511237}" name="Revised Contract" dataDxfId="498" totalsRowDxfId="497" dataCellStyle="Currency 2">
      <calculatedColumnFormula>IF(ABS(OffSite22062444[[#This Row],[Actual Buyout]])+ABS(OffSite22062444[[#This Row],[Change Orders]])=0,OffSite22062444[[#This Row],[Original Contract]],OffSite22062444[[#This Row],[Actual Buyout]]+OffSite22062444[[#This Row],[Change Orders]])</calculatedColumnFormula>
    </tableColumn>
    <tableColumn id="9" xr3:uid="{429E79AE-3BFE-43F8-800E-FE1D25158AEA}" name="Total completed and Stored" dataDxfId="496" dataCellStyle="Currency 2"/>
    <tableColumn id="10" xr3:uid="{F26A283D-5719-4148-AA14-EF65D9E3531D}" name="Delta" dataDxfId="495" dataCellStyle="Currency 2">
      <calculatedColumnFormula>OffSite22062444[[#This Row],[Original Contract]]-OffSite22062444[[#This Row],[Revised Contract]]</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E0066A-7232-4638-A52A-09BF3AD9AC79}" name="Demolition32072458" displayName="Demolition32072458" ref="A40:J47" totalsRowShown="0" headerRowDxfId="494" dataDxfId="493" tableBorderDxfId="492" headerRowCellStyle="Normal" dataCellStyle="Currency 2">
  <tableColumns count="10">
    <tableColumn id="1" xr3:uid="{D6EB309E-340B-44BF-8D47-FC7B030D108A}" name="31" dataDxfId="491"/>
    <tableColumn id="2" xr3:uid="{0BF09824-EE57-4B93-8922-05DBFE7C6AAF}" name="Demolition" dataDxfId="490" dataCellStyle="Normal 2"/>
    <tableColumn id="3" xr3:uid="{C27A3163-1BB6-45E1-9869-11B3AC7478EF}" name="CSI Sec" dataDxfId="489" dataCellStyle="Normal 2"/>
    <tableColumn id="4" xr3:uid="{7EB3BB67-0CBA-403C-B216-1F3E09B205A7}" name="Description of work" dataDxfId="488" dataCellStyle="Normal 2"/>
    <tableColumn id="5" xr3:uid="{6A541FB4-C58A-487E-8BC3-F92CAC34C422}" name="Original Contract" dataDxfId="487" dataCellStyle="Currency 2"/>
    <tableColumn id="6" xr3:uid="{B0EDC7E1-50F7-4A6D-8B45-133838B7112D}" name="Actual Buyout" dataDxfId="486" dataCellStyle="Currency 2"/>
    <tableColumn id="7" xr3:uid="{E5811E3C-00B5-4966-BEF8-70F18464CF1E}" name="Change Orders" dataDxfId="485" dataCellStyle="Currency 2"/>
    <tableColumn id="8" xr3:uid="{91E03C03-601F-4FE1-95B5-FDDA4A347AB3}" name="Revised Contract" dataDxfId="484" dataCellStyle="Currency 2">
      <calculatedColumnFormula>IF(ABS(Demolition32072458[[#This Row],[Actual Buyout]])+ABS(Demolition32072458[[#This Row],[Change Orders]])=0,Demolition32072458[[#This Row],[Original Contract]],Demolition32072458[[#This Row],[Actual Buyout]]+Demolition32072458[[#This Row],[Change Orders]])</calculatedColumnFormula>
    </tableColumn>
    <tableColumn id="9" xr3:uid="{242E0F43-1447-4C08-B412-6908EA1B585A}" name="Total completed and Stored" dataDxfId="483" dataCellStyle="Currency 2"/>
    <tableColumn id="10" xr3:uid="{5EAEF02E-8EF9-4316-A22F-219AE5C406F5}" name="Delta" dataDxfId="482" dataCellStyle="Currency 2">
      <calculatedColumnFormula>Demolition32072458[[#This Row],[Original Contract]]-Demolition32072458[[#This Row],[Revised Contract]]</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D6F2FA2-C8D8-4565-83BA-92DD23C84076}" name="Earthwork420824611" displayName="Earthwork420824611" ref="A49:J60" totalsRowShown="0" headerRowDxfId="481" dataDxfId="480" tableBorderDxfId="479" dataCellStyle="Currency 2">
  <tableColumns count="10">
    <tableColumn id="1" xr3:uid="{1F0D077D-2363-4106-BFDF-80F8664773BE}" name="31" dataDxfId="478"/>
    <tableColumn id="2" xr3:uid="{CF8010CD-DDEE-42FC-A517-CA2091F059B6}" name="Earthwork" dataDxfId="477" dataCellStyle="Normal 2"/>
    <tableColumn id="3" xr3:uid="{FE8CC256-FF8B-435C-9A86-1BE71361AC91}" name="CSI Sec" dataDxfId="476" dataCellStyle="Normal 2"/>
    <tableColumn id="4" xr3:uid="{15546F61-B1D9-49FA-B877-D1EE544D6A89}" name="Description of work" dataDxfId="475" dataCellStyle="Normal 2"/>
    <tableColumn id="5" xr3:uid="{48338439-69E4-4DB0-BE6D-A6B13C61903F}" name="Original Contract" dataDxfId="474" dataCellStyle="Currency 2"/>
    <tableColumn id="6" xr3:uid="{45242FD5-254E-4A5C-A8D1-0D15C1F03C74}" name="Actual Buyout" dataDxfId="473" dataCellStyle="Currency 2"/>
    <tableColumn id="7" xr3:uid="{5C45B3BC-A3B9-4522-BB75-7F79805C1CB6}" name="Change Orders" dataDxfId="472" dataCellStyle="Currency 2"/>
    <tableColumn id="8" xr3:uid="{9FD7B0B8-3D9D-45C7-8ADD-0044F8574508}" name="Revised Contract" dataDxfId="471" dataCellStyle="Currency 2">
      <calculatedColumnFormula>IF(ABS(Earthwork420824611[[#This Row],[Actual Buyout]])+ABS(Earthwork420824611[[#This Row],[Change Orders]])=0,Earthwork420824611[[#This Row],[Original Contract]],Earthwork420824611[[#This Row],[Actual Buyout]]+Earthwork420824611[[#This Row],[Change Orders]])</calculatedColumnFormula>
    </tableColumn>
    <tableColumn id="9" xr3:uid="{FB9E8CA4-A2B7-454D-AD38-0870E1F07379}" name="Total completed and Stored" dataDxfId="470" dataCellStyle="Currency 2"/>
    <tableColumn id="10" xr3:uid="{B5551B35-AD81-410A-B00E-B54A45357204}" name="Delta" dataDxfId="469" dataCellStyle="Currency 2">
      <calculatedColumnFormula>Earthwork420824611[[#This Row],[Original Contract]]-Earthwork420824611[[#This Row],[Revised Contract]]</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A8DBB3-4369-4AD0-9B3E-77F723197169}" name="Erosion520924712" displayName="Erosion520924712" ref="A62:J70" totalsRowShown="0" headerRowDxfId="468" dataDxfId="467" tableBorderDxfId="466" dataCellStyle="Currency 2">
  <tableColumns count="10">
    <tableColumn id="1" xr3:uid="{149FAE22-E85C-48F5-A5AD-544153719F46}" name="31" dataDxfId="465"/>
    <tableColumn id="2" xr3:uid="{F717F887-4DBA-4AA8-8590-41619AA2FB24}" name="Erosion Controls/Maintenance" dataDxfId="464" dataCellStyle="Normal 2"/>
    <tableColumn id="3" xr3:uid="{E5647CD5-C1A7-4169-8916-7EC3C93F36D8}" name="CSI Sec" dataDxfId="463" dataCellStyle="Normal 2"/>
    <tableColumn id="4" xr3:uid="{3358553A-7D9D-4D74-B05F-C15E5369157A}" name="Description of work" dataDxfId="462" dataCellStyle="Normal 2"/>
    <tableColumn id="5" xr3:uid="{82981A98-17AD-4438-B7B8-32A0AE0B0E72}" name="Original Contract" dataDxfId="461" dataCellStyle="Currency 2"/>
    <tableColumn id="6" xr3:uid="{08EE6D9D-3DF1-4BA1-A07E-C4D74E5DB971}" name="Actual Buyout" dataDxfId="460" dataCellStyle="Currency 2"/>
    <tableColumn id="7" xr3:uid="{831AC896-1984-4BE3-B71E-688E4B58DD1B}" name="Change Orders" dataDxfId="459" dataCellStyle="Currency 2"/>
    <tableColumn id="8" xr3:uid="{C4D73FFB-0CBB-4670-92F4-825D01A4B81C}" name="Revised Contract" dataDxfId="458" dataCellStyle="Currency 2">
      <calculatedColumnFormula>IF(ABS(Erosion520924712[[#This Row],[Actual Buyout]])+ABS(Erosion520924712[[#This Row],[Change Orders]])=0,Erosion520924712[[#This Row],[Original Contract]],Erosion520924712[[#This Row],[Actual Buyout]]+Erosion520924712[[#This Row],[Change Orders]])</calculatedColumnFormula>
    </tableColumn>
    <tableColumn id="9" xr3:uid="{EA5A558A-01BE-49A2-984F-C99284A15251}" name="Total completed and Stored" dataDxfId="457" dataCellStyle="Currency 2"/>
    <tableColumn id="10" xr3:uid="{EC1B62C1-CFC2-4C0D-B8A6-014F153C96C5}" name="Delta" dataDxfId="456" dataCellStyle="Currency 2">
      <calculatedColumnFormula>Erosion520924712[[#This Row],[Original Contract]]-Erosion520924712[[#This Row],[Revised Contract]]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46AC94-9F4E-4023-B69A-2BFAB00303DE}" name="Asphalt621024819" displayName="Asphalt621024819" ref="A72:J79" totalsRowShown="0" headerRowDxfId="455" dataDxfId="454" tableBorderDxfId="453" dataCellStyle="Currency 2">
  <tableColumns count="10">
    <tableColumn id="1" xr3:uid="{EED22323-AEF9-4FD2-855C-D62B0C77D368}" name="32" dataDxfId="452"/>
    <tableColumn id="2" xr3:uid="{343D5EC8-672A-4475-9F95-1A17FE8CFEC5}" name="Asphalt Paving" dataDxfId="451" dataCellStyle="Normal 2"/>
    <tableColumn id="3" xr3:uid="{93478C3B-1F04-41B2-8F4C-0D6277E1CCBC}" name="CSI Sec" dataDxfId="450" dataCellStyle="Normal 2"/>
    <tableColumn id="4" xr3:uid="{A264118F-629D-4A87-9D7B-C98051F77A90}" name="Description of work" dataDxfId="449" dataCellStyle="Normal 2"/>
    <tableColumn id="5" xr3:uid="{1F78B655-7E03-463B-9233-35A41267FDAE}" name="Original Contract" dataDxfId="448" dataCellStyle="Currency 2"/>
    <tableColumn id="6" xr3:uid="{06A5AC5B-2244-44A6-BC4F-56448BDC239F}" name="Actual Buyout" dataDxfId="447" dataCellStyle="Currency 2"/>
    <tableColumn id="7" xr3:uid="{CD778363-7BF9-42DC-B109-FAAB08F48A40}" name="Change Orders" dataDxfId="446" dataCellStyle="Currency 2"/>
    <tableColumn id="8" xr3:uid="{1DF18FF0-5E54-44E6-8130-F7D9D4B2B6F3}" name="Revised Contract" dataDxfId="445" dataCellStyle="Currency 2">
      <calculatedColumnFormula>IF(ABS(Asphalt621024819[[#This Row],[Actual Buyout]])+ABS(Asphalt621024819[[#This Row],[Change Orders]])=0,Asphalt621024819[[#This Row],[Original Contract]],Asphalt621024819[[#This Row],[Actual Buyout]]+Asphalt621024819[[#This Row],[Change Orders]])</calculatedColumnFormula>
    </tableColumn>
    <tableColumn id="9" xr3:uid="{EF4D3CD9-0FA9-4515-B46A-ACDB60649C41}" name="Total completed and Stored" dataDxfId="444" dataCellStyle="Currency 2"/>
    <tableColumn id="10" xr3:uid="{BC477DF2-C74B-4B77-898D-46F3CB59662D}" name="Delta" dataDxfId="443" dataCellStyle="Currency 2">
      <calculatedColumnFormula>Asphalt621024819[[#This Row],[Original Contract]]-Asphalt621024819[[#This Row],[Revised Contract]]</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F9F4FCB-7154-4F2C-A623-458B964858EF}" name="Concrete721124920" displayName="Concrete721124920" ref="A81:J92" totalsRowShown="0" headerRowDxfId="442" dataDxfId="441" tableBorderDxfId="440" dataCellStyle="Currency 2">
  <tableColumns count="10">
    <tableColumn id="1" xr3:uid="{B04E88C1-3C32-4E0D-A7DA-86E6B374352D}" name="32" dataDxfId="439"/>
    <tableColumn id="2" xr3:uid="{7B2CCBDC-A062-4263-ADBC-EC5EDB152C70}" name="Concrete Paving, Curb and Gutter, and Sidewalks" dataDxfId="438" dataCellStyle="Normal 2"/>
    <tableColumn id="3" xr3:uid="{E2A801C1-2373-4D93-B6A6-0AAA7D2027A1}" name="CSI Sec" dataDxfId="437" dataCellStyle="Normal 2"/>
    <tableColumn id="4" xr3:uid="{30C5A6E1-E6DF-43F8-8A95-F238BEBB4EFA}" name="Description of work" dataDxfId="436" dataCellStyle="Normal 2"/>
    <tableColumn id="5" xr3:uid="{93968F48-7DEB-4969-92A3-A3D282636ABB}" name="Original Contract" dataDxfId="435" dataCellStyle="Currency 2"/>
    <tableColumn id="6" xr3:uid="{80C205D9-5897-4846-B9D2-1F5B6044928F}" name="Actual Buyout" dataDxfId="434" dataCellStyle="Currency 2"/>
    <tableColumn id="7" xr3:uid="{B205EC43-5CD8-414F-A055-E791F5757EF8}" name="Change Orders" dataDxfId="433" dataCellStyle="Currency 2">
      <calculatedColumnFormula>0</calculatedColumnFormula>
    </tableColumn>
    <tableColumn id="8" xr3:uid="{8B03CA37-F7FF-4CE7-9F79-CAECF46B1EF0}" name="Revised Contract" dataDxfId="432" dataCellStyle="Currency 2">
      <calculatedColumnFormula>IF(ABS(Concrete721124920[[#This Row],[Actual Buyout]])+ABS(Concrete721124920[[#This Row],[Change Orders]])=0,Concrete721124920[[#This Row],[Original Contract]],Concrete721124920[[#This Row],[Actual Buyout]]+Concrete721124920[[#This Row],[Change Orders]])</calculatedColumnFormula>
    </tableColumn>
    <tableColumn id="9" xr3:uid="{70B39C8C-3663-412D-914D-9F6E207263BC}" name="Total completed and Stored" dataDxfId="431" dataCellStyle="Currency 2"/>
    <tableColumn id="10" xr3:uid="{005A5934-4EF2-452F-8B26-0C01395E50F1}" name="Delta" dataDxfId="430" dataCellStyle="Currency 2">
      <calculatedColumnFormula>Concrete721124920[[#This Row],[Original Contract]]-Concrete721124920[[#This Row],[Revised Contract]]</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92135FF-076F-4A9C-AF05-A6332FD96329}" name="PaveMarks821225021" displayName="PaveMarks821225021" ref="A94:J104" totalsRowShown="0" headerRowDxfId="429" dataDxfId="428" tableBorderDxfId="427" dataCellStyle="Currency 2">
  <tableColumns count="10">
    <tableColumn id="1" xr3:uid="{F91060B7-BCBC-4B36-B961-6F184A1B0F76}" name="32" dataDxfId="426"/>
    <tableColumn id="2" xr3:uid="{ACF4D5A1-7895-4ADD-B2F3-99E15B6DFCD5}" name="Pavement Markings and Signage" dataDxfId="425" dataCellStyle="Normal 2"/>
    <tableColumn id="3" xr3:uid="{B3D638DB-ACF5-497E-AA24-410E18C79F43}" name="CSI Sec" dataDxfId="424" dataCellStyle="Normal 2"/>
    <tableColumn id="4" xr3:uid="{A168A9CD-DFCE-4DB7-8B2A-77CC86C9DF15}" name="Description of work" dataDxfId="423" dataCellStyle="Normal 2"/>
    <tableColumn id="5" xr3:uid="{175B1542-D103-46FB-BCA6-480D97B10DDD}" name="Original Contract" dataDxfId="422" dataCellStyle="Currency 2"/>
    <tableColumn id="6" xr3:uid="{23B42365-6E72-4251-A5B6-2E28D246CAA0}" name="Actual Buyout" dataDxfId="421" dataCellStyle="Currency 2"/>
    <tableColumn id="7" xr3:uid="{7CEE5FEC-C81D-456B-AFF4-0850611A1E62}" name="Change Orders" dataDxfId="420" dataCellStyle="Currency 2"/>
    <tableColumn id="8" xr3:uid="{5C0439B5-AE57-406E-BACB-370D744C6454}" name="Revised Contract" dataDxfId="419" dataCellStyle="Currency 2">
      <calculatedColumnFormula>IF(ABS(PaveMarks821225021[[#This Row],[Actual Buyout]])+ABS(PaveMarks821225021[[#This Row],[Change Orders]])=0,PaveMarks821225021[[#This Row],[Original Contract]],PaveMarks821225021[[#This Row],[Actual Buyout]]+PaveMarks821225021[[#This Row],[Change Orders]])</calculatedColumnFormula>
    </tableColumn>
    <tableColumn id="9" xr3:uid="{BC27ACC0-6980-4824-AAAB-F17A15F1908E}" name="Total completed and Stored" dataDxfId="418" dataCellStyle="Currency 2"/>
    <tableColumn id="10" xr3:uid="{027A819B-CF7F-4817-97A8-8F81AF5B3879}" name="Delta" dataDxfId="417" dataCellStyle="Currency 2">
      <calculatedColumnFormula>PaveMarks821225021[[#This Row],[Original Contract]]-PaveMarks821225021[[#This Row],[Revised Contract]]</calculatedColumnFormula>
    </tableColumn>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CCD1B1-099A-43BE-909A-37C79FD3F9EF}" name="Fencing921325122" displayName="Fencing921325122" ref="A106:J116" totalsRowShown="0" headerRowDxfId="416" dataDxfId="415" tableBorderDxfId="414" dataCellStyle="Currency 2">
  <tableColumns count="10">
    <tableColumn id="1" xr3:uid="{1FA43A3A-2118-4BCD-91CD-3504CADD0F86}" name="32" dataDxfId="413"/>
    <tableColumn id="2" xr3:uid="{590CA503-A978-4809-B360-753582551649}" name="Fencing &amp; Gates" dataDxfId="412" dataCellStyle="Normal 2"/>
    <tableColumn id="3" xr3:uid="{43355A26-2DED-4663-B9FA-2CE548A9CE8A}" name="CSI Sec" dataDxfId="411" dataCellStyle="Normal 2"/>
    <tableColumn id="4" xr3:uid="{5BF1BC49-A6BA-4296-AB12-423BDC7F7C97}" name="Description of work" dataDxfId="410" dataCellStyle="Normal 2"/>
    <tableColumn id="5" xr3:uid="{5E877702-AFDF-4DD7-9D7E-50B95853ED9E}" name="Original Contract" dataDxfId="409" dataCellStyle="Currency 2"/>
    <tableColumn id="6" xr3:uid="{1201A3AA-6C93-4D24-8C8D-6719D4AC903E}" name="Actual Buyout" dataDxfId="408" dataCellStyle="Currency 2"/>
    <tableColumn id="7" xr3:uid="{26AA2558-1D7C-4D6B-9E5B-4347FD7A9BE4}" name="Change Orders" dataDxfId="407" dataCellStyle="Currency 2"/>
    <tableColumn id="8" xr3:uid="{82F3ECFF-C2A9-40C4-9495-FF64B301A369}" name="Revised Contract" dataDxfId="406" dataCellStyle="Currency 2">
      <calculatedColumnFormula>IF(ABS(Fencing921325122[[#This Row],[Actual Buyout]])+ABS(Fencing921325122[[#This Row],[Change Orders]])=0,Fencing921325122[[#This Row],[Original Contract]],Fencing921325122[[#This Row],[Actual Buyout]]+Fencing921325122[[#This Row],[Change Orders]])</calculatedColumnFormula>
    </tableColumn>
    <tableColumn id="9" xr3:uid="{EADADD97-BA73-43DA-93DD-6ADEEA29DB91}" name="Total completed and Stored" dataDxfId="405" dataCellStyle="Currency 2"/>
    <tableColumn id="10" xr3:uid="{5D7D6F61-BD9C-48F9-8A76-57A9496739B2}" name="Delta" dataDxfId="404" dataCellStyle="Currency 2">
      <calculatedColumnFormula>Fencing921325122[[#This Row],[Original Contract]]-Fencing921325122[[#This Row],[Revised Contract]]</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63705A-A7F0-4ED5-B4C3-563769C4401A}" name="Landscape1021425223" displayName="Landscape1021425223" ref="A118:J126" totalsRowShown="0" headerRowDxfId="403" dataDxfId="402" tableBorderDxfId="401" dataCellStyle="Currency 2">
  <tableColumns count="10">
    <tableColumn id="1" xr3:uid="{A866275B-76CA-4079-88E7-ABA157427B58}" name="32" dataDxfId="400"/>
    <tableColumn id="2" xr3:uid="{50C723CE-A072-4FB1-BF2B-D43324549445}" name="Landscaping" dataDxfId="399" dataCellStyle="Normal 2"/>
    <tableColumn id="3" xr3:uid="{BDD402F3-0CC3-461D-BA40-E5BFE51A02E0}" name="CSI Sec" dataDxfId="398" dataCellStyle="Normal 2"/>
    <tableColumn id="4" xr3:uid="{90BCA536-3D96-4E75-B38A-863365221DC2}" name="Description of work" dataDxfId="397" dataCellStyle="Normal 2"/>
    <tableColumn id="5" xr3:uid="{FE2925AB-4A77-4135-86C0-D6248F8CF6E0}" name="Original Contract" dataDxfId="396" dataCellStyle="Currency 2"/>
    <tableColumn id="6" xr3:uid="{A6D77005-9AC5-4C4D-B312-703E998245A4}" name="Actual Buyout" dataDxfId="395" dataCellStyle="Currency 2"/>
    <tableColumn id="7" xr3:uid="{E241DA66-AB03-497C-A8D0-B6FA6779D70D}" name="Change Orders" dataDxfId="394" dataCellStyle="Currency 2"/>
    <tableColumn id="8" xr3:uid="{4677B5E0-6DAF-434D-A8F9-9270239AF476}" name="Revised Contract" dataDxfId="393" dataCellStyle="Currency 2">
      <calculatedColumnFormula>IF(ABS(Landscape1021425223[[#This Row],[Actual Buyout]])+ABS(Landscape1021425223[[#This Row],[Change Orders]])=0,Landscape1021425223[[#This Row],[Original Contract]],Landscape1021425223[[#This Row],[Actual Buyout]]+Landscape1021425223[[#This Row],[Change Orders]])</calculatedColumnFormula>
    </tableColumn>
    <tableColumn id="9" xr3:uid="{2CC9058D-E133-4408-B9EC-B47175C516E7}" name="Total completed and Stored" dataDxfId="392" dataCellStyle="Currency 2"/>
    <tableColumn id="10" xr3:uid="{E4280355-1964-4E35-BA71-45CE1704136A}" name="Delta" dataDxfId="391" dataCellStyle="Currency 2">
      <calculatedColumnFormula>Landscape1021425223[[#This Row],[Original Contract]]-Landscape1021425223[[#This Row],[Revised Contract]]</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CC876AC-B47C-4FAC-B6AA-08CDE9361977}" name="Utilities1121525324" displayName="Utilities1121525324" ref="A128:J140" totalsRowShown="0" headerRowDxfId="390" dataDxfId="389" tableBorderDxfId="388" dataCellStyle="Currency 2">
  <tableColumns count="10">
    <tableColumn id="1" xr3:uid="{AA98D926-7683-4816-9E51-D9065B3D1A62}" name="33" dataDxfId="387"/>
    <tableColumn id="2" xr3:uid="{18A7FC61-04E3-441E-8FBC-E7C8EB700A0D}" name="Site Utilities" dataDxfId="386" dataCellStyle="Normal 2"/>
    <tableColumn id="3" xr3:uid="{C0935BDD-79BC-41C7-85A7-063A2437A104}" name="CSI Sec" dataDxfId="385" dataCellStyle="Normal 2"/>
    <tableColumn id="4" xr3:uid="{A078FD7F-168F-4480-8EC6-FB1D45D645D6}" name="Description of work" dataDxfId="384" dataCellStyle="Normal 2"/>
    <tableColumn id="5" xr3:uid="{7BDE5E87-BAF9-447F-A2A0-94A37D2C9EB0}" name="Original Contract" dataDxfId="383" dataCellStyle="Currency 2"/>
    <tableColumn id="6" xr3:uid="{74968F24-7F75-485C-A82C-EB3D4F856F13}" name="Actual Buyout" dataDxfId="382" dataCellStyle="Currency 2"/>
    <tableColumn id="7" xr3:uid="{7330D07E-647B-44CA-9EA2-93AAB4CE423C}" name="Change Orders" dataDxfId="381" dataCellStyle="Currency 2"/>
    <tableColumn id="8" xr3:uid="{AAEC34EC-451D-4DAE-9E62-564CB813AEB8}" name="Revised Contract" dataDxfId="380" dataCellStyle="Currency 2">
      <calculatedColumnFormula>IF(ABS(Utilities1121525324[[#This Row],[Actual Buyout]])+ABS(Utilities1121525324[[#This Row],[Change Orders]])=0,Utilities1121525324[[#This Row],[Original Contract]],Utilities1121525324[[#This Row],[Actual Buyout]]+Utilities1121525324[[#This Row],[Change Orders]])</calculatedColumnFormula>
    </tableColumn>
    <tableColumn id="9" xr3:uid="{E6F01A9B-B9C9-4C20-BD0A-BD8D35C87979}" name="Total completed and Stored" dataDxfId="379" dataCellStyle="Currency 2"/>
    <tableColumn id="10" xr3:uid="{FD842FE0-62F3-4AC2-9FEC-8B5E7919FDD5}" name="Delta" dataDxfId="378" dataCellStyle="Currency 2">
      <calculatedColumnFormula>Utilities1121525324[[#This Row],[Original Contract]]-Utilities1121525324[[#This Row],[Revised Contract]]</calculatedColumnFormula>
    </tableColumn>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851105C-E8B0-4CCC-BEAA-1CF6FAE5340A}" name="TimeAllow1221625425" displayName="TimeAllow1221625425" ref="A142:J149" totalsRowShown="0" headerRowDxfId="377" dataDxfId="376" tableBorderDxfId="375" dataCellStyle="Currency 2">
  <tableColumns count="10">
    <tableColumn id="1" xr3:uid="{448C02D3-35C2-4F15-AFA6-B5ABE9036BF5}" name="1" dataDxfId="374"/>
    <tableColumn id="2" xr3:uid="{D0F47F59-5E27-4DCF-946F-75D6FC501316}" name="Time Allowances" dataDxfId="373" dataCellStyle="Normal 2"/>
    <tableColumn id="3" xr3:uid="{AF5AC8B6-D666-4AC7-9778-89B402B63CED}" name="CSI Sec" dataDxfId="372" dataCellStyle="Normal 2"/>
    <tableColumn id="4" xr3:uid="{52A94769-C755-4EA4-86A0-3CF909C2EBEC}" name="Description of work" dataDxfId="371" dataCellStyle="Normal 2"/>
    <tableColumn id="5" xr3:uid="{44C58E68-9F16-4D26-9770-DC2EFCA922DE}" name="Original Contract" dataDxfId="370" dataCellStyle="Currency 2"/>
    <tableColumn id="6" xr3:uid="{BB610345-4DB8-49CD-92AC-DBDF7F01B00D}" name="Actual Buyout" dataDxfId="369" dataCellStyle="Currency 2"/>
    <tableColumn id="7" xr3:uid="{0A5DBBC7-462B-43CF-B25D-724E6ACB10E4}" name="Change Orders" dataDxfId="368" dataCellStyle="Currency 2"/>
    <tableColumn id="8" xr3:uid="{69082EE7-8F4B-4A36-8EF2-3387B1C8F3C4}" name="Revised Contract" dataDxfId="367" dataCellStyle="Currency 2">
      <calculatedColumnFormula>IF(ABS(TimeAllow1221625425[[#This Row],[Actual Buyout]])+ABS(TimeAllow1221625425[[#This Row],[Change Orders]])=0,TimeAllow1221625425[[#This Row],[Original Contract]],TimeAllow1221625425[[#This Row],[Actual Buyout]]+TimeAllow1221625425[[#This Row],[Change Orders]])</calculatedColumnFormula>
    </tableColumn>
    <tableColumn id="9" xr3:uid="{D7E10D49-9469-4A48-AC1B-E5A6D339DC74}" name="Total completed and Stored" dataDxfId="366" dataCellStyle="Currency 2"/>
    <tableColumn id="10" xr3:uid="{73AD0FCE-BF60-4A34-B3B8-CA3191F693A2}" name="Delta" dataDxfId="365" dataCellStyle="Currency 2">
      <calculatedColumnFormula>TimeAllow1221625425[[#This Row],[Original Contract]]-TimeAllow1221625425[[#This Row],[Revised Contract]]</calculatedColumnFormula>
    </tableColumn>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D4D70D5-B0CC-43D1-87C9-FB7E5E8B5676}" name="Demo1321725526" displayName="Demo1321725526" ref="A151:J157" totalsRowShown="0" headerRowDxfId="364" dataDxfId="363" tableBorderDxfId="362" dataCellStyle="Currency 2">
  <tableColumns count="10">
    <tableColumn id="1" xr3:uid="{1C46002A-C5BB-453C-80F7-549B6A39535B}" name="2" dataDxfId="361"/>
    <tableColumn id="2" xr3:uid="{20EA3C5C-DC8E-4E17-8F43-58394ECECBC6}" name="Demolition" dataDxfId="360" dataCellStyle="Normal 2"/>
    <tableColumn id="3" xr3:uid="{3EE38553-4D2C-4A7F-BA0C-7D6310879415}" name="CSI Sec" dataDxfId="359" dataCellStyle="Normal 2"/>
    <tableColumn id="4" xr3:uid="{D6C75A4D-EE3C-493C-9D12-13C09A7AC493}" name="Description of work" dataDxfId="358" dataCellStyle="Normal 2"/>
    <tableColumn id="5" xr3:uid="{99290261-93F0-4D32-851A-157E813D3A40}" name="Original Contract" dataDxfId="357" dataCellStyle="Currency 2"/>
    <tableColumn id="6" xr3:uid="{3BDE1AF0-8D65-436A-A6DD-0928404133C0}" name="Actual Buyout" dataDxfId="356" dataCellStyle="Currency 2"/>
    <tableColumn id="7" xr3:uid="{8FC292FE-5AE5-46BC-9E38-CA26C7C66500}" name="Change Orders" dataDxfId="355" dataCellStyle="Currency 2"/>
    <tableColumn id="8" xr3:uid="{D3D3D7A8-4CBB-48E6-B36E-8FF51857BDD9}" name="Revised Contract" dataDxfId="354" dataCellStyle="Currency 2">
      <calculatedColumnFormula>IF(ABS(Demo1321725526[[#This Row],[Actual Buyout]])+ABS(Demo1321725526[[#This Row],[Change Orders]])=0,Demo1321725526[[#This Row],[Original Contract]],Demo1321725526[[#This Row],[Actual Buyout]]+Demo1321725526[[#This Row],[Change Orders]])</calculatedColumnFormula>
    </tableColumn>
    <tableColumn id="9" xr3:uid="{B9826835-298F-449B-BF22-A47B42C75BF2}" name="Total completed and Stored" dataDxfId="353" dataCellStyle="Currency 2"/>
    <tableColumn id="10" xr3:uid="{4C918ECE-AFBB-4CC8-B7C4-D8A836AC9251}" name="Delta" dataDxfId="352" dataCellStyle="Currency 2">
      <calculatedColumnFormula>Demo1321725526[[#This Row],[Original Contract]]-Demo1321725526[[#This Row],[Revised Contract]]</calculatedColumnFormula>
    </tableColumn>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F3183B8-35DE-4394-A242-978778792BD8}" name="BuildConcret" displayName="BuildConcret" ref="A159:J176" totalsRowShown="0" headerRowDxfId="351" dataDxfId="350" tableBorderDxfId="349" dataCellStyle="Currency 2">
  <tableColumns count="10">
    <tableColumn id="1" xr3:uid="{C25C61E6-0726-4C33-8D9F-EABD79268915}" name="3" dataDxfId="348"/>
    <tableColumn id="2" xr3:uid="{EE5E7FBE-6FE7-4E5A-8130-BC189C0DC925}" name="Building Concrete" dataDxfId="347" dataCellStyle="Normal 2"/>
    <tableColumn id="3" xr3:uid="{D79B0C78-7872-45C0-B9D1-756882DAEBC0}" name="CSI Sec" dataDxfId="346" dataCellStyle="Normal 2"/>
    <tableColumn id="4" xr3:uid="{96635DA9-C7C7-4E8B-B1A7-C162823E9142}" name="Description of work" dataDxfId="345" dataCellStyle="Normal 2"/>
    <tableColumn id="5" xr3:uid="{0583E817-6D91-4122-B537-F907DD53F081}" name="Original Contract" dataDxfId="344" dataCellStyle="Currency 2"/>
    <tableColumn id="6" xr3:uid="{3A63F469-5647-4373-AB59-14A9A3F76D3C}" name="Actual Buyout" dataDxfId="343" dataCellStyle="Currency 2"/>
    <tableColumn id="7" xr3:uid="{E338E8A8-BADA-4E20-B0BC-215ED3962480}" name="Change Orders" dataDxfId="342" dataCellStyle="Currency 2">
      <calculatedColumnFormula>0</calculatedColumnFormula>
    </tableColumn>
    <tableColumn id="8" xr3:uid="{C9DF7284-A2C8-4076-B8B0-3B6BC82DF320}" name="Revised Contract" dataDxfId="341" dataCellStyle="Currency 2">
      <calculatedColumnFormula>IF(ABS(BuildConcret[[#This Row],[Actual Buyout]])+ABS(BuildConcret[[#This Row],[Change Orders]])=0,BuildConcret[[#This Row],[Original Contract]],BuildConcret[[#This Row],[Actual Buyout]]+BuildConcret[[#This Row],[Change Orders]])</calculatedColumnFormula>
    </tableColumn>
    <tableColumn id="9" xr3:uid="{8CF646B6-293D-4F84-8E44-56E83130B002}" name="Total completed and Stored" dataDxfId="340" dataCellStyle="Currency 2"/>
    <tableColumn id="10" xr3:uid="{55F137DB-DAB5-4CEC-83A2-91C4D2760151}" name="Delta" dataDxfId="339" dataCellStyle="Currency 2">
      <calculatedColumnFormula>BuildConcret[[#This Row],[Original Contract]]-BuildConcret[[#This Row],[Revised Contract]]</calculatedColumnFormula>
    </tableColumn>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A9A89DD-5969-4328-A761-9106DE667316}" name="Masonry1521925728" displayName="Masonry1521925728" ref="A178:J184" totalsRowShown="0" headerRowDxfId="338" dataDxfId="337" tableBorderDxfId="336" dataCellStyle="Currency 2">
  <tableColumns count="10">
    <tableColumn id="1" xr3:uid="{3C7F90DF-8FA2-4F35-A604-C8EF5A765018}" name="4" dataDxfId="335"/>
    <tableColumn id="2" xr3:uid="{B80089B2-2C0C-44BF-9EDE-EA14980A4E45}" name="Masonry" dataDxfId="334" dataCellStyle="Normal 2"/>
    <tableColumn id="3" xr3:uid="{C67AB334-0E32-4F91-8943-13572E1FF6AE}" name="CSI Sec" dataDxfId="333" dataCellStyle="Normal 2"/>
    <tableColumn id="4" xr3:uid="{09433056-3CD0-4192-9753-D42B08C8001F}" name="Description of work" dataDxfId="332" dataCellStyle="Normal 2"/>
    <tableColumn id="5" xr3:uid="{0ED985C9-93FF-4290-91BF-BAE251CC66DD}" name="Original Contract" dataDxfId="331" dataCellStyle="Currency 2"/>
    <tableColumn id="6" xr3:uid="{318E37E4-EEBA-4F35-9098-92286D0999ED}" name="Actual Buyout" dataDxfId="330" dataCellStyle="Currency 2"/>
    <tableColumn id="7" xr3:uid="{199A6BB9-9277-4614-96ED-76B16FF35844}" name="Change Orders" dataDxfId="329" dataCellStyle="Currency 2"/>
    <tableColumn id="8" xr3:uid="{1BDD5DF2-48A0-41BE-962A-31301660C3D6}" name="Revised Contract" dataDxfId="328" dataCellStyle="Currency 2">
      <calculatedColumnFormula>IF(ABS(Masonry1521925728[[#This Row],[Actual Buyout]])+ABS(Masonry1521925728[[#This Row],[Change Orders]])=0,Masonry1521925728[[#This Row],[Original Contract]],Masonry1521925728[[#This Row],[Actual Buyout]]+Masonry1521925728[[#This Row],[Change Orders]])</calculatedColumnFormula>
    </tableColumn>
    <tableColumn id="9" xr3:uid="{C225F7B1-F233-42B4-A3F3-5BD53B33E65B}" name="Total completed and Stored" dataDxfId="327" dataCellStyle="Currency 2"/>
    <tableColumn id="10" xr3:uid="{92D620EC-5EF6-4201-9C47-A34E88056C0E}" name="Delta" dataDxfId="326" dataCellStyle="Currency 2">
      <calculatedColumnFormula>Masonry1521925728[[#This Row],[Original Contract]]-Masonry1521925728[[#This Row],[Revised Contract]]</calculatedColumnFormula>
    </tableColumn>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18B32C4-0632-4269-B76B-7075AEAD905D}" name="StrucSteel1622025829" displayName="StrucSteel1622025829" ref="A186:J206" totalsRowShown="0" headerRowDxfId="325" dataDxfId="324" tableBorderDxfId="323" dataCellStyle="Currency 2">
  <tableColumns count="10">
    <tableColumn id="1" xr3:uid="{5303DC18-4C0A-4E96-A9FA-4EB41222148B}" name="5" dataDxfId="322"/>
    <tableColumn id="2" xr3:uid="{37D5C2E2-B4B7-40E6-90EB-9660CB5FBBDC}" name="Structural Steel" dataDxfId="321" dataCellStyle="Normal 2"/>
    <tableColumn id="3" xr3:uid="{0A496536-F6C2-4DD5-8C89-6BC04DF2CFF2}" name="CSI Sec" dataDxfId="320" dataCellStyle="Normal 2"/>
    <tableColumn id="4" xr3:uid="{829D200B-1025-4B88-A03E-DF0BFE86D1CC}" name="Description of work" dataDxfId="319" dataCellStyle="Normal 2"/>
    <tableColumn id="5" xr3:uid="{29038FBF-6A36-49D4-BB1A-0B43B6E87E7F}" name="Original Contract" dataDxfId="318" dataCellStyle="Currency 2"/>
    <tableColumn id="6" xr3:uid="{A9796CDE-E472-41B0-AF2A-16D9C7203C97}" name="Actual Buyout" dataDxfId="317" dataCellStyle="Currency 2"/>
    <tableColumn id="7" xr3:uid="{4C7AC918-D45D-433A-B356-86EA87903321}" name="Change Orders" dataDxfId="316" dataCellStyle="Currency 2"/>
    <tableColumn id="8" xr3:uid="{27B7FB7B-4D56-428B-9000-FAC53F9037BE}" name="Revised Contract" dataDxfId="315" dataCellStyle="Currency 2">
      <calculatedColumnFormula>IF(ABS(StrucSteel1622025829[[#This Row],[Actual Buyout]])+ABS(StrucSteel1622025829[[#This Row],[Change Orders]])=0,StrucSteel1622025829[[#This Row],[Original Contract]],StrucSteel1622025829[[#This Row],[Actual Buyout]]+StrucSteel1622025829[[#This Row],[Change Orders]])</calculatedColumnFormula>
    </tableColumn>
    <tableColumn id="9" xr3:uid="{47897EE4-8F8A-4C9D-A3C5-4A9B7E70CA16}" name="Total completed and Stored" dataDxfId="314" dataCellStyle="Currency 2"/>
    <tableColumn id="10" xr3:uid="{27A2ACF9-7903-44B5-9E6D-EB0F58AE9FF2}" name="Delta" dataDxfId="313" dataCellStyle="Currency 2">
      <calculatedColumnFormula>StrucSteel1622025829[[#This Row],[Original Contract]]-StrucSteel1622025829[[#This Row],[Revised Contract]]</calculatedColumnFormula>
    </tableColumn>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887CB43-A328-4161-BA6D-674070223E63}" name="Steel1722125930" displayName="Steel1722125930" ref="A208:J222" totalsRowShown="0" headerRowDxfId="312" dataDxfId="311" tableBorderDxfId="310" dataCellStyle="Currency 2">
  <tableColumns count="10">
    <tableColumn id="1" xr3:uid="{842C7F59-FA89-49B9-A4FB-BFD72AEC945E}" name="5" dataDxfId="309"/>
    <tableColumn id="2" xr3:uid="{BF2C796D-310C-4DF6-8E2D-F348AC478FDE}" name="Steel Erection" dataDxfId="308" dataCellStyle="Normal 2"/>
    <tableColumn id="3" xr3:uid="{83871374-EC96-4A59-924C-917C802B69CD}" name="CSI Sec" dataDxfId="307" dataCellStyle="Normal 2"/>
    <tableColumn id="4" xr3:uid="{D34B24AC-16A7-4B30-9C45-2E8788E847CE}" name="Description of work" dataDxfId="306" dataCellStyle="Normal 2"/>
    <tableColumn id="5" xr3:uid="{C1333E39-FE78-42A5-B2CD-CAAF5CCB3131}" name="Original Contract" dataDxfId="305" dataCellStyle="Currency 2"/>
    <tableColumn id="6" xr3:uid="{C80300B2-1CB7-4F38-AD88-DF8ED22BD087}" name="Actual Buyout" dataDxfId="304" dataCellStyle="Currency 2"/>
    <tableColumn id="7" xr3:uid="{4872958B-B476-4542-811A-4830E404694D}" name="Change Orders" dataDxfId="303" dataCellStyle="Currency 2"/>
    <tableColumn id="8" xr3:uid="{5F1E120C-AEE4-4599-AD9D-87692E3E3288}" name="Revised Contract" dataDxfId="302" dataCellStyle="Currency 2">
      <calculatedColumnFormula>IF(ABS(Steel1722125930[[#This Row],[Actual Buyout]])+ABS(Steel1722125930[[#This Row],[Change Orders]])=0,Steel1722125930[[#This Row],[Original Contract]],Steel1722125930[[#This Row],[Actual Buyout]]+Steel1722125930[[#This Row],[Change Orders]])</calculatedColumnFormula>
    </tableColumn>
    <tableColumn id="9" xr3:uid="{C37F82F4-4EC8-4A75-A83C-484A8555E648}" name="Total completed and Stored" dataDxfId="301" dataCellStyle="Currency 2"/>
    <tableColumn id="10" xr3:uid="{652560A0-C239-48DC-832D-F1F6716BB492}" name="Delta" dataDxfId="300" dataCellStyle="Currency 2">
      <calculatedColumnFormula>Steel1722125930[[#This Row],[Original Contract]]-Steel1722125930[[#This Row],[Revised Contract]]</calculatedColumnFormula>
    </tableColumn>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9CD9D2D-3F5F-4B9A-B41C-EF350563147D}" name="Carpentry1822226031" displayName="Carpentry1822226031" ref="A224:J233" totalsRowShown="0" headerRowDxfId="299" dataDxfId="298" tableBorderDxfId="297" dataCellStyle="Currency 2">
  <tableColumns count="10">
    <tableColumn id="1" xr3:uid="{5CC5D303-07D1-4CC6-9517-56C64DA41251}" name="6" dataDxfId="296"/>
    <tableColumn id="2" xr3:uid="{97BB97B1-D2C6-4A54-B145-C197BD596F2D}" name="Carpentry and Millwork" dataDxfId="295" dataCellStyle="Normal 2"/>
    <tableColumn id="3" xr3:uid="{CDD9C144-7D10-4822-A1E6-44C3A379BD7B}" name="CSI Sec" dataDxfId="294" dataCellStyle="Normal 2"/>
    <tableColumn id="4" xr3:uid="{D153C2EB-07B2-4783-BEFF-6E8C97E41D2E}" name="Description of work" dataDxfId="293" dataCellStyle="Normal 2"/>
    <tableColumn id="5" xr3:uid="{629B3646-066C-4993-8DB5-D7D7CB693116}" name="Original Contract" dataDxfId="292" dataCellStyle="Currency 2"/>
    <tableColumn id="6" xr3:uid="{46AF9E46-DA8C-4907-88A0-6E15DEF2DE67}" name="Actual Buyout" dataDxfId="291" dataCellStyle="Currency 2"/>
    <tableColumn id="7" xr3:uid="{3C07F926-5DDF-4B7D-A0E8-C762BC83A348}" name="Change Orders" dataDxfId="290" dataCellStyle="Currency 2"/>
    <tableColumn id="8" xr3:uid="{81123B10-EFAF-475A-A807-7E2E7502C80E}" name="Revised Contract" dataDxfId="289" dataCellStyle="Currency 2">
      <calculatedColumnFormula>IF(ABS(Carpentry1822226031[[#This Row],[Actual Buyout]])+ABS(Carpentry1822226031[[#This Row],[Change Orders]])=0,Carpentry1822226031[[#This Row],[Original Contract]],Carpentry1822226031[[#This Row],[Actual Buyout]]+Carpentry1822226031[[#This Row],[Change Orders]])</calculatedColumnFormula>
    </tableColumn>
    <tableColumn id="9" xr3:uid="{1127CD09-6CAD-4C80-BCAF-9FE39DB88DB9}" name="Total completed and Stored" dataDxfId="288" dataCellStyle="Currency 2"/>
    <tableColumn id="10" xr3:uid="{BDE651BF-E3D8-4DDD-81C9-0C694EFB3F0F}" name="Delta" dataDxfId="287" dataCellStyle="Currency 2">
      <calculatedColumnFormula>Carpentry1822226031[[#This Row],[Original Contract]]-Carpentry1822226031[[#This Row],[Revised Contract]]</calculatedColumnFormula>
    </tableColumn>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7F9D0D5-6B2F-4132-AEAC-5DFF66DAFE24}" name="Thermal1922326132" displayName="Thermal1922326132" ref="A235:J248" totalsRowShown="0" headerRowDxfId="286" dataDxfId="285" tableBorderDxfId="284" dataCellStyle="Currency 2">
  <tableColumns count="10">
    <tableColumn id="1" xr3:uid="{25F11144-F1CE-4883-8EDC-0962A49F8742}" name="7" dataDxfId="283"/>
    <tableColumn id="2" xr3:uid="{A8BC0842-643E-46DE-83A2-A147C89300B6}" name="Thermal and Moisture Protection" dataDxfId="282" dataCellStyle="Normal 2"/>
    <tableColumn id="3" xr3:uid="{33C3C911-8B6F-409C-8698-71C77E813923}" name="CSI Sec" dataDxfId="281" dataCellStyle="Normal 2"/>
    <tableColumn id="4" xr3:uid="{26E5E07D-1FF0-4D28-9BFA-AD9CE909DE28}" name="Description of work" dataDxfId="280" dataCellStyle="Normal 2"/>
    <tableColumn id="5" xr3:uid="{9934754E-2BFD-4FEE-BB25-139E204E9649}" name="Original Contract" dataDxfId="279" dataCellStyle="Currency 2"/>
    <tableColumn id="6" xr3:uid="{EF33D6AF-5F24-413B-B2AE-4F16795A7267}" name="Actual Buyout" dataDxfId="278" dataCellStyle="Currency 2"/>
    <tableColumn id="7" xr3:uid="{FD674BCD-AFE3-4896-8B5B-27E179D5CBE3}" name="Change Orders" dataDxfId="277" dataCellStyle="Currency 2"/>
    <tableColumn id="8" xr3:uid="{CF10713F-ABAA-45A8-9F37-54A6B5ABE111}" name="Revised Contract" dataDxfId="276" dataCellStyle="Currency 2">
      <calculatedColumnFormula>IF(ABS(Thermal1922326132[[#This Row],[Actual Buyout]])+ABS(Thermal1922326132[[#This Row],[Change Orders]])=0,Thermal1922326132[[#This Row],[Original Contract]],Thermal1922326132[[#This Row],[Actual Buyout]]+Thermal1922326132[[#This Row],[Change Orders]])</calculatedColumnFormula>
    </tableColumn>
    <tableColumn id="9" xr3:uid="{30955482-FC8A-4546-A799-6B79E6055CEA}" name="Total completed and Stored" dataDxfId="275" dataCellStyle="Currency 2"/>
    <tableColumn id="10" xr3:uid="{F6FD692D-725D-4DBF-AE09-DDC5E5FB9622}" name="Delta" dataDxfId="274" dataCellStyle="Currency 2">
      <calculatedColumnFormula>Thermal1922326132[[#This Row],[Original Contract]]-Thermal1922326132[[#This Row],[Revised Contract]]</calculatedColumnFormula>
    </tableColumn>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84C195-76E1-4C6A-99AD-60A9A9196703}" name="Sealant2022426233" displayName="Sealant2022426233" ref="A250:J261" totalsRowShown="0" headerRowDxfId="273" dataDxfId="272" tableBorderDxfId="271" dataCellStyle="Currency 2">
  <tableColumns count="10">
    <tableColumn id="1" xr3:uid="{F4D01E8D-449B-412A-87F5-E8D7EBE10092}" name="7" dataDxfId="270"/>
    <tableColumn id="2" xr3:uid="{A5AD69BE-35BF-4020-BCB8-7B6CFA3989D8}" name="Caulking &amp; Sealants" dataDxfId="269" dataCellStyle="Normal 2"/>
    <tableColumn id="3" xr3:uid="{848379B2-A818-41E0-9821-08A1A5A8AC8B}" name="CSI Sec" dataDxfId="268" dataCellStyle="Normal 2"/>
    <tableColumn id="4" xr3:uid="{965DBF01-AC9C-4686-980C-0AEDA11EE979}" name="Description of work" dataDxfId="267" dataCellStyle="Normal 2"/>
    <tableColumn id="5" xr3:uid="{329939B0-C73B-4AC1-8F57-BE6C523392CB}" name="Original Contract" dataDxfId="266" dataCellStyle="Currency 2"/>
    <tableColumn id="6" xr3:uid="{C2B3D1B8-1F6C-4356-9827-B840D1E292CC}" name="Actual Buyout" dataDxfId="265" dataCellStyle="Currency 2"/>
    <tableColumn id="7" xr3:uid="{BE4C0C8F-F1A8-406D-9601-44B53A038588}" name="Change Orders" dataDxfId="264" dataCellStyle="Currency 2"/>
    <tableColumn id="8" xr3:uid="{9981F114-5F61-47A4-BB6B-C3E2A9C2C00D}" name="Revised Contract" dataDxfId="263" dataCellStyle="Currency 2">
      <calculatedColumnFormula>IF(ABS(Sealant2022426233[[#This Row],[Actual Buyout]])+ABS(Sealant2022426233[[#This Row],[Change Orders]])=0,Sealant2022426233[[#This Row],[Original Contract]],Sealant2022426233[[#This Row],[Actual Buyout]]+Sealant2022426233[[#This Row],[Change Orders]])</calculatedColumnFormula>
    </tableColumn>
    <tableColumn id="9" xr3:uid="{988A20D1-A2B5-4478-B326-0E5E9DA8EFB9}" name="Total completed and Stored" dataDxfId="262" dataCellStyle="Currency 2"/>
    <tableColumn id="10" xr3:uid="{153F7AFD-F09C-4C66-94BF-C7D407BDBF0C}" name="Delta" dataDxfId="261" dataCellStyle="Currency 2">
      <calculatedColumnFormula>Sealant2022426233[[#This Row],[Original Contract]]-Sealant2022426233[[#This Row],[Revised Contract]]</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8045693-7A28-4732-A4DB-F711C4118E54}" name="Glass2122526334" displayName="Glass2122526334" ref="A263:J273" totalsRowShown="0" headerRowDxfId="260" dataDxfId="259" tableBorderDxfId="258" dataCellStyle="Currency 2">
  <tableColumns count="10">
    <tableColumn id="1" xr3:uid="{97386F22-80C2-4532-9D4A-445906345324}" name="8" dataDxfId="257"/>
    <tableColumn id="2" xr3:uid="{3126FCE1-5351-4C29-9C92-E79D53770BED}" name="Glass/Glazing" dataDxfId="256" dataCellStyle="Normal 2"/>
    <tableColumn id="3" xr3:uid="{3A6B4095-CBBE-46BF-B347-C952C258EB2D}" name="CSI Sec" dataDxfId="255" dataCellStyle="Normal 2"/>
    <tableColumn id="4" xr3:uid="{0152E73A-0A4E-4529-8C1B-813866F41BEA}" name="Description of work" dataDxfId="254" dataCellStyle="Normal 2"/>
    <tableColumn id="5" xr3:uid="{71ACA5E3-7BCB-427A-9E67-BD0A67B62A3A}" name="Original Contract" dataDxfId="253" dataCellStyle="Currency 2"/>
    <tableColumn id="6" xr3:uid="{9F89E103-2BD4-4EDA-A575-A3D06399D82B}" name="Actual Buyout" dataDxfId="252" dataCellStyle="Currency 2"/>
    <tableColumn id="7" xr3:uid="{FBBD4B55-876C-424C-B308-3D9132C33761}" name="Change Orders" dataDxfId="251" dataCellStyle="Currency 2"/>
    <tableColumn id="8" xr3:uid="{58A58BE4-4082-4368-8359-CD254B094F45}" name="Revised Contract" dataDxfId="250" dataCellStyle="Currency 2">
      <calculatedColumnFormula>IF(ABS(Glass2122526334[[#This Row],[Actual Buyout]])+ABS(Glass2122526334[[#This Row],[Change Orders]])=0,Glass2122526334[[#This Row],[Original Contract]],Glass2122526334[[#This Row],[Actual Buyout]]+Glass2122526334[[#This Row],[Change Orders]])</calculatedColumnFormula>
    </tableColumn>
    <tableColumn id="9" xr3:uid="{954BDD1F-2EBE-4D38-B2DA-ECF17B975C71}" name="Total completed and Stored" dataDxfId="249" dataCellStyle="Currency 2"/>
    <tableColumn id="10" xr3:uid="{B1B08501-2E86-4FBC-A01A-28BAA66DCD37}" name="Delta" dataDxfId="248" dataCellStyle="Currency 2">
      <calculatedColumnFormula>Glass2122526334[[#This Row],[Original Contract]]-Glass2122526334[[#This Row],[Revised Contract]]</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827F3B7-0834-447C-BF2A-05F24DE378DE}" name="DockDoors2222626435" displayName="DockDoors2222626435" ref="A275:J283" totalsRowShown="0" headerRowDxfId="247" dataDxfId="246" tableBorderDxfId="245" dataCellStyle="Currency 2">
  <tableColumns count="10">
    <tableColumn id="1" xr3:uid="{030BEB00-D72F-4E6F-BF0D-B60E098C6912}" name="8" dataDxfId="244"/>
    <tableColumn id="2" xr3:uid="{6687D8DD-F5F6-469E-90CE-8AE05BC4C561}" name="Dock &amp; Drive in Doors" dataDxfId="243" dataCellStyle="Normal 2"/>
    <tableColumn id="3" xr3:uid="{8CA26AB5-E93F-441F-B2DA-C696FC2FE904}" name="CSI Sec" dataDxfId="242" dataCellStyle="Normal 2"/>
    <tableColumn id="4" xr3:uid="{11F0F499-1EA3-4002-AF86-9FEAD749545B}" name="Description of work" dataDxfId="241" dataCellStyle="Normal 2"/>
    <tableColumn id="5" xr3:uid="{34F0FB6C-99A0-491C-B14A-1EA72EC08B92}" name="Original Contract" dataDxfId="240" dataCellStyle="Currency 2"/>
    <tableColumn id="6" xr3:uid="{9CBC27EB-74C3-46B2-B48F-54C13C1886C4}" name="Actual Buyout" dataDxfId="239" dataCellStyle="Currency 2"/>
    <tableColumn id="7" xr3:uid="{20CB33F8-F32C-4C3A-BC04-3518E5E168D0}" name="Change Orders" dataDxfId="238" dataCellStyle="Currency 2"/>
    <tableColumn id="8" xr3:uid="{5697BB2B-8897-49E9-9693-C8E238B6515B}" name="Revised Contract" dataDxfId="237" dataCellStyle="Currency 2">
      <calculatedColumnFormula>IF(ABS(DockDoors2222626435[[#This Row],[Actual Buyout]])+ABS(DockDoors2222626435[[#This Row],[Change Orders]])=0,DockDoors2222626435[[#This Row],[Original Contract]],DockDoors2222626435[[#This Row],[Actual Buyout]]+DockDoors2222626435[[#This Row],[Change Orders]])</calculatedColumnFormula>
    </tableColumn>
    <tableColumn id="9" xr3:uid="{59C7AD2C-277A-4BAD-A309-F95C0D1FA975}" name="Total completed and Stored" dataDxfId="236" dataCellStyle="Currency 2"/>
    <tableColumn id="10" xr3:uid="{573AC0D8-A828-408E-8BFE-A83A1E47D187}" name="Delta" dataDxfId="235" dataCellStyle="Currency 2">
      <calculatedColumnFormula>DockDoors2222626435[[#This Row],[Original Contract]]-DockDoors2222626435[[#This Row],[Revised Contract]]</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6BF3F00-4B12-4147-9146-E5AA5D98CC5C}" name="Doors2322726536" displayName="Doors2322726536" ref="A285:J293" totalsRowShown="0" headerRowDxfId="234" dataDxfId="233" tableBorderDxfId="232" dataCellStyle="Currency 2">
  <tableColumns count="10">
    <tableColumn id="1" xr3:uid="{C5F0C9CB-9C22-4C08-B90B-C5FAEF74B652}" name="8" dataDxfId="231"/>
    <tableColumn id="2" xr3:uid="{02193AB8-860D-4C3C-BAD1-3EC8B6D8F951}" name="Doors, Frames, &amp; Hardware" dataDxfId="230" dataCellStyle="Normal 2"/>
    <tableColumn id="3" xr3:uid="{2DA699BD-77CA-45D4-800C-EB5D350298C4}" name="CSI Sec" dataDxfId="229" dataCellStyle="Normal 2"/>
    <tableColumn id="4" xr3:uid="{548C2C20-6852-44D8-9B69-9B3B56E6C2E9}" name="Description of work" dataDxfId="228" dataCellStyle="Normal 2"/>
    <tableColumn id="5" xr3:uid="{E5240984-531D-4F7D-923E-E361AB17D07D}" name="Original Contract" dataDxfId="227" dataCellStyle="Currency 2"/>
    <tableColumn id="6" xr3:uid="{5E69DE1C-A568-4264-8ADC-AACB8D657501}" name="Actual Buyout" dataDxfId="226" dataCellStyle="Currency 2"/>
    <tableColumn id="7" xr3:uid="{69D5DAF2-BCDF-4515-A6C9-C750F39A90A3}" name="Change Orders" dataDxfId="225" dataCellStyle="Currency 2"/>
    <tableColumn id="8" xr3:uid="{550E0AED-A86D-403F-9AD6-B34DFE9CEBD8}" name="Revised Contract" dataDxfId="224" dataCellStyle="Currency 2">
      <calculatedColumnFormula>IF(ABS(Doors2322726536[[#This Row],[Actual Buyout]])+ABS(Doors2322726536[[#This Row],[Change Orders]])=0,Doors2322726536[[#This Row],[Original Contract]],Doors2322726536[[#This Row],[Actual Buyout]]+Doors2322726536[[#This Row],[Change Orders]])</calculatedColumnFormula>
    </tableColumn>
    <tableColumn id="9" xr3:uid="{5158813D-CC21-4936-B3B1-338ED14AEBC2}" name="Total completed and Stored" dataDxfId="223" dataCellStyle="Currency 2"/>
    <tableColumn id="10" xr3:uid="{E84E0E86-640B-4A72-8546-EB3FB69B8CBC}" name="Delta" dataDxfId="222" dataCellStyle="Currency 2">
      <calculatedColumnFormula>Doors2322726536[[#This Row],[Original Contract]]-Doors2322726536[[#This Row],[Revised Contract]]</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96351C8-3A79-4DDF-824D-4BAA4BD67143}" name="Walls2422826637" displayName="Walls2422826637" ref="A295:J305" totalsRowShown="0" headerRowDxfId="221" dataDxfId="220" tableBorderDxfId="219" dataCellStyle="Currency 2">
  <tableColumns count="10">
    <tableColumn id="1" xr3:uid="{3F1A1E54-AD66-485C-B073-1C3C973DDBF6}" name="9" dataDxfId="218"/>
    <tableColumn id="2" xr3:uid="{52DA3B81-DCAF-4915-BD1A-42F1DA85A01E}" name="Metal Framing, Drywall, Acoustical" dataDxfId="217" dataCellStyle="Normal 2"/>
    <tableColumn id="3" xr3:uid="{EA7B3F7B-C584-4CF9-89ED-DDF92BF21454}" name="CSI Sec" dataDxfId="216" dataCellStyle="Normal 2"/>
    <tableColumn id="4" xr3:uid="{0C60FB14-CA14-4467-9A8B-D52D412C6A36}" name="Description of work" dataDxfId="215" dataCellStyle="Normal 2"/>
    <tableColumn id="5" xr3:uid="{749E202A-C811-44F2-B7EC-A63A5A451E42}" name="Original Contract" dataDxfId="214" dataCellStyle="Currency 2"/>
    <tableColumn id="6" xr3:uid="{812DBABE-C551-460F-90E5-99A938073BAE}" name="Actual Buyout" dataDxfId="213" dataCellStyle="Currency 2"/>
    <tableColumn id="7" xr3:uid="{0AE0187C-98B9-4620-B220-7E59DEDC0BAC}" name="Change Orders" dataDxfId="212" dataCellStyle="Currency 2"/>
    <tableColumn id="8" xr3:uid="{514F32A8-A902-4769-999E-5F97243B8165}" name="Revised Contract" dataDxfId="211" dataCellStyle="Currency 2">
      <calculatedColumnFormula>IF(ABS(Walls2422826637[[#This Row],[Actual Buyout]])+ABS(Walls2422826637[[#This Row],[Change Orders]])=0,Walls2422826637[[#This Row],[Original Contract]],Walls2422826637[[#This Row],[Actual Buyout]]+Walls2422826637[[#This Row],[Change Orders]])</calculatedColumnFormula>
    </tableColumn>
    <tableColumn id="9" xr3:uid="{71C420F0-D3CD-4608-B379-DAF8258FDE2C}" name="Total completed and Stored" dataDxfId="210" dataCellStyle="Currency 2"/>
    <tableColumn id="10" xr3:uid="{7357775D-C56D-41EB-BF04-6F7665C06BB1}" name="Delta" dataDxfId="209" dataCellStyle="Currency 2">
      <calculatedColumnFormula>Walls2422826637[[#This Row],[Original Contract]]-Walls2422826637[[#This Row],[Revised Contract]]</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1EFD88E-B99A-4357-92B7-D53343B97D6B}" name="Flooring2522926738" displayName="Flooring2522926738" ref="A307:J315" totalsRowShown="0" headerRowDxfId="208" dataDxfId="207" tableBorderDxfId="206" dataCellStyle="Currency 2">
  <tableColumns count="10">
    <tableColumn id="1" xr3:uid="{5D782A45-A197-4613-823C-31819ED350E6}" name="9" dataDxfId="205"/>
    <tableColumn id="2" xr3:uid="{F6061027-02A3-41E1-86D8-90E02671F350}" name="Flooring" dataDxfId="204" dataCellStyle="Normal 2"/>
    <tableColumn id="3" xr3:uid="{37A3A261-0C7F-4BC6-9405-470DD8E77954}" name="CSI Sec" dataDxfId="203" dataCellStyle="Normal 2"/>
    <tableColumn id="4" xr3:uid="{291903F5-3787-46F8-AEDC-841D3B84CBAF}" name="Description of work" dataDxfId="202" dataCellStyle="Normal 2"/>
    <tableColumn id="5" xr3:uid="{3D12DCA1-1445-4FD8-BBCF-837A54D0EB20}" name="Original Contract" dataDxfId="201" dataCellStyle="Currency 2"/>
    <tableColumn id="6" xr3:uid="{DEA26C13-AF4B-4252-9642-0491189F3C18}" name="Actual Buyout" dataDxfId="200" dataCellStyle="Currency 2"/>
    <tableColumn id="7" xr3:uid="{14B9B452-36D8-4541-A76D-498E7789ACCC}" name="Change Orders" dataDxfId="199" dataCellStyle="Currency 2"/>
    <tableColumn id="8" xr3:uid="{ED80DBFA-2202-4E2B-AA9B-DAA29C8AF388}" name="Revised Contract" dataDxfId="198" dataCellStyle="Currency 2">
      <calculatedColumnFormula>IF(ABS(Flooring2522926738[[#This Row],[Actual Buyout]])+ABS(Flooring2522926738[[#This Row],[Change Orders]])=0,Flooring2522926738[[#This Row],[Original Contract]],Flooring2522926738[[#This Row],[Actual Buyout]]+Flooring2522926738[[#This Row],[Change Orders]])</calculatedColumnFormula>
    </tableColumn>
    <tableColumn id="9" xr3:uid="{CC60237C-12CF-4B37-BC60-B6247E128C21}" name="Total completed and Stored" dataDxfId="197" dataCellStyle="Currency 2"/>
    <tableColumn id="10" xr3:uid="{B1571E9B-AAC0-4DEA-8810-8A525DED773A}" name="Delta" dataDxfId="196" dataCellStyle="Currency 2">
      <calculatedColumnFormula>Flooring2522926738[[#This Row],[Original Contract]]-Flooring2522926738[[#This Row],[Revised Contract]]</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4C19EE9-2C99-4F90-A200-E05CF7161186}" name="Paint2623026839" displayName="Paint2623026839" ref="A317:J329" totalsRowShown="0" headerRowDxfId="195" dataDxfId="194" tableBorderDxfId="193" dataCellStyle="Currency 2">
  <tableColumns count="10">
    <tableColumn id="1" xr3:uid="{B77A8486-D4AC-4C9B-B412-80E0564664E1}" name="9" dataDxfId="192"/>
    <tableColumn id="2" xr3:uid="{5F28838C-2735-4C2E-9AEE-745A5286857C}" name="Painting &amp; Coatings" dataDxfId="191" dataCellStyle="Normal 2"/>
    <tableColumn id="3" xr3:uid="{F9DDC38F-93EA-4647-8670-2418974BF435}" name="CSI Sec" dataDxfId="190" dataCellStyle="Normal 2"/>
    <tableColumn id="4" xr3:uid="{69F08F65-56C9-4AFD-AA54-49435C3A2649}" name="Description of work" dataDxfId="189" dataCellStyle="Normal 2"/>
    <tableColumn id="5" xr3:uid="{87AA2347-312B-45EC-8227-485D0C610554}" name="Original Contract" dataDxfId="188" dataCellStyle="Currency 2"/>
    <tableColumn id="6" xr3:uid="{A7AC419C-1643-4F16-B8A8-8B3DD3C66EB5}" name="Actual Buyout" dataDxfId="187" dataCellStyle="Currency 2"/>
    <tableColumn id="7" xr3:uid="{93678253-3B61-4E91-96FB-8D972FEA1968}" name="Change Orders" dataDxfId="186" dataCellStyle="Currency 2"/>
    <tableColumn id="8" xr3:uid="{209DDE3F-3AA4-473B-91DF-8B381D76BFB2}" name="Revised Contract" dataDxfId="185" dataCellStyle="Currency 2">
      <calculatedColumnFormula>IF(ABS(Paint2623026839[[#This Row],[Actual Buyout]])+ABS(Paint2623026839[[#This Row],[Change Orders]])=0,Paint2623026839[[#This Row],[Original Contract]],Paint2623026839[[#This Row],[Actual Buyout]]+Paint2623026839[[#This Row],[Change Orders]])</calculatedColumnFormula>
    </tableColumn>
    <tableColumn id="9" xr3:uid="{DDCED9D8-F7D2-479B-9D6D-8C20B6D36D50}" name="Total completed and Stored" dataDxfId="184" dataCellStyle="Currency 2"/>
    <tableColumn id="10" xr3:uid="{86571458-E4A6-458F-86DE-2B7BD6688E24}" name="Delta" dataDxfId="183" dataCellStyle="Currency 2">
      <calculatedColumnFormula>Paint2623026839[[#This Row],[Original Contract]]-Paint2623026839[[#This Row],[Revised Contract]]</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CAAC893-FABC-42FB-9D5A-7D5F726A1213}" name="Specialties2723126940" displayName="Specialties2723126940" ref="A331:J355" totalsRowShown="0" headerRowDxfId="182" dataDxfId="181" tableBorderDxfId="180" dataCellStyle="Currency 2">
  <tableColumns count="10">
    <tableColumn id="1" xr3:uid="{F31424BD-9275-4DCB-AD62-88E283F26C6E}" name="10" dataDxfId="179"/>
    <tableColumn id="2" xr3:uid="{7F88CA1E-9428-488A-BFBD-E2EF4B85A681}" name="Specialties " dataDxfId="178" dataCellStyle="Normal 2"/>
    <tableColumn id="3" xr3:uid="{311E14F2-9A3F-4984-8DDB-0C41604C439A}" name="CSI Sec" dataDxfId="177" dataCellStyle="Normal 2"/>
    <tableColumn id="4" xr3:uid="{C5D4FC7E-6263-4A71-8516-37292F471094}" name="Description of work" dataDxfId="176" dataCellStyle="Normal 2"/>
    <tableColumn id="5" xr3:uid="{B89FECB6-5A87-436F-92D2-000A2F8DEEBD}" name="Original Contract" dataDxfId="175" dataCellStyle="Currency 2"/>
    <tableColumn id="6" xr3:uid="{396E23CD-CBD0-4D06-9768-127BE197E47A}" name="Actual Buyout" dataDxfId="174" dataCellStyle="Currency 2"/>
    <tableColumn id="7" xr3:uid="{BC03E56C-7925-451C-A168-3EA14E736969}" name="Change Orders" dataDxfId="173" dataCellStyle="Currency 2"/>
    <tableColumn id="8" xr3:uid="{CA578607-BA67-4264-AC4E-8E0098C3898F}" name="Revised Contract" dataDxfId="172" dataCellStyle="Currency 2">
      <calculatedColumnFormula>IF(ABS(Specialties2723126940[[#This Row],[Actual Buyout]])+ABS(Specialties2723126940[[#This Row],[Change Orders]])=0,Specialties2723126940[[#This Row],[Original Contract]],Specialties2723126940[[#This Row],[Actual Buyout]]+Specialties2723126940[[#This Row],[Change Orders]])</calculatedColumnFormula>
    </tableColumn>
    <tableColumn id="9" xr3:uid="{BE8D98DB-981C-43D0-8B07-B4A508838D19}" name="Total completed and Stored" dataDxfId="171" dataCellStyle="Currency 2"/>
    <tableColumn id="10" xr3:uid="{B667BAD6-68E2-4EAA-8CE8-70C8AA3450E8}" name="Delta" dataDxfId="170" dataCellStyle="Currency 2">
      <calculatedColumnFormula>Specialties2723126940[[#This Row],[Original Contract]]-Specialties2723126940[[#This Row],[Revised Contract]]</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BAA1EA3-660B-4165-852F-B23F8F1B8681}" name="DockEquip2823227041" displayName="DockEquip2823227041" ref="A357:J371" totalsRowShown="0" headerRowDxfId="169" dataDxfId="168" tableBorderDxfId="167" dataCellStyle="Currency 2">
  <tableColumns count="10">
    <tableColumn id="1" xr3:uid="{A5F12885-8729-484B-843E-ED5DA81E8C30}" name="11" dataDxfId="166"/>
    <tableColumn id="2" xr3:uid="{F55DA029-24CA-4F77-A4A9-11CB0A8C9186}" name="Dock Equipment" dataDxfId="165" dataCellStyle="Normal 2"/>
    <tableColumn id="3" xr3:uid="{A765C9A6-0F82-48E3-8012-09AC741501D9}" name="CSI Sec" dataDxfId="164" dataCellStyle="Normal 2"/>
    <tableColumn id="4" xr3:uid="{1196A135-E954-4819-A7B8-91F6A09DCE76}" name="Description of work" dataDxfId="163" dataCellStyle="Normal 2"/>
    <tableColumn id="5" xr3:uid="{E6FFA5B1-D762-4E72-932B-EF5E946F919C}" name="Original Contract" dataDxfId="162" dataCellStyle="Currency 2"/>
    <tableColumn id="6" xr3:uid="{94B3587A-262B-4022-965A-678D79D7B267}" name="Actual Buyout" dataDxfId="161" dataCellStyle="Currency 2"/>
    <tableColumn id="7" xr3:uid="{FF3D9D16-D17E-4285-BCE6-EB9D4101E8E3}" name="Change Orders" dataDxfId="160" dataCellStyle="Currency 2"/>
    <tableColumn id="8" xr3:uid="{A4F870DD-E3C1-4450-B4DC-B67CAE500FEB}" name="Revised Contract" dataDxfId="159" dataCellStyle="Currency 2">
      <calculatedColumnFormula>IF(ABS(DockEquip2823227041[[#This Row],[Actual Buyout]])+ABS(DockEquip2823227041[[#This Row],[Change Orders]])=0,DockEquip2823227041[[#This Row],[Original Contract]],DockEquip2823227041[[#This Row],[Actual Buyout]]+DockEquip2823227041[[#This Row],[Change Orders]])</calculatedColumnFormula>
    </tableColumn>
    <tableColumn id="9" xr3:uid="{76983751-F872-443A-8ADD-A6BB261DFF6E}" name="Total completed and Stored" dataDxfId="158" dataCellStyle="Currency 2"/>
    <tableColumn id="10" xr3:uid="{662EA97E-5DFC-49E7-9B63-169504431CEE}" name="Delta" dataDxfId="157" dataCellStyle="Currency 2">
      <calculatedColumnFormula>DockEquip2823227041[[#This Row],[Original Contract]]-DockEquip2823227041[[#This Row],[Revised Contract]]</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AEBA6C24-2178-43E5-BB06-B28208FADF49}" name="Furnishings2923327142" displayName="Furnishings2923327142" ref="A373:J379" totalsRowShown="0" headerRowDxfId="156" dataDxfId="155" tableBorderDxfId="154" dataCellStyle="Currency 2">
  <tableColumns count="10">
    <tableColumn id="1" xr3:uid="{45AE2981-81AB-4A51-A310-1AC40456995A}" name="12" dataDxfId="153"/>
    <tableColumn id="2" xr3:uid="{9A1E6735-0643-440E-B006-B64C5D61E705}" name="Furnishings" dataDxfId="152" dataCellStyle="Normal 2"/>
    <tableColumn id="3" xr3:uid="{38718B88-E00F-48B0-AEF5-91038B5C9B8C}" name="CSI Sec" dataDxfId="151" dataCellStyle="Normal 2"/>
    <tableColumn id="4" xr3:uid="{2A204556-199C-488E-83AF-AEBD86C8646E}" name="Description of work" dataDxfId="150" dataCellStyle="Normal 2"/>
    <tableColumn id="5" xr3:uid="{F857C7A6-902C-4E0C-B121-A2156A85C08F}" name="Original Contract" dataDxfId="149" dataCellStyle="Currency 2"/>
    <tableColumn id="6" xr3:uid="{6E7743C0-D77A-4DA0-AF13-9B09CD526671}" name="Actual Buyout" dataDxfId="148" dataCellStyle="Currency 2"/>
    <tableColumn id="7" xr3:uid="{67FFD10F-B27A-44A9-B341-D84B771947DF}" name="Change Orders" dataDxfId="147" dataCellStyle="Currency 2"/>
    <tableColumn id="8" xr3:uid="{5FCF2F14-0E87-416E-83DC-75C5ED872A39}" name="Revised Contract" dataDxfId="146" dataCellStyle="Currency 2">
      <calculatedColumnFormula>IF(ABS(Furnishings2923327142[[#This Row],[Actual Buyout]])+ABS(Furnishings2923327142[[#This Row],[Change Orders]])=0,Furnishings2923327142[[#This Row],[Original Contract]],Furnishings2923327142[[#This Row],[Actual Buyout]]+Furnishings2923327142[[#This Row],[Change Orders]])</calculatedColumnFormula>
    </tableColumn>
    <tableColumn id="9" xr3:uid="{CCE3BA90-2E46-4E9F-997A-7E477C9DDD29}" name="Total completed and Stored" dataDxfId="145" dataCellStyle="Currency 2"/>
    <tableColumn id="10" xr3:uid="{F665EB39-7015-4EFA-8229-30B2A73DB98A}" name="Delta" dataDxfId="144" dataCellStyle="Currency 2">
      <calculatedColumnFormula>Furnishings2923327142[[#This Row],[Original Contract]]-Furnishings2923327142[[#This Row],[Revised Contract]]</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F176C92-1965-413E-9E8D-42E35AF01DE5}" name="SpecConst3023427243" displayName="SpecConst3023427243" ref="A381:J388" totalsRowShown="0" headerRowDxfId="143" dataDxfId="142" tableBorderDxfId="141" dataCellStyle="Currency 2">
  <tableColumns count="10">
    <tableColumn id="1" xr3:uid="{12FB50C2-165E-4925-9204-181C7C95F017}" name="13" dataDxfId="140"/>
    <tableColumn id="2" xr3:uid="{54F8EC2D-28CB-4853-87DC-71B5D9C63119}" name="Special Construction" dataDxfId="139" dataCellStyle="Normal 2"/>
    <tableColumn id="3" xr3:uid="{E582940A-36AD-4EB2-8236-3D3A5AEFDF9F}" name="CSI Sec" dataDxfId="138" dataCellStyle="Normal 2"/>
    <tableColumn id="4" xr3:uid="{9F3526DE-2F3D-4441-A693-17F6C2BDFA53}" name="Description of work" dataDxfId="137" dataCellStyle="Normal 2"/>
    <tableColumn id="5" xr3:uid="{AC3699EA-04FA-452A-A846-E98B4BD5A1C3}" name="Original Contract" dataDxfId="136" dataCellStyle="Currency 2"/>
    <tableColumn id="6" xr3:uid="{0EE3C799-FE93-4814-8713-E9538F58307C}" name="Actual Buyout" dataDxfId="135" dataCellStyle="Currency 2"/>
    <tableColumn id="7" xr3:uid="{9EC08C19-E290-4E9D-95D5-2428EA48EB8C}" name="Change Orders" dataDxfId="134" dataCellStyle="Currency 2"/>
    <tableColumn id="8" xr3:uid="{D95749E9-E1BA-421A-9F75-554AFEC31EAB}" name="Revised Contract" dataDxfId="133" dataCellStyle="Currency 2">
      <calculatedColumnFormula>IF(ABS(SpecConst3023427243[[#This Row],[Actual Buyout]])+ABS(SpecConst3023427243[[#This Row],[Change Orders]])=0,SpecConst3023427243[[#This Row],[Original Contract]],SpecConst3023427243[[#This Row],[Actual Buyout]]+SpecConst3023427243[[#This Row],[Change Orders]])</calculatedColumnFormula>
    </tableColumn>
    <tableColumn id="9" xr3:uid="{E0303159-6865-4976-98F8-4BF4E0D08402}" name="Total completed and Stored" dataDxfId="132" dataCellStyle="Currency 2"/>
    <tableColumn id="10" xr3:uid="{C5F6F61D-50E5-427E-8FB3-63FAA582D647}" name="Delta" dataDxfId="131" dataCellStyle="Currency 2">
      <calculatedColumnFormula>SpecConst3023427243[[#This Row],[Original Contract]]-SpecConst3023427243[[#This Row],[Revised Contract]]</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6E1AE86-909F-4F42-8735-27D100A9AB2B}" name="Elevators3123527344" displayName="Elevators3123527344" ref="A390:J397" totalsRowShown="0" headerRowDxfId="130" dataDxfId="129" tableBorderDxfId="128" dataCellStyle="Currency 2">
  <tableColumns count="10">
    <tableColumn id="1" xr3:uid="{ED6A2F2A-ED11-4D95-8DB4-B5884D501F25}" name="14" dataDxfId="127"/>
    <tableColumn id="2" xr3:uid="{CB567AFD-C085-49C7-8319-6CA544C2004A}" name="Elevators" dataDxfId="126" dataCellStyle="Normal 2"/>
    <tableColumn id="3" xr3:uid="{C6BC6445-FB5E-4A1F-909D-25914F6F094C}" name="CSI Sec" dataDxfId="125" dataCellStyle="Normal 2"/>
    <tableColumn id="4" xr3:uid="{284133D5-3AA0-4FF8-9184-06A6AF7F5E22}" name="Description of work" dataDxfId="124" dataCellStyle="Normal 2"/>
    <tableColumn id="5" xr3:uid="{F845ED80-FCFE-4B2F-86D5-7CD55E5E7F8B}" name="Original Contract" dataDxfId="123" dataCellStyle="Currency 2"/>
    <tableColumn id="6" xr3:uid="{0DA141A0-FDD5-4090-BCEC-A117C8E6AB4D}" name="Actual Buyout" dataDxfId="122" dataCellStyle="Currency 2"/>
    <tableColumn id="7" xr3:uid="{0B84D99F-7909-4F47-BEA6-3E5658C43343}" name="Change Orders" dataDxfId="121" dataCellStyle="Currency 2"/>
    <tableColumn id="8" xr3:uid="{62ECCBA1-128E-4A48-B6B8-5FA2999ADD4D}" name="Revised Contract" dataDxfId="120" dataCellStyle="Currency 2">
      <calculatedColumnFormula>IF(ABS(Elevators3123527344[[#This Row],[Actual Buyout]])+ABS(Elevators3123527344[[#This Row],[Change Orders]])=0,Elevators3123527344[[#This Row],[Original Contract]],Elevators3123527344[[#This Row],[Actual Buyout]]+Elevators3123527344[[#This Row],[Change Orders]])</calculatedColumnFormula>
    </tableColumn>
    <tableColumn id="9" xr3:uid="{CB1A9648-FD45-4CD2-9A5C-3A8548B37327}" name="Total completed and Stored" dataDxfId="119" dataCellStyle="Currency 2"/>
    <tableColumn id="10" xr3:uid="{456CC46D-762A-4CCD-844C-13311ED2E2D5}" name="Delta" dataDxfId="118" dataCellStyle="Currency 2">
      <calculatedColumnFormula>Elevators3123527344[[#This Row],[Original Contract]]-Elevators3123527344[[#This Row],[Revised Contract]]</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FCE7DA6-18FE-4763-BB81-8C435254ADC5}" name="Fire3223627445" displayName="Fire3223627445" ref="A399:J414" totalsRowShown="0" headerRowDxfId="117" dataDxfId="116" tableBorderDxfId="115" dataCellStyle="Currency 2">
  <tableColumns count="10">
    <tableColumn id="1" xr3:uid="{D2A1D8BC-471E-45F5-8F04-5DEF73DF2D88}" name="21" dataDxfId="114"/>
    <tableColumn id="2" xr3:uid="{EDB7EFF7-300A-410C-B6C8-4AE423A4A1A8}" name="Fire Suppression" dataDxfId="113" dataCellStyle="Normal 2"/>
    <tableColumn id="3" xr3:uid="{883349BA-E8C2-4CE3-A2B5-ADAC554C17A2}" name="CSI Sec" dataDxfId="112" dataCellStyle="Normal 2"/>
    <tableColumn id="4" xr3:uid="{900D80B1-436C-4509-A9EF-D643A072EFD4}" name="Description of work" dataDxfId="111" dataCellStyle="Normal 2"/>
    <tableColumn id="5" xr3:uid="{F84C24A8-043A-4F88-BED4-39F1E1BD90B2}" name="Original Contract" dataDxfId="110" dataCellStyle="Currency 2"/>
    <tableColumn id="6" xr3:uid="{1C00808C-53B2-45C4-8CA0-43DDE9598A68}" name="Actual Buyout" dataDxfId="109" dataCellStyle="Currency 2"/>
    <tableColumn id="7" xr3:uid="{1890ACE5-C4E6-480D-9FB4-0F627AE43178}" name="Change Orders" dataDxfId="108" dataCellStyle="Currency 2"/>
    <tableColumn id="8" xr3:uid="{A2F02CA2-EC82-4B53-8CEC-3B2FA2EA96B1}" name="Revised Contract" dataDxfId="107" dataCellStyle="Currency 2">
      <calculatedColumnFormula>IF(ABS(Fire3223627445[[#This Row],[Actual Buyout]])+ABS(Fire3223627445[[#This Row],[Change Orders]])=0,Fire3223627445[[#This Row],[Original Contract]],Fire3223627445[[#This Row],[Actual Buyout]]+Fire3223627445[[#This Row],[Change Orders]])</calculatedColumnFormula>
    </tableColumn>
    <tableColumn id="9" xr3:uid="{2D6D4640-09B5-4677-9DC0-54FB2E5B6B79}" name="Total completed and Stored" dataDxfId="106" dataCellStyle="Currency 2"/>
    <tableColumn id="10" xr3:uid="{76CA8A12-2B46-49B4-BE25-CCB20E4A35C1}" name="Delta" dataDxfId="105" dataCellStyle="Currency 2">
      <calculatedColumnFormula>Fire3223627445[[#This Row],[Original Contract]]-Fire3223627445[[#This Row],[Revised Contract]]</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EFE85F8-5008-4F23-AA28-AD7065B71454}" name="Plumbing3323727546" displayName="Plumbing3323727546" ref="A416:J428" totalsRowShown="0" headerRowDxfId="104" dataDxfId="103" tableBorderDxfId="102" dataCellStyle="Currency 2">
  <tableColumns count="10">
    <tableColumn id="1" xr3:uid="{7794E4C7-5415-4846-AFAB-103D392574BA}" name="22" dataDxfId="101"/>
    <tableColumn id="2" xr3:uid="{5BA08C75-DDE1-48A4-8F65-2EB6CE03228B}" name="Plumbing" dataDxfId="100" dataCellStyle="Normal 2"/>
    <tableColumn id="3" xr3:uid="{C1E950C6-F8E1-438C-B8A2-2407E5331300}" name="CSI Sec" dataDxfId="99" dataCellStyle="Normal 2"/>
    <tableColumn id="4" xr3:uid="{6030A2C0-FF8F-4F1D-AE1D-76F2B68A2274}" name="Description of work" dataDxfId="98" dataCellStyle="Normal 2"/>
    <tableColumn id="5" xr3:uid="{013D0DA1-C9C4-436B-8A92-B5371623D8B0}" name="Original Contract" dataDxfId="97" dataCellStyle="Currency 2"/>
    <tableColumn id="6" xr3:uid="{32FFC070-D4F2-478D-B8F6-ECAC8475B663}" name="Actual Buyout" dataDxfId="96" dataCellStyle="Currency 2"/>
    <tableColumn id="7" xr3:uid="{B44E6DAF-EF1F-4126-B202-C123E201C19A}" name="Change Orders" dataDxfId="95" dataCellStyle="Currency 2"/>
    <tableColumn id="8" xr3:uid="{10E88658-CEA0-4B4D-B791-9D403552404B}" name="Revised Contract" dataDxfId="94" dataCellStyle="Currency 2">
      <calculatedColumnFormula>IF(ABS(Plumbing3323727546[[#This Row],[Actual Buyout]])+ABS(Plumbing3323727546[[#This Row],[Change Orders]])=0,Plumbing3323727546[[#This Row],[Original Contract]],Plumbing3323727546[[#This Row],[Actual Buyout]]+Plumbing3323727546[[#This Row],[Change Orders]])</calculatedColumnFormula>
    </tableColumn>
    <tableColumn id="9" xr3:uid="{C89497E6-F296-44B9-964C-A4C315421372}" name="Total completed and Stored" dataDxfId="93" dataCellStyle="Currency 2"/>
    <tableColumn id="10" xr3:uid="{ACBB6D48-066D-46A1-BD4F-9B5BE2E232C5}" name="Delta" dataDxfId="92" dataCellStyle="Currency 2">
      <calculatedColumnFormula>Plumbing3323727546[[#This Row],[Original Contract]]-Plumbing3323727546[[#This Row],[Revised Contract]]</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9D454BD-6C15-4411-AF8B-2A86888F3C9D}" name="HVAC3423827647" displayName="HVAC3423827647" ref="A430:J442" totalsRowShown="0" headerRowDxfId="91" dataDxfId="90" tableBorderDxfId="89" dataCellStyle="Currency 2">
  <tableColumns count="10">
    <tableColumn id="1" xr3:uid="{7B05E98A-491A-4051-A761-EADCDEFD01FA}" name="23" dataDxfId="88"/>
    <tableColumn id="2" xr3:uid="{21D4AB67-6CEF-4814-9BA2-59C5216FB8A6}" name="HVAC" dataDxfId="87" dataCellStyle="Normal 2"/>
    <tableColumn id="3" xr3:uid="{8CAB0D94-2773-4F92-B3D2-246AA9E58B22}" name="CSI Sec" dataDxfId="86" dataCellStyle="Normal 2"/>
    <tableColumn id="4" xr3:uid="{C23576D5-7264-4ED1-AD97-318CC4D41571}" name="Description of work" dataDxfId="85" dataCellStyle="Normal 2"/>
    <tableColumn id="5" xr3:uid="{1F812BCB-C266-4080-91E0-83BEB72ED5B1}" name="Original Contract" dataDxfId="84" dataCellStyle="Currency 2"/>
    <tableColumn id="6" xr3:uid="{EE40C341-4F71-433A-B398-D5AFA61F6FAF}" name="Actual Buyout" dataDxfId="83" dataCellStyle="Currency 2"/>
    <tableColumn id="7" xr3:uid="{6F353FEC-1955-4DF5-B74A-C19AE71C56D8}" name="Change Orders" dataDxfId="82" dataCellStyle="Currency 2"/>
    <tableColumn id="8" xr3:uid="{5C6ADA87-8784-483F-9758-79B0CCEFADCD}" name="Revised Contract" dataDxfId="81" dataCellStyle="Currency 2">
      <calculatedColumnFormula>IF(ABS(HVAC3423827647[[#This Row],[Actual Buyout]])+ABS(HVAC3423827647[[#This Row],[Change Orders]])=0,HVAC3423827647[[#This Row],[Original Contract]],HVAC3423827647[[#This Row],[Actual Buyout]]+HVAC3423827647[[#This Row],[Change Orders]])</calculatedColumnFormula>
    </tableColumn>
    <tableColumn id="9" xr3:uid="{F2D7C477-5366-4600-BC5A-8F72AC3BE522}" name="Total completed and Stored" dataDxfId="80" dataCellStyle="Currency 2"/>
    <tableColumn id="10" xr3:uid="{F4C75BC4-FE72-40E4-B82C-78CA84A84934}" name="Delta" dataDxfId="79" dataCellStyle="Currency 2">
      <calculatedColumnFormula>HVAC3423827647[[#This Row],[Original Contract]]-HVAC3423827647[[#This Row],[Revised Contract]]</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1A6FB699-5535-490D-B614-A51B32BF3BEF}" name="Electrical3523927748" displayName="Electrical3523927748" ref="A444:J466" totalsRowShown="0" headerRowDxfId="78" dataDxfId="77" tableBorderDxfId="76" dataCellStyle="Currency 2">
  <tableColumns count="10">
    <tableColumn id="1" xr3:uid="{C68F184E-4F07-4B44-A143-490F81E65427}" name="26" dataDxfId="75"/>
    <tableColumn id="2" xr3:uid="{549CDF19-ADA6-42E4-A83D-F76727A717C7}" name="Electrical" dataDxfId="74" dataCellStyle="Normal 2"/>
    <tableColumn id="3" xr3:uid="{7FCAD728-19E4-4377-8790-A23FE9A84C2F}" name="CSI Sec" dataDxfId="73" dataCellStyle="Normal 2"/>
    <tableColumn id="4" xr3:uid="{A390C857-DBD4-48E0-90FD-A96E1A174DED}" name="Description of work" dataDxfId="72" dataCellStyle="Normal 2"/>
    <tableColumn id="5" xr3:uid="{AF9E038B-A461-4411-BCC4-460F2A6C9C6C}" name="Original Contract" dataDxfId="71" dataCellStyle="Currency 2"/>
    <tableColumn id="6" xr3:uid="{1DF5651B-8CB5-41CC-9161-F59F1FBAC557}" name="Actual Buyout" dataDxfId="70" dataCellStyle="Currency 2"/>
    <tableColumn id="7" xr3:uid="{C52603B0-C253-41A0-BFDF-4D608CF1968F}" name="Change Orders" dataDxfId="69" dataCellStyle="Currency 2"/>
    <tableColumn id="8" xr3:uid="{9A877490-E1BC-499C-B895-3118B608D7C3}" name="Revised Contract" dataDxfId="68" dataCellStyle="Currency 2">
      <calculatedColumnFormula>IF(ABS(Electrical3523927748[[#This Row],[Actual Buyout]])+ABS(Electrical3523927748[[#This Row],[Change Orders]])=0,Electrical3523927748[[#This Row],[Original Contract]],Electrical3523927748[[#This Row],[Actual Buyout]]+Electrical3523927748[[#This Row],[Change Orders]])</calculatedColumnFormula>
    </tableColumn>
    <tableColumn id="9" xr3:uid="{AC025017-5F48-4021-96D2-1694DC3737FB}" name="Total completed and Stored" dataDxfId="67" dataCellStyle="Currency 2"/>
    <tableColumn id="10" xr3:uid="{02C66E0E-D687-430C-BC0E-70E66184E87D}" name="Delta" dataDxfId="66" dataCellStyle="Currency 2">
      <calculatedColumnFormula>Electrical3523927748[[#This Row],[Original Contract]]-Electrical3523927748[[#This Row],[Revised Contract]]</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DD4E6EE-1E42-4D03-A299-C8C122D9B47A}" name="ElectricSafety3624027849" displayName="ElectricSafety3624027849" ref="A468:J480" totalsRowShown="0" headerRowDxfId="65" dataDxfId="64" tableBorderDxfId="63" dataCellStyle="Currency 2">
  <tableColumns count="10">
    <tableColumn id="1" xr3:uid="{DF7C1847-4BA2-489F-BB3D-9C39A4244D8E}" name="28" dataDxfId="62"/>
    <tableColumn id="2" xr3:uid="{65D0E7CB-22B0-46ED-B521-C9CBE601544E}" name="Electronic Safety and Security" dataDxfId="61" dataCellStyle="Normal 2"/>
    <tableColumn id="3" xr3:uid="{9BBEF540-D762-4449-AF95-F53133BF3949}" name="CSI Sec" dataDxfId="60" dataCellStyle="Normal 2"/>
    <tableColumn id="4" xr3:uid="{E3942FBD-0A7F-43F1-AACF-C1E9CC54F9BF}" name="Description of work" dataDxfId="59" dataCellStyle="Normal 2"/>
    <tableColumn id="5" xr3:uid="{7FFB51FC-4192-4A80-AF03-BDA7A22C8CE9}" name="Original Contract" dataDxfId="58" dataCellStyle="Currency 2"/>
    <tableColumn id="6" xr3:uid="{89278CD1-2FAC-4734-AEF2-F4CC3B03317C}" name="Actual Buyout" dataDxfId="57" dataCellStyle="Currency 2"/>
    <tableColumn id="7" xr3:uid="{ECF90635-FEF4-4660-9202-0DCB8538189A}" name="Change Orders" dataDxfId="56" dataCellStyle="Currency 2"/>
    <tableColumn id="8" xr3:uid="{8DB6B032-33AD-49AA-9658-AE23A86F4C94}" name="Revised Contract" dataDxfId="55" dataCellStyle="Currency 2">
      <calculatedColumnFormula>IF(ABS(ElectricSafety3624027849[[#This Row],[Actual Buyout]])+ABS(ElectricSafety3624027849[[#This Row],[Change Orders]])=0,ElectricSafety3624027849[[#This Row],[Original Contract]],ElectricSafety3624027849[[#This Row],[Actual Buyout]]+ElectricSafety3624027849[[#This Row],[Change Orders]])</calculatedColumnFormula>
    </tableColumn>
    <tableColumn id="9" xr3:uid="{17194883-8B2E-4BC8-8663-4B6941675A80}" name="Total completed and Stored" dataDxfId="54" dataCellStyle="Currency 2"/>
    <tableColumn id="10" xr3:uid="{B9533A7C-30D3-4F46-A238-1ECBDF0170E6}" name="Delta" dataDxfId="53" dataCellStyle="Currency 2">
      <calculatedColumnFormula>ElectricSafety3624027849[[#This Row],[Original Contract]]-ElectricSafety3624027849[[#This Row],[Revised Contract]]</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203A287D-5209-4F93-8E85-57C4C44C00A9}" name="Misc3724127950" displayName="Misc3724127950" ref="A482:J487" totalsRowShown="0" headerRowDxfId="52" dataDxfId="51" tableBorderDxfId="50" dataCellStyle="Currency 2">
  <tableColumns count="10">
    <tableColumn id="1" xr3:uid="{BF9943EC-2EED-480A-8D05-AFCC3FE3F5A3}" name="CSI" dataDxfId="49" dataCellStyle="Normal 2"/>
    <tableColumn id="2" xr3:uid="{AD6E1CF1-0B2C-4C19-8D99-62E70FDB0489}" name="Miscellaneous/Other" dataDxfId="48" dataCellStyle="Normal 2"/>
    <tableColumn id="3" xr3:uid="{5A0C375D-AD8B-4990-90FA-D3D1AD442999}" name="CSI Sec" dataDxfId="47" dataCellStyle="Normal 2"/>
    <tableColumn id="4" xr3:uid="{5FC6C2A3-D403-4C61-856D-DCE90B68A00B}" name="Description of work" dataDxfId="46" dataCellStyle="Normal 2"/>
    <tableColumn id="5" xr3:uid="{ED2C85E2-7182-44DD-8277-8732642CB53C}" name="Original Contract" dataDxfId="45" dataCellStyle="Currency 2"/>
    <tableColumn id="6" xr3:uid="{B21251DA-2D8D-41A2-9B9A-74EEFBF77225}" name="Actual Buyout" dataDxfId="44" dataCellStyle="Currency 2"/>
    <tableColumn id="7" xr3:uid="{7339D724-B783-4915-B483-D16D53A672A9}" name="Change Orders" dataDxfId="43" dataCellStyle="Currency 2"/>
    <tableColumn id="8" xr3:uid="{75A682F0-DF62-4AF1-889D-B7FD12494826}" name="Revised Contract" dataDxfId="42" dataCellStyle="Currency 2">
      <calculatedColumnFormula>IF(ABS(Misc3724127950[[#This Row],[Actual Buyout]])+ABS(Misc3724127950[[#This Row],[Change Orders]])=0,Misc3724127950[[#This Row],[Original Contract]],Misc3724127950[[#This Row],[Actual Buyout]]+Misc3724127950[[#This Row],[Change Orders]])</calculatedColumnFormula>
    </tableColumn>
    <tableColumn id="9" xr3:uid="{E35CD281-F38D-4847-99F2-A1BC40D3A273}" name="Total completed and Stored" dataDxfId="41" dataCellStyle="Currency 2"/>
    <tableColumn id="10" xr3:uid="{832B5B01-CDB4-4708-A003-B5D3CCFFA5B6}" name="Delta" dataDxfId="40" dataCellStyle="Currency 2">
      <calculatedColumnFormula>Misc3724127950[[#This Row],[Original Contract]]-Misc3724127950[[#This Row],[Revised Contract]]</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18249627-BDC6-4C97-AF29-C1F7E5919FE0}" name="TenantAllow3824228051" displayName="TenantAllow3824228051" ref="A489:J498" totalsRowShown="0" headerRowDxfId="39" dataDxfId="38" tableBorderDxfId="37" dataCellStyle="Currency 2">
  <tableColumns count="10">
    <tableColumn id="1" xr3:uid="{52ACD987-9001-4C50-9DE5-DE4AF945466F}" name="CSI" dataDxfId="36" dataCellStyle="Normal 2"/>
    <tableColumn id="2" xr3:uid="{6EC405AD-416B-455A-8532-F84111A0872F}" name="Designated Tenant Allowances" dataDxfId="35" dataCellStyle="Normal 2"/>
    <tableColumn id="3" xr3:uid="{011C1467-AF20-459D-A596-938033C01AC5}" name="CSI Sec" dataDxfId="34" dataCellStyle="Normal 2"/>
    <tableColumn id="4" xr3:uid="{6CA5B216-06B0-4E3D-BF29-61D680DBEEAE}" name="Description of work" dataDxfId="33" dataCellStyle="Normal 2"/>
    <tableColumn id="5" xr3:uid="{90063F53-A273-438D-963B-BAAE974AAB92}" name="Original Contract" dataDxfId="32" dataCellStyle="Currency 2"/>
    <tableColumn id="6" xr3:uid="{096D772F-6AB4-4805-90A7-914B0B77FDA3}" name="Actual Buyout" dataDxfId="31" dataCellStyle="Currency 2"/>
    <tableColumn id="7" xr3:uid="{D300DE7E-F234-4092-A0C7-D95E513F813F}" name="Change Orders" dataDxfId="30" dataCellStyle="Currency 2"/>
    <tableColumn id="8" xr3:uid="{D4B2F40C-7992-437F-B592-1A4B2E701C0F}" name="Revised Contract" dataDxfId="29" dataCellStyle="Currency 2">
      <calculatedColumnFormula>IF(ABS(TenantAllow3824228051[[#This Row],[Actual Buyout]])+ABS(TenantAllow3824228051[[#This Row],[Change Orders]])=0,TenantAllow3824228051[[#This Row],[Original Contract]],TenantAllow3824228051[[#This Row],[Actual Buyout]]+TenantAllow3824228051[[#This Row],[Change Orders]])</calculatedColumnFormula>
    </tableColumn>
    <tableColumn id="9" xr3:uid="{E09F9674-A443-4D8B-BB18-5795414FCD1D}" name="Total completed and Stored" dataDxfId="28" dataCellStyle="Currency 2"/>
    <tableColumn id="10" xr3:uid="{4E8DCBFD-E76F-4FF3-8671-F365DC850465}" name="Delta" dataDxfId="27" dataCellStyle="Currency 2">
      <calculatedColumnFormula>TenantAllow3824228051[[#This Row],[Original Contract]]-TenantAllow3824228051[[#This Row],[Revised Contract]]</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55EF1989-0ECC-477A-B800-7ECB52ECC22E}" name="GCGenCon3924328152" displayName="GCGenCon3924328152" ref="A500:J512" totalsRowShown="0" headerRowDxfId="26" dataDxfId="25" tableBorderDxfId="24" headerRowCellStyle="Normal" dataCellStyle="Currency 2">
  <tableColumns count="10">
    <tableColumn id="1" xr3:uid="{7D9CDAAB-BB8C-4A94-BD4A-694EBEA5BFD2}" name="CSI" dataDxfId="23" dataCellStyle="Normal 2"/>
    <tableColumn id="2" xr3:uid="{ACCDEFC9-77BD-40AE-8513-E4E61795FF51}" name="GC General Conditions &amp; Fee" dataDxfId="22" dataCellStyle="Normal 2"/>
    <tableColumn id="3" xr3:uid="{E4A33F08-A352-444D-BDC4-807CE4DD4EC7}" name="CSI Sec" dataDxfId="21" dataCellStyle="Normal 2"/>
    <tableColumn id="4" xr3:uid="{11D6C60B-3AC3-4D23-AC6A-346BD40CEC27}" name="Description of work" dataDxfId="20" dataCellStyle="Normal 2"/>
    <tableColumn id="5" xr3:uid="{167C13A7-FACF-4C30-B396-63E0E1147421}" name="Original Contract" dataDxfId="19" dataCellStyle="Currency 2"/>
    <tableColumn id="6" xr3:uid="{5A422655-7FCB-4A1E-B2A6-9DA0854ECE81}" name="Actual Buyout" dataDxfId="18" dataCellStyle="Currency 2"/>
    <tableColumn id="7" xr3:uid="{FFAAF257-7F5D-42FC-881D-FB98A3896947}" name="Change Orders" dataDxfId="17" dataCellStyle="Currency 2"/>
    <tableColumn id="8" xr3:uid="{3D87C67E-DC6B-425B-95CD-EC7D6990C78F}" name="Revised Contract" dataDxfId="16" dataCellStyle="Currency 2">
      <calculatedColumnFormula>IF(ABS(GCGenCon3924328152[[#This Row],[Actual Buyout]])+ABS(GCGenCon3924328152[[#This Row],[Change Orders]])=0,GCGenCon3924328152[[#This Row],[Original Contract]],GCGenCon3924328152[[#This Row],[Actual Buyout]]+GCGenCon3924328152[[#This Row],[Change Orders]])</calculatedColumnFormula>
    </tableColumn>
    <tableColumn id="9" xr3:uid="{9A83A57B-4BAB-4E3A-8231-2A5309B539AB}" name="Total completed and Stored" dataDxfId="15" dataCellStyle="Currency 2"/>
    <tableColumn id="10" xr3:uid="{02CB4E99-2B05-40A6-8E11-CEBA3F965BC4}" name="Delta" dataDxfId="14" dataCellStyle="Currency 2">
      <calculatedColumnFormula>GCGenCon3924328152[[#This Row],[Original Contract]]-GCGenCon3924328152[[#This Row],[Revised Contract]]</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B5531A61-1CED-4C95-9716-6BF574EDF7BB}" name="CM" displayName="CM" ref="J1:J57" totalsRowShown="0">
  <autoFilter ref="J1:J57" xr:uid="{4F9E20EB-C2B6-4174-B373-CEBBD3EA5FBC}"/>
  <sortState ref="J2:J56">
    <sortCondition ref="J1"/>
  </sortState>
  <tableColumns count="1">
    <tableColumn id="1" xr3:uid="{9691A8A0-25CF-43C9-BFCF-00E9D6511FC9}" name="CM"/>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D6592136-AF2C-457B-A45B-E51761AEED80}" name="CurrencyCode" displayName="CurrencyCode" ref="H1:H16" totalsRowShown="0" dataDxfId="7">
  <autoFilter ref="H1:H16" xr:uid="{35405E11-CA6A-470B-970C-BCC29078749E}"/>
  <tableColumns count="1">
    <tableColumn id="1" xr3:uid="{5CEC4B82-2B48-402E-964B-EDAD7A369195}" name="Currency" dataDxfId="6"/>
  </tableColumns>
  <tableStyleInfo name="TableStyleLight2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411216C-07C9-45D6-993B-0ED05DC60FF0}" name="Table2" displayName="Table2" ref="A8:A25" totalsRowShown="0" headerRowDxfId="5" dataDxfId="4">
  <autoFilter ref="A8:A25" xr:uid="{3F71F8A9-2BC4-4E88-B722-88B452DFE285}"/>
  <tableColumns count="1">
    <tableColumn id="1" xr3:uid="{3FAAF0FE-C353-4B82-9933-EF6CC69E9C15}" name="Drop Down 2: Material Type" dataDxfId="3"/>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D63C2EC-0ABF-4DA5-8911-86E4FC07FC67}" name="Table4" displayName="Table4" ref="A27:A37" totalsRowShown="0" headerRowDxfId="2" dataDxfId="1">
  <autoFilter ref="A27:A37" xr:uid="{FAF1122E-B4A3-4EF9-89A6-9DE66B99B6BA}"/>
  <tableColumns count="1">
    <tableColumn id="1" xr3:uid="{90D7DDAB-3E22-480C-AD5A-32580857B8EE}" name="Drop Down 3: Material Stream"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3" Type="http://schemas.openxmlformats.org/officeDocument/2006/relationships/table" Target="../tables/table10.xml"/><Relationship Id="rId18" Type="http://schemas.openxmlformats.org/officeDocument/2006/relationships/table" Target="../tables/table15.xml"/><Relationship Id="rId26" Type="http://schemas.openxmlformats.org/officeDocument/2006/relationships/table" Target="../tables/table23.xml"/><Relationship Id="rId39" Type="http://schemas.openxmlformats.org/officeDocument/2006/relationships/table" Target="../tables/table36.xml"/><Relationship Id="rId21" Type="http://schemas.openxmlformats.org/officeDocument/2006/relationships/table" Target="../tables/table18.xml"/><Relationship Id="rId34" Type="http://schemas.openxmlformats.org/officeDocument/2006/relationships/table" Target="../tables/table31.xml"/><Relationship Id="rId42" Type="http://schemas.openxmlformats.org/officeDocument/2006/relationships/comments" Target="../comments2.xml"/><Relationship Id="rId7" Type="http://schemas.openxmlformats.org/officeDocument/2006/relationships/table" Target="../tables/table4.xml"/><Relationship Id="rId2" Type="http://schemas.openxmlformats.org/officeDocument/2006/relationships/drawing" Target="../drawings/drawing2.xml"/><Relationship Id="rId16" Type="http://schemas.openxmlformats.org/officeDocument/2006/relationships/table" Target="../tables/table13.xml"/><Relationship Id="rId20" Type="http://schemas.openxmlformats.org/officeDocument/2006/relationships/table" Target="../tables/table17.xml"/><Relationship Id="rId29" Type="http://schemas.openxmlformats.org/officeDocument/2006/relationships/table" Target="../tables/table26.xml"/><Relationship Id="rId41" Type="http://schemas.openxmlformats.org/officeDocument/2006/relationships/table" Target="../tables/table38.xml"/><Relationship Id="rId1" Type="http://schemas.openxmlformats.org/officeDocument/2006/relationships/printerSettings" Target="../printerSettings/printerSettings3.bin"/><Relationship Id="rId6" Type="http://schemas.openxmlformats.org/officeDocument/2006/relationships/table" Target="../tables/table3.xml"/><Relationship Id="rId11" Type="http://schemas.openxmlformats.org/officeDocument/2006/relationships/table" Target="../tables/table8.xml"/><Relationship Id="rId24" Type="http://schemas.openxmlformats.org/officeDocument/2006/relationships/table" Target="../tables/table21.xml"/><Relationship Id="rId32" Type="http://schemas.openxmlformats.org/officeDocument/2006/relationships/table" Target="../tables/table29.xml"/><Relationship Id="rId37" Type="http://schemas.openxmlformats.org/officeDocument/2006/relationships/table" Target="../tables/table34.xml"/><Relationship Id="rId40" Type="http://schemas.openxmlformats.org/officeDocument/2006/relationships/table" Target="../tables/table37.xml"/><Relationship Id="rId5" Type="http://schemas.openxmlformats.org/officeDocument/2006/relationships/table" Target="../tables/table2.xml"/><Relationship Id="rId15" Type="http://schemas.openxmlformats.org/officeDocument/2006/relationships/table" Target="../tables/table12.xml"/><Relationship Id="rId23" Type="http://schemas.openxmlformats.org/officeDocument/2006/relationships/table" Target="../tables/table20.xml"/><Relationship Id="rId28" Type="http://schemas.openxmlformats.org/officeDocument/2006/relationships/table" Target="../tables/table25.xml"/><Relationship Id="rId36" Type="http://schemas.openxmlformats.org/officeDocument/2006/relationships/table" Target="../tables/table33.xml"/><Relationship Id="rId10" Type="http://schemas.openxmlformats.org/officeDocument/2006/relationships/table" Target="../tables/table7.xml"/><Relationship Id="rId19" Type="http://schemas.openxmlformats.org/officeDocument/2006/relationships/table" Target="../tables/table16.xml"/><Relationship Id="rId31" Type="http://schemas.openxmlformats.org/officeDocument/2006/relationships/table" Target="../tables/table28.xml"/><Relationship Id="rId4" Type="http://schemas.openxmlformats.org/officeDocument/2006/relationships/table" Target="../tables/table1.xml"/><Relationship Id="rId9" Type="http://schemas.openxmlformats.org/officeDocument/2006/relationships/table" Target="../tables/table6.xml"/><Relationship Id="rId14" Type="http://schemas.openxmlformats.org/officeDocument/2006/relationships/table" Target="../tables/table11.xml"/><Relationship Id="rId22" Type="http://schemas.openxmlformats.org/officeDocument/2006/relationships/table" Target="../tables/table19.xml"/><Relationship Id="rId27" Type="http://schemas.openxmlformats.org/officeDocument/2006/relationships/table" Target="../tables/table24.xml"/><Relationship Id="rId30" Type="http://schemas.openxmlformats.org/officeDocument/2006/relationships/table" Target="../tables/table27.xml"/><Relationship Id="rId35" Type="http://schemas.openxmlformats.org/officeDocument/2006/relationships/table" Target="../tables/table32.xml"/><Relationship Id="rId8" Type="http://schemas.openxmlformats.org/officeDocument/2006/relationships/table" Target="../tables/table5.xml"/><Relationship Id="rId3" Type="http://schemas.openxmlformats.org/officeDocument/2006/relationships/vmlDrawing" Target="../drawings/vmlDrawing2.vml"/><Relationship Id="rId12" Type="http://schemas.openxmlformats.org/officeDocument/2006/relationships/table" Target="../tables/table9.xml"/><Relationship Id="rId17" Type="http://schemas.openxmlformats.org/officeDocument/2006/relationships/table" Target="../tables/table14.xml"/><Relationship Id="rId25" Type="http://schemas.openxmlformats.org/officeDocument/2006/relationships/table" Target="../tables/table22.xml"/><Relationship Id="rId33" Type="http://schemas.openxmlformats.org/officeDocument/2006/relationships/table" Target="../tables/table30.xml"/><Relationship Id="rId38" Type="http://schemas.openxmlformats.org/officeDocument/2006/relationships/table" Target="../tables/table35.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table" Target="../tables/table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C49D-A8A9-4A01-A32D-0A6FA4F2678B}">
  <sheetPr codeName="Sheet1"/>
  <dimension ref="A1:D70"/>
  <sheetViews>
    <sheetView topLeftCell="A45" zoomScaleNormal="100" workbookViewId="0">
      <selection activeCell="B57" sqref="B57"/>
    </sheetView>
  </sheetViews>
  <sheetFormatPr defaultRowHeight="14.5" x14ac:dyDescent="0.35"/>
  <cols>
    <col min="1" max="1" width="44.453125" customWidth="1"/>
    <col min="2" max="2" width="133.453125" customWidth="1"/>
  </cols>
  <sheetData>
    <row r="1" spans="1:4" ht="23.5" x14ac:dyDescent="0.35">
      <c r="A1" s="1" t="s">
        <v>0</v>
      </c>
      <c r="B1" s="2"/>
    </row>
    <row r="2" spans="1:4" ht="23.5" x14ac:dyDescent="0.35">
      <c r="A2" s="1" t="s">
        <v>1</v>
      </c>
      <c r="B2" s="3" t="s">
        <v>2</v>
      </c>
    </row>
    <row r="3" spans="1:4" ht="18.5" x14ac:dyDescent="0.35">
      <c r="A3" s="2"/>
      <c r="B3" s="4" t="s">
        <v>3</v>
      </c>
    </row>
    <row r="4" spans="1:4" ht="19" thickBot="1" x14ac:dyDescent="0.4">
      <c r="A4" s="5" t="s">
        <v>4</v>
      </c>
      <c r="B4" s="2"/>
    </row>
    <row r="5" spans="1:4" ht="19" thickBot="1" x14ac:dyDescent="0.4">
      <c r="A5" s="6" t="s">
        <v>5</v>
      </c>
      <c r="B5" s="7" t="s">
        <v>6</v>
      </c>
    </row>
    <row r="6" spans="1:4" ht="16" thickBot="1" x14ac:dyDescent="0.4">
      <c r="A6" s="8"/>
      <c r="B6" s="9" t="s">
        <v>7</v>
      </c>
    </row>
    <row r="7" spans="1:4" ht="31.5" thickBot="1" x14ac:dyDescent="0.4">
      <c r="A7" s="8"/>
      <c r="B7" s="9" t="s">
        <v>8</v>
      </c>
    </row>
    <row r="8" spans="1:4" ht="15" thickBot="1" x14ac:dyDescent="0.4">
      <c r="A8" s="10"/>
      <c r="B8" s="11" t="s">
        <v>9</v>
      </c>
    </row>
    <row r="9" spans="1:4" ht="15" thickBot="1" x14ac:dyDescent="0.4">
      <c r="A9" s="12"/>
      <c r="B9" s="13" t="s">
        <v>10</v>
      </c>
    </row>
    <row r="10" spans="1:4" ht="15" thickBot="1" x14ac:dyDescent="0.4">
      <c r="A10" s="595"/>
      <c r="B10" s="596"/>
    </row>
    <row r="11" spans="1:4" ht="37.5" thickBot="1" x14ac:dyDescent="0.4">
      <c r="A11" s="6" t="s">
        <v>11</v>
      </c>
      <c r="B11" s="7" t="s">
        <v>12</v>
      </c>
    </row>
    <row r="12" spans="1:4" ht="15" thickBot="1" x14ac:dyDescent="0.4">
      <c r="A12" s="10"/>
      <c r="B12" s="11" t="s">
        <v>9</v>
      </c>
    </row>
    <row r="13" spans="1:4" ht="15" thickBot="1" x14ac:dyDescent="0.4">
      <c r="A13" s="15"/>
      <c r="B13" s="16" t="s">
        <v>1071</v>
      </c>
    </row>
    <row r="14" spans="1:4" ht="15" thickBot="1" x14ac:dyDescent="0.4">
      <c r="A14" s="17"/>
      <c r="B14" s="13" t="s">
        <v>13</v>
      </c>
      <c r="C14" s="18"/>
      <c r="D14" s="18"/>
    </row>
    <row r="15" spans="1:4" ht="15" thickBot="1" x14ac:dyDescent="0.4">
      <c r="A15" s="19"/>
      <c r="B15" s="20" t="s">
        <v>14</v>
      </c>
      <c r="C15" s="18"/>
      <c r="D15" s="18"/>
    </row>
    <row r="16" spans="1:4" ht="15" thickBot="1" x14ac:dyDescent="0.4">
      <c r="A16" s="19"/>
      <c r="B16" s="20" t="s">
        <v>1072</v>
      </c>
    </row>
    <row r="17" spans="1:2" ht="15" thickBot="1" x14ac:dyDescent="0.4">
      <c r="A17" s="19"/>
      <c r="B17" s="20" t="s">
        <v>1073</v>
      </c>
    </row>
    <row r="18" spans="1:2" ht="15" thickBot="1" x14ac:dyDescent="0.4">
      <c r="A18" s="19"/>
      <c r="B18" s="20" t="s">
        <v>15</v>
      </c>
    </row>
    <row r="19" spans="1:2" ht="15" thickBot="1" x14ac:dyDescent="0.4">
      <c r="A19" s="19"/>
      <c r="B19" s="20" t="s">
        <v>16</v>
      </c>
    </row>
    <row r="20" spans="1:2" ht="15" thickBot="1" x14ac:dyDescent="0.4">
      <c r="A20" s="19"/>
      <c r="B20" s="20" t="s">
        <v>17</v>
      </c>
    </row>
    <row r="21" spans="1:2" ht="15" thickBot="1" x14ac:dyDescent="0.4">
      <c r="A21" s="19"/>
      <c r="B21" s="20" t="s">
        <v>18</v>
      </c>
    </row>
    <row r="22" spans="1:2" ht="15" thickBot="1" x14ac:dyDescent="0.4">
      <c r="A22" s="19"/>
      <c r="B22" s="20" t="s">
        <v>19</v>
      </c>
    </row>
    <row r="23" spans="1:2" ht="15" thickBot="1" x14ac:dyDescent="0.4">
      <c r="A23" s="19"/>
      <c r="B23" s="20" t="s">
        <v>1074</v>
      </c>
    </row>
    <row r="24" spans="1:2" ht="15" thickBot="1" x14ac:dyDescent="0.4">
      <c r="A24" s="19"/>
      <c r="B24" s="20" t="s">
        <v>1075</v>
      </c>
    </row>
    <row r="25" spans="1:2" ht="15" thickBot="1" x14ac:dyDescent="0.4">
      <c r="A25" s="21"/>
      <c r="B25" s="20" t="s">
        <v>1076</v>
      </c>
    </row>
    <row r="26" spans="1:2" ht="15" thickBot="1" x14ac:dyDescent="0.4">
      <c r="A26" s="2"/>
      <c r="B26" s="22"/>
    </row>
    <row r="27" spans="1:2" ht="36" thickBot="1" x14ac:dyDescent="0.4">
      <c r="A27" s="6" t="s">
        <v>20</v>
      </c>
      <c r="B27" s="7" t="s">
        <v>21</v>
      </c>
    </row>
    <row r="28" spans="1:2" ht="50.5" thickBot="1" x14ac:dyDescent="0.4">
      <c r="A28" s="23"/>
      <c r="B28" s="13" t="s">
        <v>22</v>
      </c>
    </row>
    <row r="29" spans="1:2" ht="33.5" thickBot="1" x14ac:dyDescent="0.4">
      <c r="A29" s="23"/>
      <c r="B29" s="13" t="s">
        <v>23</v>
      </c>
    </row>
    <row r="30" spans="1:2" ht="33.5" thickBot="1" x14ac:dyDescent="0.4">
      <c r="A30" s="24"/>
      <c r="B30" s="13" t="s">
        <v>24</v>
      </c>
    </row>
    <row r="31" spans="1:2" ht="15" thickBot="1" x14ac:dyDescent="0.4">
      <c r="A31" s="2"/>
      <c r="B31" s="14"/>
    </row>
    <row r="32" spans="1:2" ht="33.5" thickBot="1" x14ac:dyDescent="0.4">
      <c r="A32" s="25" t="s">
        <v>25</v>
      </c>
      <c r="B32" s="7" t="s">
        <v>1077</v>
      </c>
    </row>
    <row r="33" spans="1:2" ht="15" thickBot="1" x14ac:dyDescent="0.4">
      <c r="A33" s="2"/>
      <c r="B33" s="14"/>
    </row>
    <row r="34" spans="1:2" ht="19" thickBot="1" x14ac:dyDescent="0.4">
      <c r="A34" s="25" t="s">
        <v>26</v>
      </c>
      <c r="B34" s="7" t="s">
        <v>27</v>
      </c>
    </row>
    <row r="35" spans="1:2" ht="15" thickBot="1" x14ac:dyDescent="0.4">
      <c r="A35" s="2"/>
      <c r="B35" s="14"/>
    </row>
    <row r="36" spans="1:2" ht="19" thickBot="1" x14ac:dyDescent="0.4">
      <c r="A36" s="25" t="s">
        <v>28</v>
      </c>
      <c r="B36" s="7" t="s">
        <v>29</v>
      </c>
    </row>
    <row r="37" spans="1:2" x14ac:dyDescent="0.35">
      <c r="A37" s="2"/>
      <c r="B37" s="14"/>
    </row>
    <row r="38" spans="1:2" x14ac:dyDescent="0.35">
      <c r="A38" s="2"/>
      <c r="B38" s="14"/>
    </row>
    <row r="39" spans="1:2" x14ac:dyDescent="0.35">
      <c r="A39" s="597" t="s">
        <v>30</v>
      </c>
      <c r="B39" s="26" t="s">
        <v>31</v>
      </c>
    </row>
    <row r="40" spans="1:2" x14ac:dyDescent="0.35">
      <c r="A40" s="597"/>
      <c r="B40" s="26" t="s">
        <v>32</v>
      </c>
    </row>
    <row r="41" spans="1:2" ht="15" thickBot="1" x14ac:dyDescent="0.4">
      <c r="A41" s="598"/>
      <c r="B41" s="26" t="s">
        <v>33</v>
      </c>
    </row>
    <row r="42" spans="1:2" ht="37.5" thickBot="1" x14ac:dyDescent="0.4">
      <c r="A42" s="6" t="s">
        <v>11</v>
      </c>
      <c r="B42" s="7" t="s">
        <v>34</v>
      </c>
    </row>
    <row r="43" spans="1:2" ht="19" thickBot="1" x14ac:dyDescent="0.4">
      <c r="A43" s="23"/>
      <c r="B43" s="13" t="s">
        <v>35</v>
      </c>
    </row>
    <row r="44" spans="1:2" ht="19" thickBot="1" x14ac:dyDescent="0.4">
      <c r="A44" s="23"/>
      <c r="B44" s="13" t="s">
        <v>36</v>
      </c>
    </row>
    <row r="45" spans="1:2" ht="19" thickBot="1" x14ac:dyDescent="0.4">
      <c r="A45" s="23"/>
      <c r="B45" s="13" t="s">
        <v>37</v>
      </c>
    </row>
    <row r="46" spans="1:2" ht="33.5" thickBot="1" x14ac:dyDescent="0.4">
      <c r="A46" s="24"/>
      <c r="B46" s="13" t="s">
        <v>1078</v>
      </c>
    </row>
    <row r="47" spans="1:2" ht="15" thickBot="1" x14ac:dyDescent="0.4">
      <c r="A47" s="2"/>
      <c r="B47" s="14"/>
    </row>
    <row r="48" spans="1:2" ht="19" thickBot="1" x14ac:dyDescent="0.4">
      <c r="A48" s="6" t="s">
        <v>5</v>
      </c>
      <c r="B48" s="7" t="s">
        <v>38</v>
      </c>
    </row>
    <row r="49" spans="1:2" ht="19" thickBot="1" x14ac:dyDescent="0.4">
      <c r="A49" s="24"/>
      <c r="B49" s="13" t="s">
        <v>39</v>
      </c>
    </row>
    <row r="50" spans="1:2" ht="15" thickBot="1" x14ac:dyDescent="0.4">
      <c r="A50" s="2"/>
      <c r="B50" s="14"/>
    </row>
    <row r="51" spans="1:2" ht="19" thickBot="1" x14ac:dyDescent="0.4">
      <c r="A51" s="6" t="s">
        <v>20</v>
      </c>
      <c r="B51" s="7" t="s">
        <v>40</v>
      </c>
    </row>
    <row r="52" spans="1:2" ht="33.5" thickBot="1" x14ac:dyDescent="0.4">
      <c r="A52" s="23"/>
      <c r="B52" s="13" t="s">
        <v>41</v>
      </c>
    </row>
    <row r="53" spans="1:2" ht="56" thickBot="1" x14ac:dyDescent="0.4">
      <c r="A53" s="24"/>
      <c r="B53" s="13" t="s">
        <v>1079</v>
      </c>
    </row>
    <row r="54" spans="1:2" ht="15" thickBot="1" x14ac:dyDescent="0.4">
      <c r="A54" s="2"/>
      <c r="B54" s="14"/>
    </row>
    <row r="55" spans="1:2" ht="33.5" thickBot="1" x14ac:dyDescent="0.4">
      <c r="A55" s="27" t="s">
        <v>25</v>
      </c>
      <c r="B55" s="7" t="s">
        <v>1080</v>
      </c>
    </row>
    <row r="56" spans="1:2" ht="15" thickBot="1" x14ac:dyDescent="0.4">
      <c r="A56" s="2"/>
      <c r="B56" s="14"/>
    </row>
    <row r="57" spans="1:2" ht="21.5" thickBot="1" x14ac:dyDescent="0.4">
      <c r="A57" s="28" t="s">
        <v>26</v>
      </c>
      <c r="B57" s="7" t="s">
        <v>42</v>
      </c>
    </row>
    <row r="58" spans="1:2" ht="15" thickBot="1" x14ac:dyDescent="0.4">
      <c r="A58" s="2"/>
      <c r="B58" s="14"/>
    </row>
    <row r="59" spans="1:2" ht="21.5" thickBot="1" x14ac:dyDescent="0.4">
      <c r="A59" s="28" t="s">
        <v>28</v>
      </c>
      <c r="B59" s="7" t="s">
        <v>43</v>
      </c>
    </row>
    <row r="60" spans="1:2" ht="15" thickBot="1" x14ac:dyDescent="0.4">
      <c r="A60" s="2"/>
      <c r="B60" s="14"/>
    </row>
    <row r="61" spans="1:2" ht="33.5" thickBot="1" x14ac:dyDescent="0.4">
      <c r="A61" s="28" t="s">
        <v>44</v>
      </c>
      <c r="B61" s="7" t="s">
        <v>1081</v>
      </c>
    </row>
    <row r="62" spans="1:2" x14ac:dyDescent="0.35">
      <c r="A62" s="2"/>
      <c r="B62" s="14"/>
    </row>
    <row r="63" spans="1:2" x14ac:dyDescent="0.35">
      <c r="A63" s="2"/>
      <c r="B63" s="14"/>
    </row>
    <row r="64" spans="1:2" ht="19" thickBot="1" x14ac:dyDescent="0.4">
      <c r="A64" s="5" t="s">
        <v>45</v>
      </c>
      <c r="B64" s="14"/>
    </row>
    <row r="65" spans="1:2" ht="15" thickBot="1" x14ac:dyDescent="0.4">
      <c r="A65" s="29"/>
      <c r="B65" s="30" t="s">
        <v>46</v>
      </c>
    </row>
    <row r="66" spans="1:2" ht="29" thickBot="1" x14ac:dyDescent="0.4">
      <c r="A66" s="8"/>
      <c r="B66" s="13" t="s">
        <v>47</v>
      </c>
    </row>
    <row r="67" spans="1:2" ht="15" thickBot="1" x14ac:dyDescent="0.4">
      <c r="A67" s="8"/>
      <c r="B67" s="13" t="s">
        <v>48</v>
      </c>
    </row>
    <row r="68" spans="1:2" ht="15" thickBot="1" x14ac:dyDescent="0.4">
      <c r="A68" s="8"/>
      <c r="B68" s="13" t="s">
        <v>1082</v>
      </c>
    </row>
    <row r="69" spans="1:2" ht="29.5" thickBot="1" x14ac:dyDescent="0.4">
      <c r="A69" s="31"/>
      <c r="B69" s="13" t="s">
        <v>1083</v>
      </c>
    </row>
    <row r="70" spans="1:2" ht="15.5" x14ac:dyDescent="0.35">
      <c r="A70" s="32"/>
    </row>
  </sheetData>
  <sheetProtection algorithmName="SHA-512" hashValue="N+vmolRYUNIwdY5pdR/fb2g8GP0SlabqVaznVNmhi5C5O/MBG2We2W5n4MPrbPMnU1zQiWJVZ84wdCYjkEFG3g==" saltValue="WwgmGnbuaLXph7/dk5v2VA==" spinCount="100000" sheet="1" objects="1" scenarios="1"/>
  <mergeCells count="1">
    <mergeCell ref="A39:A4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63C15-8967-44C0-B0B8-39D68A859147}">
  <sheetPr codeName="Sheet2">
    <pageSetUpPr fitToPage="1"/>
  </sheetPr>
  <dimension ref="A1:L153"/>
  <sheetViews>
    <sheetView zoomScaleNormal="100" workbookViewId="0">
      <selection activeCell="C11" sqref="C11"/>
    </sheetView>
  </sheetViews>
  <sheetFormatPr defaultRowHeight="14.5" x14ac:dyDescent="0.35"/>
  <cols>
    <col min="1" max="1" width="2.81640625" style="33" customWidth="1"/>
    <col min="2" max="2" width="20" style="34" customWidth="1"/>
    <col min="3" max="3" width="56.81640625" style="33" customWidth="1"/>
    <col min="4" max="8" width="23.54296875" style="33" customWidth="1"/>
    <col min="9" max="9" width="12.1796875" style="33" customWidth="1"/>
  </cols>
  <sheetData>
    <row r="1" spans="2:8" x14ac:dyDescent="0.35">
      <c r="C1" s="36"/>
    </row>
    <row r="2" spans="2:8" x14ac:dyDescent="0.35">
      <c r="B2" s="35" t="s">
        <v>49</v>
      </c>
      <c r="C2" s="36"/>
      <c r="F2" s="36"/>
      <c r="G2" s="36"/>
      <c r="H2" s="37" t="s">
        <v>50</v>
      </c>
    </row>
    <row r="3" spans="2:8" x14ac:dyDescent="0.35">
      <c r="B3" s="35" t="s">
        <v>51</v>
      </c>
      <c r="C3" s="36"/>
      <c r="E3" s="38" t="s">
        <v>52</v>
      </c>
      <c r="F3" s="39"/>
      <c r="G3" s="39"/>
      <c r="H3" s="39"/>
    </row>
    <row r="4" spans="2:8" ht="15" thickBot="1" x14ac:dyDescent="0.4">
      <c r="B4" s="40"/>
      <c r="C4" s="41" t="e">
        <f>"THIS WILL REPORT FINANCIALS THROUGH " &amp; UPPER(TEXT(EDATE(startSummary,-1),"MMM")) &amp; " / " &amp; YEAR(EDATE(startSummary,-1))</f>
        <v>#NUM!</v>
      </c>
    </row>
    <row r="5" spans="2:8" ht="15" thickBot="1" x14ac:dyDescent="0.4">
      <c r="B5" s="42" t="s">
        <v>53</v>
      </c>
      <c r="C5" s="468"/>
      <c r="E5" s="606" t="s">
        <v>54</v>
      </c>
      <c r="F5" s="607"/>
      <c r="G5" s="608"/>
      <c r="H5" s="477">
        <v>0</v>
      </c>
    </row>
    <row r="6" spans="2:8" ht="15" thickBot="1" x14ac:dyDescent="0.4">
      <c r="B6" s="43" t="s">
        <v>55</v>
      </c>
      <c r="C6" s="469"/>
      <c r="E6" s="609" t="s">
        <v>56</v>
      </c>
      <c r="F6" s="610"/>
      <c r="G6" s="611"/>
      <c r="H6" s="477">
        <v>0</v>
      </c>
    </row>
    <row r="7" spans="2:8" x14ac:dyDescent="0.35">
      <c r="B7" s="43" t="s">
        <v>57</v>
      </c>
      <c r="C7" s="470"/>
      <c r="E7" s="609" t="s">
        <v>58</v>
      </c>
      <c r="F7" s="610"/>
      <c r="G7" s="611"/>
      <c r="H7" s="477">
        <v>0</v>
      </c>
    </row>
    <row r="8" spans="2:8" x14ac:dyDescent="0.35">
      <c r="B8" s="44" t="s">
        <v>59</v>
      </c>
      <c r="C8" s="471"/>
      <c r="E8" s="612" t="s">
        <v>60</v>
      </c>
      <c r="F8" s="613"/>
      <c r="G8" s="614"/>
      <c r="H8" s="45">
        <f>H5+H6+H7</f>
        <v>0</v>
      </c>
    </row>
    <row r="9" spans="2:8" x14ac:dyDescent="0.35">
      <c r="B9" s="44" t="s">
        <v>61</v>
      </c>
      <c r="C9" s="471"/>
      <c r="E9" s="612" t="s">
        <v>62</v>
      </c>
      <c r="F9" s="613"/>
      <c r="G9" s="614"/>
      <c r="H9" s="46">
        <f>'Cash Flow'!O69</f>
        <v>0</v>
      </c>
    </row>
    <row r="10" spans="2:8" x14ac:dyDescent="0.35">
      <c r="B10" s="44" t="s">
        <v>63</v>
      </c>
      <c r="C10" s="471"/>
      <c r="E10" s="612" t="s">
        <v>64</v>
      </c>
      <c r="F10" s="613"/>
      <c r="G10" s="614"/>
      <c r="H10" s="46">
        <f>H8-H9</f>
        <v>0</v>
      </c>
    </row>
    <row r="11" spans="2:8" x14ac:dyDescent="0.35">
      <c r="B11" s="44" t="s">
        <v>65</v>
      </c>
      <c r="C11" s="471"/>
      <c r="E11" s="612" t="s">
        <v>66</v>
      </c>
      <c r="F11" s="613"/>
      <c r="G11" s="614"/>
      <c r="H11" s="45">
        <f>G116</f>
        <v>0</v>
      </c>
    </row>
    <row r="12" spans="2:8" x14ac:dyDescent="0.35">
      <c r="B12" s="44" t="s">
        <v>67</v>
      </c>
      <c r="C12" s="471"/>
      <c r="E12" s="612" t="s">
        <v>68</v>
      </c>
      <c r="F12" s="613"/>
      <c r="G12" s="614"/>
      <c r="H12" s="45">
        <f>D139</f>
        <v>0</v>
      </c>
    </row>
    <row r="13" spans="2:8" ht="15.5" x14ac:dyDescent="0.35">
      <c r="B13" s="44" t="s">
        <v>69</v>
      </c>
      <c r="C13" s="471"/>
      <c r="E13" s="615" t="s">
        <v>70</v>
      </c>
      <c r="F13" s="616"/>
      <c r="G13" s="617"/>
      <c r="H13" s="47">
        <f>H8-H11</f>
        <v>0</v>
      </c>
    </row>
    <row r="14" spans="2:8" x14ac:dyDescent="0.35">
      <c r="B14" s="44" t="s">
        <v>71</v>
      </c>
      <c r="C14" s="471"/>
      <c r="E14" s="612" t="s">
        <v>72</v>
      </c>
      <c r="F14" s="613"/>
      <c r="G14" s="614"/>
      <c r="H14" s="46">
        <f>'Cash Flow'!R69</f>
        <v>0</v>
      </c>
    </row>
    <row r="15" spans="2:8" x14ac:dyDescent="0.35">
      <c r="B15" s="48" t="s">
        <v>73</v>
      </c>
      <c r="C15" s="472"/>
      <c r="E15" s="618" t="s">
        <v>74</v>
      </c>
      <c r="F15" s="619"/>
      <c r="G15" s="620"/>
      <c r="H15" s="478">
        <v>0</v>
      </c>
    </row>
    <row r="16" spans="2:8" ht="15" thickBot="1" x14ac:dyDescent="0.4">
      <c r="B16" s="49" t="s">
        <v>75</v>
      </c>
      <c r="C16" s="473"/>
      <c r="D16" s="50"/>
      <c r="E16" s="603" t="s">
        <v>76</v>
      </c>
      <c r="F16" s="604"/>
      <c r="G16" s="605"/>
      <c r="H16" s="51">
        <f>H8-H15</f>
        <v>0</v>
      </c>
    </row>
    <row r="17" spans="1:9" ht="15" thickBot="1" x14ac:dyDescent="0.4">
      <c r="B17" s="52" t="s">
        <v>77</v>
      </c>
      <c r="C17" s="474"/>
      <c r="F17" s="53"/>
      <c r="G17" s="53"/>
      <c r="H17" s="53"/>
    </row>
    <row r="18" spans="1:9" ht="15" thickBot="1" x14ac:dyDescent="0.4">
      <c r="B18" s="52" t="s">
        <v>78</v>
      </c>
      <c r="C18" s="475"/>
      <c r="F18" s="601" t="s">
        <v>79</v>
      </c>
      <c r="G18" s="602"/>
      <c r="H18" s="479" t="s">
        <v>1043</v>
      </c>
      <c r="I18" s="50"/>
    </row>
    <row r="19" spans="1:9" ht="8.15" customHeight="1" thickBot="1" x14ac:dyDescent="0.4">
      <c r="D19" s="54"/>
      <c r="E19" s="54"/>
      <c r="F19" s="54"/>
      <c r="G19" s="54"/>
      <c r="H19" s="54"/>
    </row>
    <row r="20" spans="1:9" x14ac:dyDescent="0.35">
      <c r="B20" s="55" t="s">
        <v>80</v>
      </c>
      <c r="C20" s="56"/>
      <c r="D20" s="417" t="s">
        <v>1033</v>
      </c>
      <c r="E20" s="418"/>
      <c r="F20" s="56"/>
      <c r="G20" s="56"/>
      <c r="H20" s="57"/>
    </row>
    <row r="21" spans="1:9" ht="26.5" thickBot="1" x14ac:dyDescent="0.4">
      <c r="B21" s="58" t="s">
        <v>81</v>
      </c>
      <c r="C21" s="59"/>
      <c r="D21" s="60" t="s">
        <v>82</v>
      </c>
      <c r="E21" s="61" t="s">
        <v>83</v>
      </c>
      <c r="F21" s="62" t="s">
        <v>84</v>
      </c>
      <c r="G21" s="62" t="s">
        <v>85</v>
      </c>
      <c r="H21" s="63" t="s">
        <v>86</v>
      </c>
    </row>
    <row r="22" spans="1:9" x14ac:dyDescent="0.35">
      <c r="B22" s="78" t="s">
        <v>87</v>
      </c>
      <c r="C22" s="64" t="s">
        <v>88</v>
      </c>
      <c r="D22" s="439">
        <v>0</v>
      </c>
      <c r="E22" s="439">
        <v>0</v>
      </c>
      <c r="F22" s="439">
        <v>0</v>
      </c>
      <c r="G22" s="439">
        <v>0</v>
      </c>
      <c r="H22" s="65">
        <f>G22-D22</f>
        <v>0</v>
      </c>
    </row>
    <row r="23" spans="1:9" x14ac:dyDescent="0.35">
      <c r="B23" s="78" t="s">
        <v>87</v>
      </c>
      <c r="C23" s="67" t="s">
        <v>89</v>
      </c>
      <c r="D23" s="439">
        <v>0</v>
      </c>
      <c r="E23" s="439">
        <v>0</v>
      </c>
      <c r="F23" s="439">
        <v>0</v>
      </c>
      <c r="G23" s="439">
        <v>0</v>
      </c>
      <c r="H23" s="65">
        <f t="shared" ref="H23:H25" si="0">G23-D23</f>
        <v>0</v>
      </c>
    </row>
    <row r="24" spans="1:9" x14ac:dyDescent="0.35">
      <c r="B24" s="78" t="s">
        <v>87</v>
      </c>
      <c r="C24" s="67" t="s">
        <v>90</v>
      </c>
      <c r="D24" s="439">
        <v>0</v>
      </c>
      <c r="E24" s="439">
        <v>0</v>
      </c>
      <c r="F24" s="439">
        <v>0</v>
      </c>
      <c r="G24" s="439">
        <v>0</v>
      </c>
      <c r="H24" s="65">
        <f t="shared" si="0"/>
        <v>0</v>
      </c>
    </row>
    <row r="25" spans="1:9" ht="15" thickBot="1" x14ac:dyDescent="0.4">
      <c r="B25" s="78" t="s">
        <v>87</v>
      </c>
      <c r="C25" s="33" t="s">
        <v>91</v>
      </c>
      <c r="D25" s="439">
        <v>0</v>
      </c>
      <c r="E25" s="439">
        <v>0</v>
      </c>
      <c r="F25" s="439">
        <v>0</v>
      </c>
      <c r="G25" s="439">
        <v>0</v>
      </c>
      <c r="H25" s="65">
        <f t="shared" si="0"/>
        <v>0</v>
      </c>
    </row>
    <row r="26" spans="1:9" ht="15" thickBot="1" x14ac:dyDescent="0.4">
      <c r="B26" s="68" t="s">
        <v>92</v>
      </c>
      <c r="C26" s="69"/>
      <c r="D26" s="70">
        <f>SUM(D22:D25)</f>
        <v>0</v>
      </c>
      <c r="E26" s="70">
        <f>SUM(E22:E25)</f>
        <v>0</v>
      </c>
      <c r="F26" s="70">
        <f>SUM(F22:F25)</f>
        <v>0</v>
      </c>
      <c r="G26" s="70">
        <f>SUM(G22:G25)</f>
        <v>0</v>
      </c>
      <c r="H26" s="71">
        <f>SUM(H22:H25)</f>
        <v>0</v>
      </c>
    </row>
    <row r="27" spans="1:9" ht="8.15" customHeight="1" thickBot="1" x14ac:dyDescent="0.4">
      <c r="B27" s="72"/>
      <c r="C27" s="73"/>
      <c r="D27" s="74"/>
      <c r="E27" s="74"/>
      <c r="F27" s="74"/>
      <c r="G27" s="75"/>
      <c r="H27" s="75"/>
    </row>
    <row r="28" spans="1:9" ht="26.5" thickBot="1" x14ac:dyDescent="0.4">
      <c r="A28" s="36"/>
      <c r="B28" s="599" t="s">
        <v>93</v>
      </c>
      <c r="C28" s="600"/>
      <c r="D28" s="76" t="s">
        <v>82</v>
      </c>
      <c r="E28" s="76" t="s">
        <v>83</v>
      </c>
      <c r="F28" s="76" t="s">
        <v>84</v>
      </c>
      <c r="G28" s="76" t="s">
        <v>85</v>
      </c>
      <c r="H28" s="77" t="s">
        <v>86</v>
      </c>
      <c r="I28" s="36"/>
    </row>
    <row r="29" spans="1:9" x14ac:dyDescent="0.35">
      <c r="B29" s="78" t="s">
        <v>94</v>
      </c>
      <c r="C29" s="79" t="s">
        <v>95</v>
      </c>
      <c r="D29" s="439">
        <v>0</v>
      </c>
      <c r="E29" s="439">
        <v>0</v>
      </c>
      <c r="F29" s="439">
        <v>0</v>
      </c>
      <c r="G29" s="439">
        <v>0</v>
      </c>
      <c r="H29" s="80">
        <f t="shared" ref="H29:H39" si="1">G29-D29</f>
        <v>0</v>
      </c>
    </row>
    <row r="30" spans="1:9" x14ac:dyDescent="0.35">
      <c r="B30" s="78" t="s">
        <v>94</v>
      </c>
      <c r="C30" s="79" t="s">
        <v>96</v>
      </c>
      <c r="D30" s="439">
        <v>0</v>
      </c>
      <c r="E30" s="439">
        <v>0</v>
      </c>
      <c r="F30" s="439">
        <v>0</v>
      </c>
      <c r="G30" s="439">
        <v>0</v>
      </c>
      <c r="H30" s="65">
        <f t="shared" si="1"/>
        <v>0</v>
      </c>
    </row>
    <row r="31" spans="1:9" x14ac:dyDescent="0.35">
      <c r="B31" s="78" t="s">
        <v>94</v>
      </c>
      <c r="C31" s="79" t="s">
        <v>97</v>
      </c>
      <c r="D31" s="439">
        <v>0</v>
      </c>
      <c r="E31" s="439">
        <v>0</v>
      </c>
      <c r="F31" s="439">
        <v>0</v>
      </c>
      <c r="G31" s="439">
        <v>0</v>
      </c>
      <c r="H31" s="65">
        <f t="shared" si="1"/>
        <v>0</v>
      </c>
    </row>
    <row r="32" spans="1:9" x14ac:dyDescent="0.35">
      <c r="B32" s="78" t="s">
        <v>94</v>
      </c>
      <c r="C32" s="79" t="s">
        <v>98</v>
      </c>
      <c r="D32" s="439">
        <v>0</v>
      </c>
      <c r="E32" s="439">
        <v>0</v>
      </c>
      <c r="F32" s="439">
        <v>0</v>
      </c>
      <c r="G32" s="439">
        <v>0</v>
      </c>
      <c r="H32" s="65">
        <f t="shared" si="1"/>
        <v>0</v>
      </c>
    </row>
    <row r="33" spans="1:9" x14ac:dyDescent="0.35">
      <c r="B33" s="78" t="s">
        <v>94</v>
      </c>
      <c r="C33" s="79" t="s">
        <v>99</v>
      </c>
      <c r="D33" s="439">
        <v>0</v>
      </c>
      <c r="E33" s="439">
        <v>0</v>
      </c>
      <c r="F33" s="439">
        <v>0</v>
      </c>
      <c r="G33" s="439">
        <v>0</v>
      </c>
      <c r="H33" s="65">
        <f t="shared" si="1"/>
        <v>0</v>
      </c>
    </row>
    <row r="34" spans="1:9" x14ac:dyDescent="0.35">
      <c r="B34" s="78" t="s">
        <v>94</v>
      </c>
      <c r="C34" s="79" t="s">
        <v>100</v>
      </c>
      <c r="D34" s="439">
        <v>0</v>
      </c>
      <c r="E34" s="439">
        <v>0</v>
      </c>
      <c r="F34" s="439">
        <v>0</v>
      </c>
      <c r="G34" s="439">
        <v>0</v>
      </c>
      <c r="H34" s="65">
        <f t="shared" si="1"/>
        <v>0</v>
      </c>
      <c r="I34" s="36"/>
    </row>
    <row r="35" spans="1:9" x14ac:dyDescent="0.35">
      <c r="B35" s="78" t="s">
        <v>94</v>
      </c>
      <c r="C35" s="79" t="s">
        <v>101</v>
      </c>
      <c r="D35" s="439">
        <v>0</v>
      </c>
      <c r="E35" s="439">
        <v>0</v>
      </c>
      <c r="F35" s="439">
        <v>0</v>
      </c>
      <c r="G35" s="439">
        <v>0</v>
      </c>
      <c r="H35" s="65">
        <f t="shared" si="1"/>
        <v>0</v>
      </c>
      <c r="I35" s="36"/>
    </row>
    <row r="36" spans="1:9" x14ac:dyDescent="0.35">
      <c r="B36" s="78" t="s">
        <v>94</v>
      </c>
      <c r="C36" s="79" t="s">
        <v>102</v>
      </c>
      <c r="D36" s="439">
        <v>0</v>
      </c>
      <c r="E36" s="439">
        <v>0</v>
      </c>
      <c r="F36" s="439">
        <v>0</v>
      </c>
      <c r="G36" s="439">
        <v>0</v>
      </c>
      <c r="H36" s="65">
        <f t="shared" si="1"/>
        <v>0</v>
      </c>
      <c r="I36" s="36"/>
    </row>
    <row r="37" spans="1:9" x14ac:dyDescent="0.35">
      <c r="B37" s="78" t="s">
        <v>94</v>
      </c>
      <c r="C37" s="79" t="s">
        <v>103</v>
      </c>
      <c r="D37" s="439">
        <v>0</v>
      </c>
      <c r="E37" s="439">
        <v>0</v>
      </c>
      <c r="F37" s="439">
        <v>0</v>
      </c>
      <c r="G37" s="439">
        <v>0</v>
      </c>
      <c r="H37" s="65">
        <f t="shared" si="1"/>
        <v>0</v>
      </c>
    </row>
    <row r="38" spans="1:9" x14ac:dyDescent="0.35">
      <c r="B38" s="78" t="s">
        <v>94</v>
      </c>
      <c r="C38" s="79" t="s">
        <v>104</v>
      </c>
      <c r="D38" s="439">
        <v>0</v>
      </c>
      <c r="E38" s="439">
        <v>0</v>
      </c>
      <c r="F38" s="439">
        <v>0</v>
      </c>
      <c r="G38" s="439">
        <v>0</v>
      </c>
      <c r="H38" s="65">
        <f t="shared" si="1"/>
        <v>0</v>
      </c>
    </row>
    <row r="39" spans="1:9" x14ac:dyDescent="0.35">
      <c r="B39" s="78" t="s">
        <v>94</v>
      </c>
      <c r="C39" s="79" t="s">
        <v>105</v>
      </c>
      <c r="D39" s="439">
        <v>0</v>
      </c>
      <c r="E39" s="439">
        <v>0</v>
      </c>
      <c r="F39" s="439">
        <v>0</v>
      </c>
      <c r="G39" s="439">
        <v>0</v>
      </c>
      <c r="H39" s="65">
        <f t="shared" si="1"/>
        <v>0</v>
      </c>
    </row>
    <row r="40" spans="1:9" x14ac:dyDescent="0.35">
      <c r="B40" s="78" t="s">
        <v>87</v>
      </c>
      <c r="C40" s="67" t="s">
        <v>106</v>
      </c>
      <c r="D40" s="439">
        <v>0</v>
      </c>
      <c r="E40" s="439">
        <v>0</v>
      </c>
      <c r="F40" s="439">
        <v>0</v>
      </c>
      <c r="G40" s="439">
        <v>0</v>
      </c>
      <c r="H40" s="65">
        <f>G40-D40</f>
        <v>0</v>
      </c>
    </row>
    <row r="41" spans="1:9" x14ac:dyDescent="0.35">
      <c r="B41" s="78" t="s">
        <v>87</v>
      </c>
      <c r="C41" s="67" t="s">
        <v>107</v>
      </c>
      <c r="D41" s="439">
        <v>0</v>
      </c>
      <c r="E41" s="439">
        <v>0</v>
      </c>
      <c r="F41" s="439">
        <v>0</v>
      </c>
      <c r="G41" s="439">
        <v>0</v>
      </c>
      <c r="H41" s="65">
        <f t="shared" ref="H41:H45" si="2">G41-D41</f>
        <v>0</v>
      </c>
    </row>
    <row r="42" spans="1:9" x14ac:dyDescent="0.35">
      <c r="B42" s="78" t="s">
        <v>87</v>
      </c>
      <c r="C42" s="67" t="s">
        <v>108</v>
      </c>
      <c r="D42" s="439">
        <v>0</v>
      </c>
      <c r="E42" s="439">
        <v>0</v>
      </c>
      <c r="F42" s="439">
        <v>0</v>
      </c>
      <c r="G42" s="439">
        <v>0</v>
      </c>
      <c r="H42" s="65">
        <f t="shared" si="2"/>
        <v>0</v>
      </c>
    </row>
    <row r="43" spans="1:9" x14ac:dyDescent="0.35">
      <c r="B43" s="78" t="s">
        <v>87</v>
      </c>
      <c r="C43" s="81" t="s">
        <v>1045</v>
      </c>
      <c r="D43" s="439">
        <v>0</v>
      </c>
      <c r="E43" s="439">
        <v>0</v>
      </c>
      <c r="F43" s="439">
        <v>0</v>
      </c>
      <c r="G43" s="439">
        <v>0</v>
      </c>
      <c r="H43" s="65">
        <f t="shared" si="2"/>
        <v>0</v>
      </c>
    </row>
    <row r="44" spans="1:9" x14ac:dyDescent="0.35">
      <c r="B44" s="78" t="s">
        <v>94</v>
      </c>
      <c r="C44" s="540" t="s">
        <v>1044</v>
      </c>
      <c r="D44" s="439">
        <v>0</v>
      </c>
      <c r="E44" s="439">
        <v>0</v>
      </c>
      <c r="F44" s="439">
        <v>0</v>
      </c>
      <c r="G44" s="439">
        <v>0</v>
      </c>
      <c r="H44" s="65">
        <f t="shared" si="2"/>
        <v>0</v>
      </c>
    </row>
    <row r="45" spans="1:9" ht="15" thickBot="1" x14ac:dyDescent="0.4">
      <c r="B45" s="78" t="s">
        <v>94</v>
      </c>
      <c r="C45" s="539" t="s">
        <v>1038</v>
      </c>
      <c r="D45" s="439">
        <v>0</v>
      </c>
      <c r="E45" s="439">
        <v>0</v>
      </c>
      <c r="F45" s="439">
        <v>0</v>
      </c>
      <c r="G45" s="439">
        <v>0</v>
      </c>
      <c r="H45" s="65">
        <f t="shared" si="2"/>
        <v>0</v>
      </c>
    </row>
    <row r="46" spans="1:9" ht="15" thickBot="1" x14ac:dyDescent="0.4">
      <c r="B46" s="68" t="s">
        <v>109</v>
      </c>
      <c r="C46" s="69"/>
      <c r="D46" s="70">
        <f>SUM(D29:D43)</f>
        <v>0</v>
      </c>
      <c r="E46" s="70">
        <f>SUM(E29:E43)</f>
        <v>0</v>
      </c>
      <c r="F46" s="70">
        <f t="shared" ref="F46:H46" si="3">SUM(F29:F43)</f>
        <v>0</v>
      </c>
      <c r="G46" s="70">
        <f t="shared" si="3"/>
        <v>0</v>
      </c>
      <c r="H46" s="70">
        <f t="shared" si="3"/>
        <v>0</v>
      </c>
    </row>
    <row r="47" spans="1:9" ht="8.15" customHeight="1" thickBot="1" x14ac:dyDescent="0.4">
      <c r="B47" s="72"/>
      <c r="C47" s="73"/>
      <c r="D47" s="82"/>
      <c r="E47" s="83"/>
      <c r="F47" s="83"/>
      <c r="G47" s="83"/>
      <c r="H47" s="83"/>
    </row>
    <row r="48" spans="1:9" ht="26.5" thickBot="1" x14ac:dyDescent="0.4">
      <c r="A48" s="36"/>
      <c r="B48" s="599" t="s">
        <v>110</v>
      </c>
      <c r="C48" s="600"/>
      <c r="D48" s="84" t="s">
        <v>82</v>
      </c>
      <c r="E48" s="84" t="s">
        <v>83</v>
      </c>
      <c r="F48" s="84" t="s">
        <v>84</v>
      </c>
      <c r="G48" s="84" t="s">
        <v>85</v>
      </c>
      <c r="H48" s="85" t="s">
        <v>86</v>
      </c>
      <c r="I48" s="86"/>
    </row>
    <row r="49" spans="2:8" x14ac:dyDescent="0.35">
      <c r="B49" s="66" t="s">
        <v>111</v>
      </c>
      <c r="C49" s="79" t="s">
        <v>112</v>
      </c>
      <c r="D49" s="520">
        <f>'Subcontractor Breakdown'!E39</f>
        <v>0</v>
      </c>
      <c r="E49" s="520">
        <f>'Subcontractor Breakdown'!H39</f>
        <v>0</v>
      </c>
      <c r="F49" s="520">
        <f>'Subcontractor Breakdown'!I39</f>
        <v>0</v>
      </c>
      <c r="G49" s="439">
        <v>0</v>
      </c>
      <c r="H49" s="65">
        <f>G49-D49</f>
        <v>0</v>
      </c>
    </row>
    <row r="50" spans="2:8" x14ac:dyDescent="0.35">
      <c r="B50" s="66" t="s">
        <v>113</v>
      </c>
      <c r="C50" s="79" t="s">
        <v>114</v>
      </c>
      <c r="D50" s="520">
        <f>'Subcontractor Breakdown'!E48+'Subcontractor Breakdown'!E61+'Subcontractor Breakdown'!E71</f>
        <v>0</v>
      </c>
      <c r="E50" s="520">
        <f>'Subcontractor Breakdown'!H48+'Subcontractor Breakdown'!H61+'Subcontractor Breakdown'!H71</f>
        <v>0</v>
      </c>
      <c r="F50" s="520">
        <f>'Subcontractor Breakdown'!I48+'Subcontractor Breakdown'!I61+'Subcontractor Breakdown'!I71</f>
        <v>0</v>
      </c>
      <c r="G50" s="439">
        <v>0</v>
      </c>
      <c r="H50" s="65">
        <f t="shared" ref="H50:H84" si="4">G50-D50</f>
        <v>0</v>
      </c>
    </row>
    <row r="51" spans="2:8" x14ac:dyDescent="0.35">
      <c r="B51" s="66" t="s">
        <v>115</v>
      </c>
      <c r="C51" s="79" t="s">
        <v>116</v>
      </c>
      <c r="D51" s="520">
        <f>'Subcontractor Breakdown'!E80+'Subcontractor Breakdown'!E93+'Subcontractor Breakdown'!E105+'Subcontractor Breakdown'!E117+'Subcontractor Breakdown'!E127</f>
        <v>0</v>
      </c>
      <c r="E51" s="520">
        <f>'Subcontractor Breakdown'!H80+'Subcontractor Breakdown'!H93+'Subcontractor Breakdown'!H105+'Subcontractor Breakdown'!H117+'Subcontractor Breakdown'!H127</f>
        <v>0</v>
      </c>
      <c r="F51" s="520">
        <f>'Subcontractor Breakdown'!I80+'Subcontractor Breakdown'!I93+'Subcontractor Breakdown'!I105+'Subcontractor Breakdown'!I117+'Subcontractor Breakdown'!I127</f>
        <v>0</v>
      </c>
      <c r="G51" s="439">
        <v>0</v>
      </c>
      <c r="H51" s="65">
        <f t="shared" si="4"/>
        <v>0</v>
      </c>
    </row>
    <row r="52" spans="2:8" x14ac:dyDescent="0.35">
      <c r="B52" s="66" t="s">
        <v>117</v>
      </c>
      <c r="C52" s="79" t="s">
        <v>118</v>
      </c>
      <c r="D52" s="520">
        <f>'Subcontractor Breakdown'!E141</f>
        <v>0</v>
      </c>
      <c r="E52" s="520">
        <f>'Subcontractor Breakdown'!H141</f>
        <v>0</v>
      </c>
      <c r="F52" s="520">
        <f>'Subcontractor Breakdown'!I141</f>
        <v>0</v>
      </c>
      <c r="G52" s="439">
        <v>0</v>
      </c>
      <c r="H52" s="65">
        <f t="shared" si="4"/>
        <v>0</v>
      </c>
    </row>
    <row r="53" spans="2:8" x14ac:dyDescent="0.35">
      <c r="B53" s="66" t="s">
        <v>119</v>
      </c>
      <c r="C53" s="79" t="s">
        <v>120</v>
      </c>
      <c r="D53" s="520">
        <f>'Subcontractor Breakdown'!E150</f>
        <v>0</v>
      </c>
      <c r="E53" s="520">
        <f>'Subcontractor Breakdown'!H150</f>
        <v>0</v>
      </c>
      <c r="F53" s="520">
        <f>'Subcontractor Breakdown'!I150</f>
        <v>0</v>
      </c>
      <c r="G53" s="439">
        <v>0</v>
      </c>
      <c r="H53" s="65">
        <f t="shared" si="4"/>
        <v>0</v>
      </c>
    </row>
    <row r="54" spans="2:8" x14ac:dyDescent="0.35">
      <c r="B54" s="66" t="s">
        <v>121</v>
      </c>
      <c r="C54" s="521" t="s">
        <v>122</v>
      </c>
      <c r="D54" s="520">
        <f>'Subcontractor Breakdown'!E158</f>
        <v>0</v>
      </c>
      <c r="E54" s="520">
        <f>'Subcontractor Breakdown'!H158</f>
        <v>0</v>
      </c>
      <c r="F54" s="520">
        <f>'Subcontractor Breakdown'!I158</f>
        <v>0</v>
      </c>
      <c r="G54" s="439">
        <v>0</v>
      </c>
      <c r="H54" s="65">
        <f t="shared" si="4"/>
        <v>0</v>
      </c>
    </row>
    <row r="55" spans="2:8" x14ac:dyDescent="0.35">
      <c r="B55" s="66" t="s">
        <v>123</v>
      </c>
      <c r="C55" s="521" t="s">
        <v>124</v>
      </c>
      <c r="D55" s="520">
        <f>'Subcontractor Breakdown'!E177</f>
        <v>0</v>
      </c>
      <c r="E55" s="520">
        <f>'Subcontractor Breakdown'!H177</f>
        <v>0</v>
      </c>
      <c r="F55" s="520">
        <f>'Subcontractor Breakdown'!I177</f>
        <v>0</v>
      </c>
      <c r="G55" s="439">
        <v>0</v>
      </c>
      <c r="H55" s="65">
        <f t="shared" si="4"/>
        <v>0</v>
      </c>
    </row>
    <row r="56" spans="2:8" x14ac:dyDescent="0.35">
      <c r="B56" s="66" t="s">
        <v>125</v>
      </c>
      <c r="C56" s="521" t="s">
        <v>126</v>
      </c>
      <c r="D56" s="520">
        <f>'Subcontractor Breakdown'!E185</f>
        <v>0</v>
      </c>
      <c r="E56" s="520">
        <f>'Subcontractor Breakdown'!H185</f>
        <v>0</v>
      </c>
      <c r="F56" s="520">
        <f>'Subcontractor Breakdown'!I185</f>
        <v>0</v>
      </c>
      <c r="G56" s="439">
        <v>0</v>
      </c>
      <c r="H56" s="65">
        <f t="shared" si="4"/>
        <v>0</v>
      </c>
    </row>
    <row r="57" spans="2:8" x14ac:dyDescent="0.35">
      <c r="B57" s="66" t="s">
        <v>127</v>
      </c>
      <c r="C57" s="521" t="s">
        <v>128</v>
      </c>
      <c r="D57" s="520">
        <f>'Subcontractor Breakdown'!E207+'Subcontractor Breakdown'!E223</f>
        <v>0</v>
      </c>
      <c r="E57" s="520">
        <f>'Subcontractor Breakdown'!H207+'Subcontractor Breakdown'!H223</f>
        <v>0</v>
      </c>
      <c r="F57" s="520">
        <f>'Subcontractor Breakdown'!I207+'Subcontractor Breakdown'!I223</f>
        <v>0</v>
      </c>
      <c r="G57" s="439">
        <v>0</v>
      </c>
      <c r="H57" s="65">
        <f t="shared" si="4"/>
        <v>0</v>
      </c>
    </row>
    <row r="58" spans="2:8" x14ac:dyDescent="0.35">
      <c r="B58" s="66" t="s">
        <v>129</v>
      </c>
      <c r="C58" s="521" t="s">
        <v>130</v>
      </c>
      <c r="D58" s="520">
        <f>'Subcontractor Breakdown'!E234</f>
        <v>0</v>
      </c>
      <c r="E58" s="520">
        <f>'Subcontractor Breakdown'!H234</f>
        <v>0</v>
      </c>
      <c r="F58" s="520">
        <f>'Subcontractor Breakdown'!I234</f>
        <v>0</v>
      </c>
      <c r="G58" s="439">
        <v>0</v>
      </c>
      <c r="H58" s="65">
        <f t="shared" si="4"/>
        <v>0</v>
      </c>
    </row>
    <row r="59" spans="2:8" x14ac:dyDescent="0.35">
      <c r="B59" s="66" t="s">
        <v>131</v>
      </c>
      <c r="C59" s="521" t="s">
        <v>132</v>
      </c>
      <c r="D59" s="520">
        <f>'Subcontractor Breakdown'!E249+'Subcontractor Breakdown'!E262</f>
        <v>0</v>
      </c>
      <c r="E59" s="520">
        <f>'Subcontractor Breakdown'!H249+'Subcontractor Breakdown'!H262</f>
        <v>0</v>
      </c>
      <c r="F59" s="520">
        <f>'Subcontractor Breakdown'!I249+'Subcontractor Breakdown'!I262</f>
        <v>0</v>
      </c>
      <c r="G59" s="439">
        <v>0</v>
      </c>
      <c r="H59" s="65">
        <f t="shared" si="4"/>
        <v>0</v>
      </c>
    </row>
    <row r="60" spans="2:8" x14ac:dyDescent="0.35">
      <c r="B60" s="66" t="s">
        <v>133</v>
      </c>
      <c r="C60" s="521" t="s">
        <v>134</v>
      </c>
      <c r="D60" s="520">
        <f>'Subcontractor Breakdown'!E274+'Subcontractor Breakdown'!E284+'Subcontractor Breakdown'!E294</f>
        <v>0</v>
      </c>
      <c r="E60" s="520">
        <f>'Subcontractor Breakdown'!H274+'Subcontractor Breakdown'!H284+'Subcontractor Breakdown'!H294</f>
        <v>0</v>
      </c>
      <c r="F60" s="520">
        <f>'Subcontractor Breakdown'!I274+'Subcontractor Breakdown'!I284+'Subcontractor Breakdown'!I294</f>
        <v>0</v>
      </c>
      <c r="G60" s="439">
        <v>0</v>
      </c>
      <c r="H60" s="65">
        <f t="shared" si="4"/>
        <v>0</v>
      </c>
    </row>
    <row r="61" spans="2:8" x14ac:dyDescent="0.35">
      <c r="B61" s="66" t="s">
        <v>135</v>
      </c>
      <c r="C61" s="521" t="s">
        <v>136</v>
      </c>
      <c r="D61" s="520">
        <f>'Subcontractor Breakdown'!E306+'Subcontractor Breakdown'!E316+'Subcontractor Breakdown'!E330</f>
        <v>0</v>
      </c>
      <c r="E61" s="520">
        <f>'Subcontractor Breakdown'!H306+'Subcontractor Breakdown'!H316+'Subcontractor Breakdown'!H330</f>
        <v>0</v>
      </c>
      <c r="F61" s="520">
        <f>'Subcontractor Breakdown'!I306+'Subcontractor Breakdown'!I316+'Subcontractor Breakdown'!I330</f>
        <v>0</v>
      </c>
      <c r="G61" s="439">
        <v>0</v>
      </c>
      <c r="H61" s="65">
        <f t="shared" si="4"/>
        <v>0</v>
      </c>
    </row>
    <row r="62" spans="2:8" x14ac:dyDescent="0.35">
      <c r="B62" s="66" t="s">
        <v>137</v>
      </c>
      <c r="C62" s="521" t="s">
        <v>138</v>
      </c>
      <c r="D62" s="520">
        <f>'Subcontractor Breakdown'!E356</f>
        <v>0</v>
      </c>
      <c r="E62" s="520">
        <f>'Subcontractor Breakdown'!H356</f>
        <v>0</v>
      </c>
      <c r="F62" s="520">
        <f>'Subcontractor Breakdown'!I356</f>
        <v>0</v>
      </c>
      <c r="G62" s="439">
        <v>0</v>
      </c>
      <c r="H62" s="65">
        <f t="shared" si="4"/>
        <v>0</v>
      </c>
    </row>
    <row r="63" spans="2:8" x14ac:dyDescent="0.35">
      <c r="B63" s="66" t="s">
        <v>139</v>
      </c>
      <c r="C63" s="521" t="s">
        <v>140</v>
      </c>
      <c r="D63" s="520">
        <f>'Subcontractor Breakdown'!E372</f>
        <v>0</v>
      </c>
      <c r="E63" s="520">
        <f>'Subcontractor Breakdown'!H372</f>
        <v>0</v>
      </c>
      <c r="F63" s="520">
        <f>'Subcontractor Breakdown'!I372</f>
        <v>0</v>
      </c>
      <c r="G63" s="439">
        <v>0</v>
      </c>
      <c r="H63" s="65">
        <f t="shared" si="4"/>
        <v>0</v>
      </c>
    </row>
    <row r="64" spans="2:8" x14ac:dyDescent="0.35">
      <c r="B64" s="66" t="s">
        <v>141</v>
      </c>
      <c r="C64" s="521" t="s">
        <v>142</v>
      </c>
      <c r="D64" s="520">
        <f>'Subcontractor Breakdown'!E380</f>
        <v>0</v>
      </c>
      <c r="E64" s="520">
        <f>'Subcontractor Breakdown'!H380</f>
        <v>0</v>
      </c>
      <c r="F64" s="520">
        <f>'Subcontractor Breakdown'!I380</f>
        <v>0</v>
      </c>
      <c r="G64" s="439">
        <v>0</v>
      </c>
      <c r="H64" s="65">
        <f t="shared" si="4"/>
        <v>0</v>
      </c>
    </row>
    <row r="65" spans="1:9" x14ac:dyDescent="0.35">
      <c r="B65" s="66" t="s">
        <v>143</v>
      </c>
      <c r="C65" s="521" t="s">
        <v>144</v>
      </c>
      <c r="D65" s="520">
        <f>'Subcontractor Breakdown'!E389</f>
        <v>0</v>
      </c>
      <c r="E65" s="520">
        <f>'Subcontractor Breakdown'!H389</f>
        <v>0</v>
      </c>
      <c r="F65" s="520">
        <f>'Subcontractor Breakdown'!I389</f>
        <v>0</v>
      </c>
      <c r="G65" s="439">
        <v>0</v>
      </c>
      <c r="H65" s="65">
        <f t="shared" si="4"/>
        <v>0</v>
      </c>
    </row>
    <row r="66" spans="1:9" x14ac:dyDescent="0.35">
      <c r="B66" s="66" t="s">
        <v>145</v>
      </c>
      <c r="C66" s="521" t="s">
        <v>146</v>
      </c>
      <c r="D66" s="520">
        <f>'Subcontractor Breakdown'!E398</f>
        <v>0</v>
      </c>
      <c r="E66" s="520">
        <f>'Subcontractor Breakdown'!H398</f>
        <v>0</v>
      </c>
      <c r="F66" s="520">
        <f>'Subcontractor Breakdown'!I398</f>
        <v>0</v>
      </c>
      <c r="G66" s="439">
        <v>0</v>
      </c>
      <c r="H66" s="65">
        <f t="shared" si="4"/>
        <v>0</v>
      </c>
    </row>
    <row r="67" spans="1:9" x14ac:dyDescent="0.35">
      <c r="B67" s="66" t="s">
        <v>147</v>
      </c>
      <c r="C67" s="521" t="s">
        <v>148</v>
      </c>
      <c r="D67" s="520">
        <f>'Subcontractor Breakdown'!E415</f>
        <v>0</v>
      </c>
      <c r="E67" s="520">
        <f>'Subcontractor Breakdown'!H415</f>
        <v>0</v>
      </c>
      <c r="F67" s="520">
        <f>'Subcontractor Breakdown'!I415</f>
        <v>0</v>
      </c>
      <c r="G67" s="439">
        <v>0</v>
      </c>
      <c r="H67" s="65">
        <f t="shared" si="4"/>
        <v>0</v>
      </c>
    </row>
    <row r="68" spans="1:9" x14ac:dyDescent="0.35">
      <c r="B68" s="66" t="s">
        <v>149</v>
      </c>
      <c r="C68" s="521" t="s">
        <v>150</v>
      </c>
      <c r="D68" s="520">
        <f>'Subcontractor Breakdown'!E429</f>
        <v>0</v>
      </c>
      <c r="E68" s="520">
        <f>'Subcontractor Breakdown'!H429</f>
        <v>0</v>
      </c>
      <c r="F68" s="520">
        <f>'Subcontractor Breakdown'!I429</f>
        <v>0</v>
      </c>
      <c r="G68" s="439">
        <v>0</v>
      </c>
      <c r="H68" s="65">
        <f t="shared" si="4"/>
        <v>0</v>
      </c>
    </row>
    <row r="69" spans="1:9" x14ac:dyDescent="0.35">
      <c r="B69" s="66" t="s">
        <v>151</v>
      </c>
      <c r="C69" s="521" t="s">
        <v>152</v>
      </c>
      <c r="D69" s="520">
        <f>'Subcontractor Breakdown'!E443</f>
        <v>0</v>
      </c>
      <c r="E69" s="520">
        <f>'Subcontractor Breakdown'!H443</f>
        <v>0</v>
      </c>
      <c r="F69" s="520">
        <f>'Subcontractor Breakdown'!I443</f>
        <v>0</v>
      </c>
      <c r="G69" s="439">
        <v>0</v>
      </c>
      <c r="H69" s="65">
        <f t="shared" si="4"/>
        <v>0</v>
      </c>
    </row>
    <row r="70" spans="1:9" x14ac:dyDescent="0.35">
      <c r="B70" s="66" t="s">
        <v>153</v>
      </c>
      <c r="C70" s="521" t="s">
        <v>154</v>
      </c>
      <c r="D70" s="520">
        <f>'Subcontractor Breakdown'!E467</f>
        <v>0</v>
      </c>
      <c r="E70" s="520">
        <f>'Subcontractor Breakdown'!H467</f>
        <v>0</v>
      </c>
      <c r="F70" s="520">
        <f>'Subcontractor Breakdown'!I467</f>
        <v>0</v>
      </c>
      <c r="G70" s="439">
        <v>0</v>
      </c>
      <c r="H70" s="65">
        <f t="shared" si="4"/>
        <v>0</v>
      </c>
    </row>
    <row r="71" spans="1:9" x14ac:dyDescent="0.35">
      <c r="B71" s="66" t="s">
        <v>155</v>
      </c>
      <c r="C71" s="521" t="s">
        <v>156</v>
      </c>
      <c r="D71" s="520">
        <f>'Subcontractor Breakdown'!E481</f>
        <v>0</v>
      </c>
      <c r="E71" s="520">
        <f>'Subcontractor Breakdown'!H481</f>
        <v>0</v>
      </c>
      <c r="F71" s="520">
        <f>'Subcontractor Breakdown'!I481</f>
        <v>0</v>
      </c>
      <c r="G71" s="439">
        <v>0</v>
      </c>
      <c r="H71" s="65">
        <f t="shared" si="4"/>
        <v>0</v>
      </c>
    </row>
    <row r="72" spans="1:9" x14ac:dyDescent="0.35">
      <c r="B72" s="66" t="s">
        <v>157</v>
      </c>
      <c r="C72" s="521" t="s">
        <v>158</v>
      </c>
      <c r="D72" s="520">
        <f>'Subcontractor Breakdown'!E488</f>
        <v>0</v>
      </c>
      <c r="E72" s="520">
        <f>'Subcontractor Breakdown'!H488</f>
        <v>0</v>
      </c>
      <c r="F72" s="520">
        <f>'Subcontractor Breakdown'!I488</f>
        <v>0</v>
      </c>
      <c r="G72" s="439">
        <v>0</v>
      </c>
      <c r="H72" s="65">
        <f t="shared" si="4"/>
        <v>0</v>
      </c>
    </row>
    <row r="73" spans="1:9" x14ac:dyDescent="0.35">
      <c r="B73" s="66" t="s">
        <v>157</v>
      </c>
      <c r="C73" s="522" t="s">
        <v>162</v>
      </c>
      <c r="D73" s="520">
        <f>'Subcontractor Breakdown'!E499</f>
        <v>0</v>
      </c>
      <c r="E73" s="520">
        <f>'Subcontractor Breakdown'!H499</f>
        <v>0</v>
      </c>
      <c r="F73" s="520">
        <f>'Subcontractor Breakdown'!I499</f>
        <v>0</v>
      </c>
      <c r="G73" s="439">
        <v>0</v>
      </c>
      <c r="H73" s="65">
        <f>G73-D73</f>
        <v>0</v>
      </c>
    </row>
    <row r="74" spans="1:9" x14ac:dyDescent="0.35">
      <c r="B74" s="66" t="s">
        <v>157</v>
      </c>
      <c r="C74" s="521" t="s">
        <v>159</v>
      </c>
      <c r="D74" s="520">
        <f>'Subcontractor Breakdown'!E513</f>
        <v>0</v>
      </c>
      <c r="E74" s="520">
        <f>'Subcontractor Breakdown'!H513</f>
        <v>0</v>
      </c>
      <c r="F74" s="520">
        <f>'Subcontractor Breakdown'!I513</f>
        <v>0</v>
      </c>
      <c r="G74" s="439">
        <v>0</v>
      </c>
      <c r="H74" s="65">
        <f>G74-D74</f>
        <v>0</v>
      </c>
    </row>
    <row r="75" spans="1:9" ht="15" thickBot="1" x14ac:dyDescent="0.4">
      <c r="B75" s="66" t="s">
        <v>157</v>
      </c>
      <c r="C75" s="79" t="s">
        <v>1046</v>
      </c>
      <c r="D75" s="440">
        <v>0</v>
      </c>
      <c r="E75" s="440">
        <v>0</v>
      </c>
      <c r="F75" s="440">
        <v>0</v>
      </c>
      <c r="G75" s="439">
        <v>0</v>
      </c>
      <c r="H75" s="65">
        <f t="shared" si="4"/>
        <v>0</v>
      </c>
    </row>
    <row r="76" spans="1:9" ht="15" thickBot="1" x14ac:dyDescent="0.4">
      <c r="B76" s="68" t="s">
        <v>160</v>
      </c>
      <c r="C76" s="69"/>
      <c r="D76" s="70">
        <f>SUM(D49:D75)</f>
        <v>0</v>
      </c>
      <c r="E76" s="70">
        <f>SUM(E49:E75)</f>
        <v>0</v>
      </c>
      <c r="F76" s="70">
        <f>SUM(F49:F75)</f>
        <v>0</v>
      </c>
      <c r="G76" s="70">
        <f>SUM(G49:G75)</f>
        <v>0</v>
      </c>
      <c r="H76" s="70">
        <f>SUM(H49:H74)</f>
        <v>0</v>
      </c>
    </row>
    <row r="77" spans="1:9" ht="8.15" customHeight="1" thickBot="1" x14ac:dyDescent="0.4">
      <c r="B77" s="72"/>
      <c r="C77" s="87"/>
      <c r="D77" s="88"/>
      <c r="E77" s="88"/>
      <c r="F77" s="88"/>
      <c r="G77" s="88"/>
      <c r="H77" s="89"/>
    </row>
    <row r="78" spans="1:9" ht="26.5" thickBot="1" x14ac:dyDescent="0.4">
      <c r="A78" s="36"/>
      <c r="B78" s="599" t="s">
        <v>161</v>
      </c>
      <c r="C78" s="600"/>
      <c r="D78" s="84" t="s">
        <v>82</v>
      </c>
      <c r="E78" s="84" t="s">
        <v>83</v>
      </c>
      <c r="F78" s="84" t="s">
        <v>84</v>
      </c>
      <c r="G78" s="84" t="s">
        <v>85</v>
      </c>
      <c r="H78" s="85" t="s">
        <v>86</v>
      </c>
      <c r="I78" s="86"/>
    </row>
    <row r="79" spans="1:9" x14ac:dyDescent="0.35">
      <c r="B79" s="90" t="s">
        <v>163</v>
      </c>
      <c r="C79" s="67" t="s">
        <v>164</v>
      </c>
      <c r="D79" s="520">
        <f>'TI Allowance &amp; Contingency'!C118</f>
        <v>0</v>
      </c>
      <c r="E79" s="439">
        <v>0</v>
      </c>
      <c r="F79" s="439">
        <v>0</v>
      </c>
      <c r="G79" s="439">
        <v>0</v>
      </c>
      <c r="H79" s="65">
        <f t="shared" si="4"/>
        <v>0</v>
      </c>
    </row>
    <row r="80" spans="1:9" x14ac:dyDescent="0.35">
      <c r="B80" s="66" t="s">
        <v>87</v>
      </c>
      <c r="C80" s="91" t="s">
        <v>165</v>
      </c>
      <c r="D80" s="520">
        <f>'Developer Contingency'!C48</f>
        <v>0</v>
      </c>
      <c r="E80" s="439">
        <v>0</v>
      </c>
      <c r="F80" s="439">
        <v>0</v>
      </c>
      <c r="G80" s="439">
        <v>0</v>
      </c>
      <c r="H80" s="65">
        <f t="shared" si="4"/>
        <v>0</v>
      </c>
    </row>
    <row r="81" spans="2:8" x14ac:dyDescent="0.35">
      <c r="B81" s="92" t="s">
        <v>87</v>
      </c>
      <c r="C81" s="79" t="s">
        <v>166</v>
      </c>
      <c r="D81" s="520">
        <f>'Developer Contingency'!C82</f>
        <v>0</v>
      </c>
      <c r="E81" s="439">
        <v>0</v>
      </c>
      <c r="F81" s="439">
        <v>0</v>
      </c>
      <c r="G81" s="439">
        <v>0</v>
      </c>
      <c r="H81" s="65">
        <f t="shared" si="4"/>
        <v>0</v>
      </c>
    </row>
    <row r="82" spans="2:8" x14ac:dyDescent="0.35">
      <c r="B82" s="92" t="s">
        <v>87</v>
      </c>
      <c r="C82" s="79" t="s">
        <v>167</v>
      </c>
      <c r="D82" s="520">
        <f>'Developer Contingency'!C116</f>
        <v>0</v>
      </c>
      <c r="E82" s="439">
        <v>0</v>
      </c>
      <c r="F82" s="439">
        <v>0</v>
      </c>
      <c r="G82" s="439">
        <v>0</v>
      </c>
      <c r="H82" s="65">
        <f t="shared" si="4"/>
        <v>0</v>
      </c>
    </row>
    <row r="83" spans="2:8" x14ac:dyDescent="0.35">
      <c r="B83" s="92" t="s">
        <v>87</v>
      </c>
      <c r="C83" s="79" t="s">
        <v>168</v>
      </c>
      <c r="D83" s="520">
        <f>'Developer Contingency'!C150</f>
        <v>0</v>
      </c>
      <c r="E83" s="439">
        <v>0</v>
      </c>
      <c r="F83" s="439">
        <v>0</v>
      </c>
      <c r="G83" s="439">
        <v>0</v>
      </c>
      <c r="H83" s="65">
        <f t="shared" si="4"/>
        <v>0</v>
      </c>
    </row>
    <row r="84" spans="2:8" ht="15" thickBot="1" x14ac:dyDescent="0.4">
      <c r="B84" s="92" t="s">
        <v>87</v>
      </c>
      <c r="C84" s="93" t="s">
        <v>169</v>
      </c>
      <c r="D84" s="439">
        <v>0</v>
      </c>
      <c r="E84" s="439">
        <v>0</v>
      </c>
      <c r="F84" s="439">
        <v>0</v>
      </c>
      <c r="G84" s="439">
        <v>0</v>
      </c>
      <c r="H84" s="80">
        <f t="shared" si="4"/>
        <v>0</v>
      </c>
    </row>
    <row r="85" spans="2:8" ht="15" thickBot="1" x14ac:dyDescent="0.4">
      <c r="B85" s="68" t="s">
        <v>170</v>
      </c>
      <c r="C85" s="69"/>
      <c r="D85" s="70">
        <f>SUM(D79:D84)</f>
        <v>0</v>
      </c>
      <c r="E85" s="70">
        <f t="shared" ref="E85:G85" si="5">SUM(E79:E84)</f>
        <v>0</v>
      </c>
      <c r="F85" s="70">
        <f t="shared" si="5"/>
        <v>0</v>
      </c>
      <c r="G85" s="70">
        <f t="shared" si="5"/>
        <v>0</v>
      </c>
      <c r="H85" s="70">
        <f>SUM(H79:H84)</f>
        <v>0</v>
      </c>
    </row>
    <row r="86" spans="2:8" ht="8.15" customHeight="1" thickBot="1" x14ac:dyDescent="0.4">
      <c r="B86" s="523"/>
      <c r="C86" s="524"/>
      <c r="D86" s="528"/>
      <c r="E86" s="528"/>
      <c r="F86" s="528"/>
      <c r="G86" s="528"/>
      <c r="H86" s="528"/>
    </row>
    <row r="87" spans="2:8" ht="16.5" customHeight="1" thickBot="1" x14ac:dyDescent="0.4">
      <c r="B87" s="106" t="s">
        <v>1034</v>
      </c>
      <c r="C87" s="107"/>
      <c r="D87" s="108">
        <f>D46 + D76+ D85</f>
        <v>0</v>
      </c>
      <c r="E87" s="108">
        <f>E46 + E76+ E85</f>
        <v>0</v>
      </c>
      <c r="F87" s="108">
        <f>F46 + F76+ F85</f>
        <v>0</v>
      </c>
      <c r="G87" s="108">
        <f>G46 + G76+ G85</f>
        <v>0</v>
      </c>
      <c r="H87" s="108">
        <f>H46 + H76+ H85</f>
        <v>0</v>
      </c>
    </row>
    <row r="88" spans="2:8" ht="8.15" customHeight="1" thickBot="1" x14ac:dyDescent="0.4">
      <c r="B88" s="525"/>
      <c r="C88" s="526"/>
      <c r="D88" s="527"/>
      <c r="E88" s="527"/>
      <c r="F88" s="527"/>
      <c r="G88" s="527"/>
      <c r="H88" s="527"/>
    </row>
    <row r="89" spans="2:8" ht="26.5" thickBot="1" x14ac:dyDescent="0.4">
      <c r="B89" s="599" t="s">
        <v>171</v>
      </c>
      <c r="C89" s="600"/>
      <c r="D89" s="84" t="s">
        <v>82</v>
      </c>
      <c r="E89" s="84" t="s">
        <v>83</v>
      </c>
      <c r="F89" s="84" t="s">
        <v>84</v>
      </c>
      <c r="G89" s="84" t="s">
        <v>85</v>
      </c>
      <c r="H89" s="85" t="s">
        <v>86</v>
      </c>
    </row>
    <row r="90" spans="2:8" x14ac:dyDescent="0.35">
      <c r="B90" s="66" t="s">
        <v>87</v>
      </c>
      <c r="C90" s="79" t="s">
        <v>172</v>
      </c>
      <c r="D90" s="439">
        <v>0</v>
      </c>
      <c r="E90" s="439">
        <v>0</v>
      </c>
      <c r="F90" s="439">
        <v>0</v>
      </c>
      <c r="G90" s="439">
        <v>0</v>
      </c>
      <c r="H90" s="65">
        <f t="shared" ref="H90:H96" si="6">G90-D90</f>
        <v>0</v>
      </c>
    </row>
    <row r="91" spans="2:8" x14ac:dyDescent="0.35">
      <c r="B91" s="66" t="s">
        <v>87</v>
      </c>
      <c r="C91" s="79" t="s">
        <v>173</v>
      </c>
      <c r="D91" s="439">
        <v>0</v>
      </c>
      <c r="E91" s="439">
        <v>0</v>
      </c>
      <c r="F91" s="439">
        <v>0</v>
      </c>
      <c r="G91" s="439">
        <v>0</v>
      </c>
      <c r="H91" s="65">
        <f t="shared" si="6"/>
        <v>0</v>
      </c>
    </row>
    <row r="92" spans="2:8" x14ac:dyDescent="0.35">
      <c r="B92" s="66" t="s">
        <v>87</v>
      </c>
      <c r="C92" s="79" t="s">
        <v>174</v>
      </c>
      <c r="D92" s="439">
        <v>0</v>
      </c>
      <c r="E92" s="439">
        <v>0</v>
      </c>
      <c r="F92" s="439">
        <v>0</v>
      </c>
      <c r="G92" s="439">
        <v>0</v>
      </c>
      <c r="H92" s="65">
        <f t="shared" si="6"/>
        <v>0</v>
      </c>
    </row>
    <row r="93" spans="2:8" x14ac:dyDescent="0.35">
      <c r="B93" s="66" t="s">
        <v>87</v>
      </c>
      <c r="C93" s="79" t="s">
        <v>175</v>
      </c>
      <c r="D93" s="439">
        <v>0</v>
      </c>
      <c r="E93" s="439">
        <v>0</v>
      </c>
      <c r="F93" s="439">
        <v>0</v>
      </c>
      <c r="G93" s="439">
        <v>0</v>
      </c>
      <c r="H93" s="65">
        <f t="shared" si="6"/>
        <v>0</v>
      </c>
    </row>
    <row r="94" spans="2:8" x14ac:dyDescent="0.35">
      <c r="B94" s="66" t="s">
        <v>87</v>
      </c>
      <c r="C94" s="79" t="s">
        <v>176</v>
      </c>
      <c r="D94" s="439">
        <v>0</v>
      </c>
      <c r="E94" s="439">
        <v>0</v>
      </c>
      <c r="F94" s="439">
        <v>0</v>
      </c>
      <c r="G94" s="439">
        <v>0</v>
      </c>
      <c r="H94" s="65">
        <f t="shared" si="6"/>
        <v>0</v>
      </c>
    </row>
    <row r="95" spans="2:8" x14ac:dyDescent="0.35">
      <c r="B95" s="66" t="s">
        <v>87</v>
      </c>
      <c r="C95" s="79" t="s">
        <v>177</v>
      </c>
      <c r="D95" s="439">
        <v>0</v>
      </c>
      <c r="E95" s="439">
        <v>0</v>
      </c>
      <c r="F95" s="439">
        <v>0</v>
      </c>
      <c r="G95" s="439">
        <v>0</v>
      </c>
      <c r="H95" s="65">
        <f t="shared" si="6"/>
        <v>0</v>
      </c>
    </row>
    <row r="96" spans="2:8" ht="15" thickBot="1" x14ac:dyDescent="0.4">
      <c r="B96" s="97" t="s">
        <v>87</v>
      </c>
      <c r="C96" s="79" t="s">
        <v>178</v>
      </c>
      <c r="D96" s="439">
        <v>0</v>
      </c>
      <c r="E96" s="439">
        <v>0</v>
      </c>
      <c r="F96" s="439">
        <v>0</v>
      </c>
      <c r="G96" s="439">
        <v>0</v>
      </c>
      <c r="H96" s="80">
        <f t="shared" si="6"/>
        <v>0</v>
      </c>
    </row>
    <row r="97" spans="2:9" ht="15" thickBot="1" x14ac:dyDescent="0.4">
      <c r="B97" s="68" t="s">
        <v>179</v>
      </c>
      <c r="C97" s="69"/>
      <c r="D97" s="70">
        <f>SUM(D90:D96)</f>
        <v>0</v>
      </c>
      <c r="E97" s="70">
        <f t="shared" ref="E97:H97" si="7">SUM(E90:E96)</f>
        <v>0</v>
      </c>
      <c r="F97" s="70">
        <f t="shared" si="7"/>
        <v>0</v>
      </c>
      <c r="G97" s="70">
        <f t="shared" si="7"/>
        <v>0</v>
      </c>
      <c r="H97" s="70">
        <f t="shared" si="7"/>
        <v>0</v>
      </c>
    </row>
    <row r="98" spans="2:9" ht="8.15" customHeight="1" thickBot="1" x14ac:dyDescent="0.4">
      <c r="B98" s="94"/>
      <c r="C98" s="95"/>
      <c r="D98" s="96"/>
      <c r="E98" s="96"/>
      <c r="F98" s="96"/>
      <c r="G98" s="96"/>
      <c r="H98" s="96"/>
    </row>
    <row r="99" spans="2:9" ht="26.5" thickBot="1" x14ac:dyDescent="0.4">
      <c r="B99" s="599" t="s">
        <v>180</v>
      </c>
      <c r="C99" s="600"/>
      <c r="D99" s="84" t="s">
        <v>82</v>
      </c>
      <c r="E99" s="84" t="s">
        <v>83</v>
      </c>
      <c r="F99" s="84" t="s">
        <v>84</v>
      </c>
      <c r="G99" s="84" t="s">
        <v>85</v>
      </c>
      <c r="H99" s="85" t="s">
        <v>86</v>
      </c>
    </row>
    <row r="100" spans="2:9" x14ac:dyDescent="0.35">
      <c r="B100" s="66" t="s">
        <v>87</v>
      </c>
      <c r="C100" s="79" t="s">
        <v>181</v>
      </c>
      <c r="D100" s="439">
        <v>0</v>
      </c>
      <c r="E100" s="439">
        <v>0</v>
      </c>
      <c r="F100" s="439">
        <v>0</v>
      </c>
      <c r="G100" s="439">
        <v>0</v>
      </c>
      <c r="H100" s="65">
        <f>G100-D100</f>
        <v>0</v>
      </c>
    </row>
    <row r="101" spans="2:9" x14ac:dyDescent="0.35">
      <c r="B101" s="66" t="s">
        <v>87</v>
      </c>
      <c r="C101" s="79" t="s">
        <v>182</v>
      </c>
      <c r="D101" s="439">
        <v>0</v>
      </c>
      <c r="E101" s="439">
        <v>0</v>
      </c>
      <c r="F101" s="439">
        <v>0</v>
      </c>
      <c r="G101" s="439">
        <v>0</v>
      </c>
      <c r="H101" s="65">
        <f t="shared" ref="H101:H102" si="8">G101-D101</f>
        <v>0</v>
      </c>
    </row>
    <row r="102" spans="2:9" ht="15" thickBot="1" x14ac:dyDescent="0.4">
      <c r="B102" s="97" t="s">
        <v>87</v>
      </c>
      <c r="C102" s="79" t="s">
        <v>183</v>
      </c>
      <c r="D102" s="439">
        <v>0</v>
      </c>
      <c r="E102" s="439">
        <v>0</v>
      </c>
      <c r="F102" s="439">
        <v>0</v>
      </c>
      <c r="G102" s="439">
        <v>0</v>
      </c>
      <c r="H102" s="65">
        <f t="shared" si="8"/>
        <v>0</v>
      </c>
    </row>
    <row r="103" spans="2:9" ht="15" thickBot="1" x14ac:dyDescent="0.4">
      <c r="B103" s="68" t="s">
        <v>184</v>
      </c>
      <c r="C103" s="69"/>
      <c r="D103" s="70">
        <f>SUM(D100:D102)</f>
        <v>0</v>
      </c>
      <c r="E103" s="70">
        <f t="shared" ref="E103:H103" si="9">SUM(E100:E102)</f>
        <v>0</v>
      </c>
      <c r="F103" s="70">
        <f t="shared" si="9"/>
        <v>0</v>
      </c>
      <c r="G103" s="70">
        <f t="shared" si="9"/>
        <v>0</v>
      </c>
      <c r="H103" s="70">
        <f t="shared" si="9"/>
        <v>0</v>
      </c>
    </row>
    <row r="104" spans="2:9" ht="8.15" customHeight="1" thickBot="1" x14ac:dyDescent="0.4">
      <c r="B104" s="94"/>
      <c r="C104" s="95"/>
      <c r="D104" s="98"/>
      <c r="E104" s="98"/>
      <c r="F104" s="98"/>
      <c r="G104" s="98"/>
      <c r="H104" s="98"/>
    </row>
    <row r="105" spans="2:9" x14ac:dyDescent="0.35">
      <c r="B105" s="66" t="s">
        <v>185</v>
      </c>
      <c r="C105" s="79" t="s">
        <v>186</v>
      </c>
      <c r="D105" s="439">
        <v>0</v>
      </c>
      <c r="E105" s="439">
        <v>0</v>
      </c>
      <c r="F105" s="439">
        <v>0</v>
      </c>
      <c r="G105" s="439">
        <v>0</v>
      </c>
      <c r="H105" s="65">
        <f>G105-D105</f>
        <v>0</v>
      </c>
    </row>
    <row r="106" spans="2:9" ht="15" thickBot="1" x14ac:dyDescent="0.4">
      <c r="B106" s="97" t="s">
        <v>187</v>
      </c>
      <c r="C106" s="99" t="s">
        <v>188</v>
      </c>
      <c r="D106" s="441"/>
      <c r="E106" s="441"/>
      <c r="F106" s="441"/>
      <c r="G106" s="442"/>
      <c r="H106" s="100">
        <f>G106-D106</f>
        <v>0</v>
      </c>
    </row>
    <row r="107" spans="2:9" ht="8.15" customHeight="1" thickBot="1" x14ac:dyDescent="0.4">
      <c r="B107" s="101"/>
      <c r="C107" s="102"/>
      <c r="D107" s="103"/>
      <c r="E107" s="103"/>
      <c r="F107" s="103"/>
      <c r="G107" s="104"/>
      <c r="H107" s="82"/>
      <c r="I107" s="105"/>
    </row>
    <row r="108" spans="2:9" ht="16" thickBot="1" x14ac:dyDescent="0.4">
      <c r="B108" s="106" t="s">
        <v>189</v>
      </c>
      <c r="C108" s="107"/>
      <c r="D108" s="108">
        <f>D106+D105+D103+D97+D85+D26+D46+D76</f>
        <v>0</v>
      </c>
      <c r="E108" s="109">
        <f>E106+E105+E103+E97+E85+E26+E46+E76</f>
        <v>0</v>
      </c>
      <c r="F108" s="109">
        <f>F106+F105+F103+F97+F85+F26+F46+F76</f>
        <v>0</v>
      </c>
      <c r="G108" s="110">
        <f>G106+G105+G103+G97+G85+G26+G46+G76</f>
        <v>0</v>
      </c>
      <c r="H108" s="110">
        <f>H106+H105+H103+H97+H85+H26+H46+H76</f>
        <v>0</v>
      </c>
      <c r="I108" s="105"/>
    </row>
    <row r="109" spans="2:9" ht="8.15" customHeight="1" thickBot="1" x14ac:dyDescent="0.4">
      <c r="B109" s="111"/>
      <c r="C109" s="73"/>
      <c r="D109" s="83"/>
      <c r="E109" s="83"/>
      <c r="F109" s="83"/>
      <c r="G109" s="83"/>
      <c r="H109" s="83"/>
      <c r="I109" s="112"/>
    </row>
    <row r="110" spans="2:9" ht="26.5" thickBot="1" x14ac:dyDescent="0.4">
      <c r="B110" s="599" t="s">
        <v>190</v>
      </c>
      <c r="C110" s="600"/>
      <c r="D110" s="84" t="s">
        <v>82</v>
      </c>
      <c r="E110" s="84" t="s">
        <v>83</v>
      </c>
      <c r="F110" s="84" t="s">
        <v>191</v>
      </c>
      <c r="G110" s="84" t="s">
        <v>85</v>
      </c>
      <c r="H110" s="85" t="s">
        <v>86</v>
      </c>
      <c r="I110" s="112"/>
    </row>
    <row r="111" spans="2:9" x14ac:dyDescent="0.35">
      <c r="B111" s="113" t="s">
        <v>192</v>
      </c>
      <c r="C111" s="79" t="s">
        <v>193</v>
      </c>
      <c r="D111" s="586"/>
      <c r="E111" s="586"/>
      <c r="F111" s="586"/>
      <c r="G111" s="586"/>
      <c r="H111" s="114">
        <f>G111-D111</f>
        <v>0</v>
      </c>
      <c r="I111" s="112"/>
    </row>
    <row r="112" spans="2:9" x14ac:dyDescent="0.35">
      <c r="B112" s="115" t="s">
        <v>192</v>
      </c>
      <c r="C112" s="79" t="s">
        <v>194</v>
      </c>
      <c r="D112" s="586"/>
      <c r="E112" s="586"/>
      <c r="F112" s="586"/>
      <c r="G112" s="586"/>
      <c r="H112" s="116">
        <f>G112-D112</f>
        <v>0</v>
      </c>
      <c r="I112" s="112"/>
    </row>
    <row r="113" spans="1:10" ht="15" thickBot="1" x14ac:dyDescent="0.4">
      <c r="B113" s="117" t="s">
        <v>192</v>
      </c>
      <c r="C113" s="79" t="s">
        <v>195</v>
      </c>
      <c r="D113" s="118">
        <f>H7</f>
        <v>0</v>
      </c>
      <c r="E113" s="439"/>
      <c r="F113" s="488"/>
      <c r="G113" s="119">
        <f>D139</f>
        <v>0</v>
      </c>
      <c r="H113" s="120">
        <f>G113-D113</f>
        <v>0</v>
      </c>
      <c r="I113" s="112"/>
    </row>
    <row r="114" spans="1:10" ht="15" thickBot="1" x14ac:dyDescent="0.4">
      <c r="B114" s="121" t="s">
        <v>196</v>
      </c>
      <c r="C114" s="122"/>
      <c r="D114" s="70">
        <f>SUM(D111:D113)</f>
        <v>0</v>
      </c>
      <c r="E114" s="70">
        <f>SUM(E111:E113)</f>
        <v>0</v>
      </c>
      <c r="F114" s="70">
        <f>SUM(F111:F113)</f>
        <v>0</v>
      </c>
      <c r="G114" s="70">
        <f>SUM(G111:G113)</f>
        <v>0</v>
      </c>
      <c r="H114" s="71">
        <f>SUM(H111:H113)</f>
        <v>0</v>
      </c>
      <c r="I114" s="112"/>
    </row>
    <row r="115" spans="1:10" ht="8.15" customHeight="1" thickBot="1" x14ac:dyDescent="0.4">
      <c r="B115" s="123"/>
      <c r="C115" s="123"/>
      <c r="D115" s="124"/>
      <c r="E115" s="125"/>
      <c r="F115" s="125"/>
      <c r="G115" s="125"/>
      <c r="H115" s="126"/>
      <c r="I115" s="112"/>
    </row>
    <row r="116" spans="1:10" ht="16" thickBot="1" x14ac:dyDescent="0.4">
      <c r="A116" s="105"/>
      <c r="B116" s="106" t="s">
        <v>197</v>
      </c>
      <c r="C116" s="107"/>
      <c r="D116" s="108">
        <f>D114+D108</f>
        <v>0</v>
      </c>
      <c r="E116" s="108">
        <f>E114+E108</f>
        <v>0</v>
      </c>
      <c r="F116" s="109">
        <f>F114+F108</f>
        <v>0</v>
      </c>
      <c r="G116" s="110">
        <f>G114+G108</f>
        <v>0</v>
      </c>
      <c r="H116" s="110">
        <f>G116-D116</f>
        <v>0</v>
      </c>
      <c r="I116" s="105"/>
    </row>
    <row r="117" spans="1:10" ht="8.15" customHeight="1" thickBot="1" x14ac:dyDescent="0.4">
      <c r="A117" s="105"/>
      <c r="B117" s="127"/>
      <c r="C117" s="127"/>
      <c r="D117" s="128"/>
      <c r="E117" s="129"/>
      <c r="F117" s="129"/>
      <c r="G117" s="129"/>
      <c r="H117" s="129"/>
      <c r="I117" s="105"/>
    </row>
    <row r="118" spans="1:10" ht="15" thickBot="1" x14ac:dyDescent="0.4">
      <c r="A118" s="105"/>
      <c r="B118" s="130" t="s">
        <v>1037</v>
      </c>
      <c r="C118" s="131"/>
      <c r="D118" s="421" t="s">
        <v>1033</v>
      </c>
      <c r="E118" s="419"/>
      <c r="F118" s="131"/>
      <c r="G118" s="131"/>
      <c r="H118" s="132"/>
      <c r="I118" s="105"/>
    </row>
    <row r="119" spans="1:10" ht="26.5" x14ac:dyDescent="0.35">
      <c r="A119" s="105"/>
      <c r="B119" s="510" t="s">
        <v>198</v>
      </c>
      <c r="C119" s="511" t="s">
        <v>199</v>
      </c>
      <c r="D119" s="511" t="s">
        <v>200</v>
      </c>
      <c r="E119" s="512" t="s">
        <v>201</v>
      </c>
      <c r="F119" s="512" t="s">
        <v>202</v>
      </c>
      <c r="G119" s="513" t="s">
        <v>203</v>
      </c>
      <c r="H119" s="514" t="s">
        <v>204</v>
      </c>
      <c r="I119" s="105"/>
    </row>
    <row r="120" spans="1:10" x14ac:dyDescent="0.35">
      <c r="B120" s="515"/>
      <c r="C120" s="538"/>
      <c r="D120" s="516"/>
      <c r="E120" s="516"/>
      <c r="F120" s="516"/>
      <c r="G120" s="517"/>
      <c r="H120" s="517"/>
    </row>
    <row r="121" spans="1:10" x14ac:dyDescent="0.35">
      <c r="B121" s="515"/>
      <c r="C121" s="538"/>
      <c r="D121" s="516"/>
      <c r="E121" s="516"/>
      <c r="F121" s="516"/>
      <c r="G121" s="517"/>
      <c r="H121" s="517"/>
    </row>
    <row r="122" spans="1:10" x14ac:dyDescent="0.35">
      <c r="B122" s="515"/>
      <c r="C122" s="538"/>
      <c r="D122" s="516"/>
      <c r="E122" s="516"/>
      <c r="F122" s="516"/>
      <c r="G122" s="517"/>
      <c r="H122" s="517"/>
      <c r="J122" s="542"/>
    </row>
    <row r="123" spans="1:10" x14ac:dyDescent="0.35">
      <c r="B123" s="515"/>
      <c r="C123" s="538"/>
      <c r="D123" s="516"/>
      <c r="E123" s="516"/>
      <c r="F123" s="516"/>
      <c r="G123" s="517"/>
      <c r="H123" s="517"/>
    </row>
    <row r="124" spans="1:10" x14ac:dyDescent="0.35">
      <c r="B124" s="515"/>
      <c r="C124" s="538"/>
      <c r="D124" s="516"/>
      <c r="E124" s="516"/>
      <c r="F124" s="516"/>
      <c r="G124" s="517"/>
      <c r="H124" s="517"/>
    </row>
    <row r="125" spans="1:10" x14ac:dyDescent="0.35">
      <c r="B125" s="515"/>
      <c r="C125" s="538"/>
      <c r="D125" s="516"/>
      <c r="E125" s="516"/>
      <c r="F125" s="516"/>
      <c r="G125" s="517"/>
      <c r="H125" s="517"/>
    </row>
    <row r="126" spans="1:10" x14ac:dyDescent="0.35">
      <c r="B126" s="515"/>
      <c r="C126" s="538"/>
      <c r="D126" s="516"/>
      <c r="E126" s="516"/>
      <c r="F126" s="516"/>
      <c r="G126" s="517"/>
      <c r="H126" s="517"/>
    </row>
    <row r="127" spans="1:10" x14ac:dyDescent="0.35">
      <c r="B127" s="515"/>
      <c r="C127" s="538"/>
      <c r="D127" s="516"/>
      <c r="E127" s="516"/>
      <c r="F127" s="516"/>
      <c r="G127" s="517"/>
      <c r="H127" s="517"/>
    </row>
    <row r="128" spans="1:10" x14ac:dyDescent="0.35">
      <c r="B128" s="515"/>
      <c r="C128" s="538"/>
      <c r="D128" s="516"/>
      <c r="E128" s="516"/>
      <c r="F128" s="516"/>
      <c r="G128" s="517"/>
      <c r="H128" s="517"/>
    </row>
    <row r="129" spans="2:12" x14ac:dyDescent="0.35">
      <c r="B129" s="515"/>
      <c r="C129" s="538"/>
      <c r="D129" s="516"/>
      <c r="E129" s="516"/>
      <c r="F129" s="516"/>
      <c r="G129" s="517"/>
      <c r="H129" s="517"/>
    </row>
    <row r="130" spans="2:12" x14ac:dyDescent="0.35">
      <c r="B130" s="515"/>
      <c r="C130" s="538"/>
      <c r="D130" s="516"/>
      <c r="E130" s="516"/>
      <c r="F130" s="516"/>
      <c r="G130" s="517"/>
      <c r="H130" s="517"/>
    </row>
    <row r="131" spans="2:12" x14ac:dyDescent="0.35">
      <c r="B131" s="515"/>
      <c r="C131" s="541"/>
      <c r="D131" s="519"/>
      <c r="E131" s="516"/>
      <c r="F131" s="516"/>
      <c r="G131" s="517"/>
      <c r="H131" s="517"/>
      <c r="L131" s="483"/>
    </row>
    <row r="132" spans="2:12" x14ac:dyDescent="0.35">
      <c r="B132" s="515"/>
      <c r="C132" s="519"/>
      <c r="D132" s="516"/>
      <c r="E132" s="516"/>
      <c r="F132" s="516"/>
      <c r="G132" s="517"/>
      <c r="H132" s="517"/>
    </row>
    <row r="133" spans="2:12" x14ac:dyDescent="0.35">
      <c r="B133" s="515"/>
      <c r="C133" s="538"/>
      <c r="D133" s="516"/>
      <c r="E133" s="516"/>
      <c r="F133" s="516"/>
      <c r="G133" s="517"/>
      <c r="H133" s="517"/>
    </row>
    <row r="134" spans="2:12" x14ac:dyDescent="0.35">
      <c r="B134" s="515"/>
      <c r="C134" s="538"/>
      <c r="D134" s="516"/>
      <c r="E134" s="516"/>
      <c r="F134" s="516"/>
      <c r="G134" s="517"/>
      <c r="H134" s="517"/>
    </row>
    <row r="135" spans="2:12" ht="29.15" customHeight="1" x14ac:dyDescent="0.35">
      <c r="B135" s="518"/>
      <c r="C135" s="518"/>
      <c r="D135" s="518"/>
      <c r="E135" s="516"/>
      <c r="F135" s="516"/>
      <c r="G135" s="517"/>
      <c r="H135" s="517"/>
    </row>
    <row r="136" spans="2:12" x14ac:dyDescent="0.35">
      <c r="B136" s="482"/>
      <c r="C136" s="481" t="s">
        <v>205</v>
      </c>
      <c r="D136" s="135">
        <v>0</v>
      </c>
      <c r="E136" s="136"/>
      <c r="F136" s="137"/>
      <c r="G136" s="137"/>
      <c r="H136" s="138"/>
    </row>
    <row r="137" spans="2:12" ht="15" thickBot="1" x14ac:dyDescent="0.4">
      <c r="B137" s="139"/>
      <c r="C137" s="140"/>
      <c r="D137" s="141"/>
      <c r="E137" s="141"/>
      <c r="F137" s="141"/>
      <c r="G137" s="142"/>
      <c r="H137" s="143"/>
    </row>
    <row r="138" spans="2:12" ht="8.15" customHeight="1" thickBot="1" x14ac:dyDescent="0.4"/>
    <row r="139" spans="2:12" ht="15" thickBot="1" x14ac:dyDescent="0.4">
      <c r="B139" s="144"/>
      <c r="C139" s="145" t="s">
        <v>206</v>
      </c>
      <c r="D139" s="146">
        <f>SUMIFS(D120:D136,E120:E136,"",F120:F136,"")</f>
        <v>0</v>
      </c>
      <c r="E139" s="146">
        <f>SUM(E120:E136)</f>
        <v>0</v>
      </c>
      <c r="F139" s="147">
        <f>SUM(F120:F137)</f>
        <v>0</v>
      </c>
    </row>
    <row r="140" spans="2:12" ht="8.15" customHeight="1" thickBot="1" x14ac:dyDescent="0.4"/>
    <row r="141" spans="2:12" ht="15" thickBot="1" x14ac:dyDescent="0.4">
      <c r="B141" s="148" t="s">
        <v>207</v>
      </c>
      <c r="C141" s="149"/>
      <c r="D141" s="422" t="s">
        <v>1033</v>
      </c>
      <c r="E141" s="420"/>
    </row>
    <row r="142" spans="2:12" ht="27" thickBot="1" x14ac:dyDescent="0.4">
      <c r="B142" s="133" t="s">
        <v>208</v>
      </c>
      <c r="C142" s="134" t="s">
        <v>209</v>
      </c>
      <c r="D142" s="150" t="s">
        <v>210</v>
      </c>
      <c r="E142" s="151" t="s">
        <v>211</v>
      </c>
    </row>
    <row r="143" spans="2:12" x14ac:dyDescent="0.35">
      <c r="B143" s="152" t="s">
        <v>212</v>
      </c>
      <c r="C143" s="153">
        <f t="shared" ref="C143:C153" si="10">SUMIF(G$120:G$137,B143,F$120:F$137)+SUMIF(G$120:G$137,B143,E$120:E$137)</f>
        <v>0</v>
      </c>
      <c r="D143" s="154">
        <f t="shared" ref="D143:D153" si="11">IFERROR(C143/SUM(E$139:F$139), 0)</f>
        <v>0</v>
      </c>
      <c r="E143" s="155">
        <f>IFERROR(C143/G116, 0)</f>
        <v>0</v>
      </c>
    </row>
    <row r="144" spans="2:12" x14ac:dyDescent="0.35">
      <c r="B144" s="156" t="s">
        <v>213</v>
      </c>
      <c r="C144" s="157">
        <f t="shared" si="10"/>
        <v>0</v>
      </c>
      <c r="D144" s="158">
        <f t="shared" si="11"/>
        <v>0</v>
      </c>
      <c r="E144" s="159">
        <f>IFERROR(C144/G116, 0)</f>
        <v>0</v>
      </c>
    </row>
    <row r="145" spans="2:5" x14ac:dyDescent="0.35">
      <c r="B145" s="156" t="s">
        <v>214</v>
      </c>
      <c r="C145" s="157">
        <f t="shared" si="10"/>
        <v>0</v>
      </c>
      <c r="D145" s="158">
        <f t="shared" si="11"/>
        <v>0</v>
      </c>
      <c r="E145" s="159">
        <f>IFERROR(C145/G116, 0)</f>
        <v>0</v>
      </c>
    </row>
    <row r="146" spans="2:5" x14ac:dyDescent="0.35">
      <c r="B146" s="156" t="s">
        <v>215</v>
      </c>
      <c r="C146" s="157">
        <f t="shared" si="10"/>
        <v>0</v>
      </c>
      <c r="D146" s="158">
        <f t="shared" si="11"/>
        <v>0</v>
      </c>
      <c r="E146" s="159">
        <f>IFERROR(C146/G116, 0)</f>
        <v>0</v>
      </c>
    </row>
    <row r="147" spans="2:5" x14ac:dyDescent="0.35">
      <c r="B147" s="156" t="s">
        <v>216</v>
      </c>
      <c r="C147" s="157">
        <f t="shared" si="10"/>
        <v>0</v>
      </c>
      <c r="D147" s="158">
        <f t="shared" si="11"/>
        <v>0</v>
      </c>
      <c r="E147" s="159">
        <f>IFERROR(C147/G116, 0)</f>
        <v>0</v>
      </c>
    </row>
    <row r="148" spans="2:5" x14ac:dyDescent="0.35">
      <c r="B148" s="156" t="s">
        <v>217</v>
      </c>
      <c r="C148" s="157">
        <f t="shared" si="10"/>
        <v>0</v>
      </c>
      <c r="D148" s="158">
        <f t="shared" si="11"/>
        <v>0</v>
      </c>
      <c r="E148" s="159">
        <f>IFERROR(C148/G116, 0)</f>
        <v>0</v>
      </c>
    </row>
    <row r="149" spans="2:5" x14ac:dyDescent="0.35">
      <c r="B149" s="156" t="s">
        <v>1057</v>
      </c>
      <c r="C149" s="157">
        <f t="shared" si="10"/>
        <v>0</v>
      </c>
      <c r="D149" s="158">
        <f t="shared" si="11"/>
        <v>0</v>
      </c>
      <c r="E149" s="159">
        <f>IFERROR(C149/G116, 0)</f>
        <v>0</v>
      </c>
    </row>
    <row r="150" spans="2:5" x14ac:dyDescent="0.35">
      <c r="B150" s="156" t="s">
        <v>218</v>
      </c>
      <c r="C150" s="157">
        <f t="shared" si="10"/>
        <v>0</v>
      </c>
      <c r="D150" s="158">
        <f t="shared" si="11"/>
        <v>0</v>
      </c>
      <c r="E150" s="159">
        <f>IFERROR(C150/G116, 0)</f>
        <v>0</v>
      </c>
    </row>
    <row r="151" spans="2:5" x14ac:dyDescent="0.35">
      <c r="B151" s="156" t="s">
        <v>219</v>
      </c>
      <c r="C151" s="157">
        <f t="shared" si="10"/>
        <v>0</v>
      </c>
      <c r="D151" s="158">
        <f t="shared" si="11"/>
        <v>0</v>
      </c>
      <c r="E151" s="159">
        <f>IFERROR(C151/G116, 0)</f>
        <v>0</v>
      </c>
    </row>
    <row r="152" spans="2:5" x14ac:dyDescent="0.35">
      <c r="B152" s="156" t="s">
        <v>220</v>
      </c>
      <c r="C152" s="157">
        <f t="shared" si="10"/>
        <v>0</v>
      </c>
      <c r="D152" s="158">
        <f t="shared" si="11"/>
        <v>0</v>
      </c>
      <c r="E152" s="159">
        <f>IFERROR(C152/G116, 0)</f>
        <v>0</v>
      </c>
    </row>
    <row r="153" spans="2:5" ht="15" thickBot="1" x14ac:dyDescent="0.4">
      <c r="B153" s="160" t="s">
        <v>221</v>
      </c>
      <c r="C153" s="161">
        <f t="shared" si="10"/>
        <v>0</v>
      </c>
      <c r="D153" s="162">
        <f t="shared" si="11"/>
        <v>0</v>
      </c>
      <c r="E153" s="163">
        <f>IFERROR(C153/G116, 0)</f>
        <v>0</v>
      </c>
    </row>
  </sheetData>
  <sheetProtection algorithmName="SHA-512" hashValue="2g+tWNtAuqdxl2QbF5NilbmJKAMUZysbZe8F4uvv5hB5DFLCR7VqdXk+3STNauxNTb1uK6SaWzV/oclV+yc3nw==" saltValue="nKmwgdJpQLOXK9okgRFeJQ==" spinCount="100000" sheet="1" objects="1" scenarios="1"/>
  <mergeCells count="19">
    <mergeCell ref="E16:G16"/>
    <mergeCell ref="E5:G5"/>
    <mergeCell ref="E6:G6"/>
    <mergeCell ref="E7:G7"/>
    <mergeCell ref="E8:G8"/>
    <mergeCell ref="E9:G9"/>
    <mergeCell ref="E10:G10"/>
    <mergeCell ref="E11:G11"/>
    <mergeCell ref="E12:G12"/>
    <mergeCell ref="E13:G13"/>
    <mergeCell ref="E14:G14"/>
    <mergeCell ref="E15:G15"/>
    <mergeCell ref="B110:C110"/>
    <mergeCell ref="F18:G18"/>
    <mergeCell ref="B28:C28"/>
    <mergeCell ref="B48:C48"/>
    <mergeCell ref="B78:C78"/>
    <mergeCell ref="B89:C89"/>
    <mergeCell ref="B99:C99"/>
  </mergeCells>
  <conditionalFormatting sqref="H18">
    <cfRule type="containsText" dxfId="519" priority="2" operator="containsText" text="HIGH">
      <formula>NOT(ISERROR(SEARCH("HIGH",H18)))</formula>
    </cfRule>
    <cfRule type="containsText" dxfId="518" priority="3" operator="containsText" text="LOW">
      <formula>NOT(ISERROR(SEARCH("LOW",H18)))</formula>
    </cfRule>
    <cfRule type="containsText" dxfId="517" priority="4" operator="containsText" text="MEDIUM">
      <formula>NOT(ISERROR(SEARCH("MEDIUM",H18)))</formula>
    </cfRule>
    <cfRule type="containsText" dxfId="516" priority="5" operator="containsText" text="HIGH ">
      <formula>NOT(ISERROR(SEARCH("HIGH ",H18)))</formula>
    </cfRule>
    <cfRule type="cellIs" dxfId="515" priority="6" operator="equal">
      <formula>HIGH</formula>
    </cfRule>
    <cfRule type="containsText" dxfId="514" priority="7" operator="containsText" text="HIGH ">
      <formula>NOT(ISERROR(SEARCH("HIGH ",H18)))</formula>
    </cfRule>
    <cfRule type="colorScale" priority="8">
      <colorScale>
        <cfvo type="num" val="1"/>
        <cfvo type="num" val="2"/>
        <cfvo type="num" val="3"/>
        <color rgb="FFF8696B"/>
        <color rgb="FFFFEB84"/>
        <color rgb="FF63BE7B"/>
      </colorScale>
    </cfRule>
  </conditionalFormatting>
  <conditionalFormatting sqref="H16">
    <cfRule type="cellIs" dxfId="513" priority="1" operator="lessThan">
      <formula>0</formula>
    </cfRule>
  </conditionalFormatting>
  <dataValidations count="7">
    <dataValidation type="list" allowBlank="1" showInputMessage="1" showErrorMessage="1" sqref="C9" xr:uid="{95C2AF27-A63C-4150-9301-59DC246AAF01}">
      <formula1>INDIRECT($C$8)</formula1>
    </dataValidation>
    <dataValidation type="list" allowBlank="1" showInputMessage="1" showErrorMessage="1" sqref="C16" xr:uid="{A34D75B0-822D-44AB-B9E3-3079E9B29E2A}">
      <formula1>"YES, NO"</formula1>
    </dataValidation>
    <dataValidation type="list" allowBlank="1" showInputMessage="1" showErrorMessage="1" sqref="H18" xr:uid="{BC0E2F9E-0E72-4AE7-BFB7-FAEC856A70DF}">
      <formula1>"LOW, MEDIUM, HIGH"</formula1>
    </dataValidation>
    <dataValidation type="list" allowBlank="1" showInputMessage="1" showErrorMessage="1" sqref="G135:G137" xr:uid="{AE321411-29F3-4932-B0DB-3AF5422800E5}">
      <formula1>"IT, WW/OPS ENGINEERING, COMPOSITE, AHJ, START_UP, LAUNCH, EHS, UNFORESEEN SITE CONDITIONS, CONSULTANT COORDINATION, MHE, OTHER"</formula1>
    </dataValidation>
    <dataValidation type="list" allowBlank="1" showInputMessage="1" showErrorMessage="1" sqref="G120:G134" xr:uid="{0BD859EE-C141-4AB7-89E2-9C0DE09B4282}">
      <formula1>"IT, WW/OPS ENGINEERING, COMPOSITE, AHJ, START_UP, LAUNCH, WHS, UNFORESEEN SITE CONDITIONS, CONSULTANT COORDINATION, MHE, OTHER"</formula1>
    </dataValidation>
    <dataValidation type="decimal" operator="notEqual" allowBlank="1" showErrorMessage="1" errorTitle="Do not enter $0 " error="It incorrectly affects Estimated Subtotal" sqref="E120:F136" xr:uid="{3686429F-0F13-42D8-BC1B-6CF5386FCFE3}">
      <formula1>0</formula1>
    </dataValidation>
    <dataValidation type="list" allowBlank="1" showInputMessage="1" showErrorMessage="1" sqref="H120:H137" xr:uid="{4DA0D6F0-AAC6-43A6-A66B-1F68214F3964}">
      <formula1>"TI ALLOWANCE, TI CONTINGENCY, DEV CONTINGENCY, GC CONTINGENCY, BUYOUT SAVINGS, SUPPLEMENTAL"</formula1>
    </dataValidation>
  </dataValidations>
  <pageMargins left="0.25" right="0" top="0.75" bottom="0.75" header="0.3" footer="0.3"/>
  <pageSetup paperSize="8" scale="59" orientation="portrait" r:id="rId1"/>
  <ignoredErrors>
    <ignoredError sqref="D80:D81" unlockedFormula="1"/>
  </ignoredError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875E7577-297C-4D87-BBA4-42AAFF725A98}">
          <x14:formula1>
            <xm:f>Sheet1!$A$1:$G$1</xm:f>
          </x14:formula1>
          <xm:sqref>C8</xm:sqref>
        </x14:dataValidation>
        <x14:dataValidation type="list" allowBlank="1" showInputMessage="1" showErrorMessage="1" xr:uid="{035BAE99-307B-4EE8-A4F7-EA61C05AB373}">
          <x14:formula1>
            <xm:f>Sheet1!$H$2:$H$16</xm:f>
          </x14:formula1>
          <xm:sqref>C17</xm:sqref>
        </x14:dataValidation>
        <x14:dataValidation type="list" allowBlank="1" showInputMessage="1" showErrorMessage="1" xr:uid="{B9A379E5-80CA-46AF-87B3-3D65C9A87D18}">
          <x14:formula1>
            <xm:f>Sheet1!$J$2:$J$57</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537F6-C787-4244-B1D2-95702E7705FA}">
  <sheetPr codeName="Sheet4">
    <pageSetUpPr fitToPage="1"/>
  </sheetPr>
  <dimension ref="A1:Z520"/>
  <sheetViews>
    <sheetView zoomScaleNormal="100" workbookViewId="0">
      <selection activeCell="I3" sqref="I3"/>
    </sheetView>
  </sheetViews>
  <sheetFormatPr defaultColWidth="9.1796875" defaultRowHeight="14.5" x14ac:dyDescent="0.35"/>
  <cols>
    <col min="1" max="1" width="9.54296875" style="164" customWidth="1"/>
    <col min="2" max="2" width="45.453125" style="164" customWidth="1"/>
    <col min="3" max="3" width="15.81640625" style="164" bestFit="1" customWidth="1"/>
    <col min="4" max="4" width="64.81640625" style="165" bestFit="1" customWidth="1"/>
    <col min="5" max="7" width="15.81640625" style="165" customWidth="1"/>
    <col min="8" max="8" width="24.81640625" style="165" bestFit="1" customWidth="1"/>
    <col min="9" max="9" width="24.7265625" style="166" customWidth="1"/>
    <col min="10" max="10" width="13.7265625" style="165" customWidth="1"/>
    <col min="11" max="11" width="17.81640625" style="165" customWidth="1"/>
    <col min="12" max="19" width="9.1796875" style="165"/>
    <col min="20" max="24" width="9.1796875" style="166"/>
    <col min="25" max="16384" width="9.1796875" style="165"/>
  </cols>
  <sheetData>
    <row r="1" spans="1:11" x14ac:dyDescent="0.35">
      <c r="A1" s="35" t="s">
        <v>49</v>
      </c>
      <c r="B1" s="33"/>
    </row>
    <row r="2" spans="1:11" x14ac:dyDescent="0.35">
      <c r="A2" s="34"/>
      <c r="B2" s="33"/>
    </row>
    <row r="3" spans="1:11" x14ac:dyDescent="0.35">
      <c r="A3" s="35" t="s">
        <v>222</v>
      </c>
      <c r="B3" s="33"/>
    </row>
    <row r="4" spans="1:11" ht="15" thickBot="1" x14ac:dyDescent="0.4">
      <c r="A4" s="34"/>
      <c r="B4" s="33"/>
    </row>
    <row r="5" spans="1:11" ht="15" thickBot="1" x14ac:dyDescent="0.4">
      <c r="A5" s="42" t="s">
        <v>53</v>
      </c>
      <c r="B5" s="167">
        <f>'GMP-PO Breakdown'!C5</f>
        <v>0</v>
      </c>
      <c r="D5" s="168" t="s">
        <v>223</v>
      </c>
      <c r="E5" s="621"/>
      <c r="F5" s="622"/>
      <c r="G5" s="623" t="s">
        <v>224</v>
      </c>
      <c r="H5" s="624"/>
    </row>
    <row r="6" spans="1:11" ht="15" thickBot="1" x14ac:dyDescent="0.4">
      <c r="A6" s="165"/>
      <c r="B6" s="165"/>
      <c r="D6" s="169" t="s">
        <v>225</v>
      </c>
      <c r="E6" s="533"/>
      <c r="F6" s="170" t="s">
        <v>226</v>
      </c>
      <c r="G6" s="625" t="s">
        <v>227</v>
      </c>
      <c r="H6" s="626"/>
    </row>
    <row r="7" spans="1:11" ht="15" thickBot="1" x14ac:dyDescent="0.4">
      <c r="A7" s="171" t="s">
        <v>55</v>
      </c>
      <c r="B7" s="172">
        <f>'GMP-PO Breakdown'!C6</f>
        <v>0</v>
      </c>
      <c r="D7" s="173" t="s">
        <v>228</v>
      </c>
      <c r="E7" s="534"/>
      <c r="F7" s="174" t="s">
        <v>229</v>
      </c>
      <c r="G7" s="627" t="s">
        <v>230</v>
      </c>
      <c r="H7" s="628"/>
    </row>
    <row r="8" spans="1:11" ht="15" thickBot="1" x14ac:dyDescent="0.4">
      <c r="A8" s="44" t="s">
        <v>231</v>
      </c>
      <c r="B8" s="175">
        <f>'GMP-PO Breakdown'!C7</f>
        <v>0</v>
      </c>
      <c r="D8" s="176"/>
      <c r="E8" s="176"/>
      <c r="F8" s="176"/>
      <c r="G8" s="176"/>
      <c r="H8" s="176"/>
    </row>
    <row r="9" spans="1:11" x14ac:dyDescent="0.35">
      <c r="A9" s="44" t="s">
        <v>67</v>
      </c>
      <c r="B9" s="175">
        <f>'GMP-PO Breakdown'!C12</f>
        <v>0</v>
      </c>
      <c r="D9" s="177" t="s">
        <v>232</v>
      </c>
      <c r="E9" s="178">
        <f>SUM(E30:E141)/2</f>
        <v>0</v>
      </c>
      <c r="F9" s="178">
        <f>SUM(F30:F141)/2</f>
        <v>0</v>
      </c>
      <c r="G9" s="178">
        <f>SUM(G30:G141)/2</f>
        <v>0</v>
      </c>
      <c r="H9" s="179" t="str">
        <f>IFERROR(G9/E6/43560,"Enter site size above")</f>
        <v>Enter site size above</v>
      </c>
    </row>
    <row r="10" spans="1:11" x14ac:dyDescent="0.35">
      <c r="A10" s="44" t="s">
        <v>69</v>
      </c>
      <c r="B10" s="175">
        <f>'GMP-PO Breakdown'!C13</f>
        <v>0</v>
      </c>
      <c r="D10" s="180" t="s">
        <v>233</v>
      </c>
      <c r="E10" s="181">
        <f>SUM(E152:E499)/2</f>
        <v>0</v>
      </c>
      <c r="F10" s="181">
        <f>SUM(F152:F499)/2</f>
        <v>0</v>
      </c>
      <c r="G10" s="181">
        <f>SUM(G152:G499)/2</f>
        <v>0</v>
      </c>
      <c r="H10" s="182" t="str">
        <f>IFERROR(G10/$E$7,"Enter building size above")</f>
        <v>Enter building size above</v>
      </c>
    </row>
    <row r="11" spans="1:11" ht="15" thickBot="1" x14ac:dyDescent="0.4">
      <c r="A11" s="49" t="s">
        <v>71</v>
      </c>
      <c r="B11" s="183">
        <f>'GMP-PO Breakdown'!C14</f>
        <v>0</v>
      </c>
      <c r="D11" s="180" t="s">
        <v>234</v>
      </c>
      <c r="E11" s="181">
        <f>SUM(E143:E150)/2+SUM(E501:E513)/2</f>
        <v>0</v>
      </c>
      <c r="F11" s="181">
        <f>SUM(F143:F150)/2+SUM(F501:F513)/2</f>
        <v>0</v>
      </c>
      <c r="G11" s="181">
        <f>SUM(G143:G150)/2+SUM(G501:G513)/2</f>
        <v>0</v>
      </c>
      <c r="H11" s="182" t="str">
        <f>IFERROR(G11/$E$7,"Enter building size above")</f>
        <v>Enter building size above</v>
      </c>
      <c r="K11" s="184"/>
    </row>
    <row r="12" spans="1:11" ht="15" thickBot="1" x14ac:dyDescent="0.4">
      <c r="A12" s="185"/>
      <c r="B12" s="186"/>
      <c r="D12" s="187" t="s">
        <v>235</v>
      </c>
      <c r="E12" s="188">
        <f>SUM(E9:E11)</f>
        <v>0</v>
      </c>
      <c r="F12" s="188">
        <f t="shared" ref="F12:G12" si="0">SUM(F9:F11)</f>
        <v>0</v>
      </c>
      <c r="G12" s="188">
        <f t="shared" si="0"/>
        <v>0</v>
      </c>
      <c r="H12" s="189" t="str">
        <f>IFERROR(G12/$E$7,"Enter building size above")</f>
        <v>Enter building size above</v>
      </c>
    </row>
    <row r="13" spans="1:11" ht="15" thickBot="1" x14ac:dyDescent="0.4">
      <c r="A13" s="185"/>
      <c r="B13" s="186"/>
      <c r="D13" s="173" t="s">
        <v>236</v>
      </c>
      <c r="E13" s="535"/>
      <c r="F13" s="535"/>
      <c r="G13" s="190">
        <f>IFERROR(E13/F13, 0)</f>
        <v>0</v>
      </c>
      <c r="H13" s="189"/>
    </row>
    <row r="14" spans="1:11" x14ac:dyDescent="0.35">
      <c r="A14" s="185"/>
      <c r="B14" s="186"/>
      <c r="D14" s="191" t="s">
        <v>237</v>
      </c>
    </row>
    <row r="15" spans="1:11" ht="14.5" hidden="1" customHeight="1" x14ac:dyDescent="0.35">
      <c r="A15" s="185"/>
      <c r="B15" s="186"/>
    </row>
    <row r="16" spans="1:11" ht="14.5" hidden="1" customHeight="1" x14ac:dyDescent="0.35">
      <c r="A16" s="185"/>
      <c r="B16" s="186"/>
    </row>
    <row r="17" spans="1:26" ht="14.5" hidden="1" customHeight="1" x14ac:dyDescent="0.35">
      <c r="A17" s="185"/>
      <c r="B17" s="186"/>
      <c r="D17" s="165" t="s">
        <v>238</v>
      </c>
    </row>
    <row r="18" spans="1:26" ht="14.5" hidden="1" customHeight="1" x14ac:dyDescent="0.35">
      <c r="A18" s="185"/>
      <c r="B18" s="186"/>
      <c r="D18" s="165" t="s">
        <v>239</v>
      </c>
    </row>
    <row r="19" spans="1:26" ht="14.5" hidden="1" customHeight="1" x14ac:dyDescent="0.35">
      <c r="A19" s="185"/>
      <c r="B19" s="186"/>
    </row>
    <row r="20" spans="1:26" ht="14.5" hidden="1" customHeight="1" x14ac:dyDescent="0.35">
      <c r="A20" s="185"/>
      <c r="B20" s="186"/>
    </row>
    <row r="21" spans="1:26" ht="14.5" hidden="1" customHeight="1" x14ac:dyDescent="0.35"/>
    <row r="22" spans="1:26" ht="14.5" hidden="1" customHeight="1" x14ac:dyDescent="0.35"/>
    <row r="23" spans="1:26" ht="14.5" hidden="1" customHeight="1" x14ac:dyDescent="0.35"/>
    <row r="24" spans="1:26" ht="14.5" hidden="1" customHeight="1" x14ac:dyDescent="0.35"/>
    <row r="25" spans="1:26" ht="14.5" hidden="1" customHeight="1" x14ac:dyDescent="0.35"/>
    <row r="26" spans="1:26" ht="14.5" hidden="1" customHeight="1" x14ac:dyDescent="0.35"/>
    <row r="27" spans="1:26" ht="4.5" customHeight="1" thickBot="1" x14ac:dyDescent="0.4"/>
    <row r="28" spans="1:26" ht="15.5" thickTop="1" thickBot="1" x14ac:dyDescent="0.4">
      <c r="A28" s="192" t="s">
        <v>240</v>
      </c>
      <c r="B28" s="193" t="s">
        <v>241</v>
      </c>
      <c r="C28" s="194" t="s">
        <v>242</v>
      </c>
      <c r="D28" s="195" t="s">
        <v>243</v>
      </c>
      <c r="E28" s="196" t="s">
        <v>244</v>
      </c>
      <c r="F28" s="195" t="s">
        <v>245</v>
      </c>
      <c r="G28" s="195" t="s">
        <v>246</v>
      </c>
      <c r="H28" s="196" t="s">
        <v>247</v>
      </c>
      <c r="I28" s="195" t="s">
        <v>248</v>
      </c>
      <c r="J28" s="197" t="s">
        <v>249</v>
      </c>
    </row>
    <row r="29" spans="1:26" ht="15" thickTop="1" x14ac:dyDescent="0.35">
      <c r="A29" s="164" t="s">
        <v>111</v>
      </c>
      <c r="B29" s="164" t="s">
        <v>112</v>
      </c>
      <c r="C29" s="164" t="s">
        <v>242</v>
      </c>
      <c r="D29" s="164" t="s">
        <v>243</v>
      </c>
      <c r="E29" s="164" t="s">
        <v>244</v>
      </c>
      <c r="F29" s="198" t="s">
        <v>245</v>
      </c>
      <c r="G29" s="198" t="s">
        <v>246</v>
      </c>
      <c r="H29" s="198" t="s">
        <v>247</v>
      </c>
      <c r="I29" s="164" t="s">
        <v>250</v>
      </c>
      <c r="J29" s="199" t="s">
        <v>249</v>
      </c>
      <c r="K29" s="166"/>
      <c r="T29" s="165"/>
      <c r="U29" s="165"/>
      <c r="X29" s="200"/>
      <c r="Y29" s="166"/>
      <c r="Z29" s="166"/>
    </row>
    <row r="30" spans="1:26" x14ac:dyDescent="0.35">
      <c r="A30" s="201">
        <v>34</v>
      </c>
      <c r="B30" s="202" t="s">
        <v>251</v>
      </c>
      <c r="C30" s="202" t="s">
        <v>252</v>
      </c>
      <c r="D30" s="203" t="s">
        <v>253</v>
      </c>
      <c r="E30" s="443">
        <v>0</v>
      </c>
      <c r="F30" s="443">
        <v>0</v>
      </c>
      <c r="G30" s="443">
        <v>0</v>
      </c>
      <c r="H30" s="204">
        <f>IF(ABS(OffSite22062444[[#This Row],[Actual Buyout]])+ABS(OffSite22062444[[#This Row],[Change Orders]])=0,OffSite22062444[[#This Row],[Original Contract]],OffSite22062444[[#This Row],[Actual Buyout]]+OffSite22062444[[#This Row],[Change Orders]])</f>
        <v>0</v>
      </c>
      <c r="I30" s="443">
        <v>0</v>
      </c>
      <c r="J30" s="205">
        <f>OffSite22062444[[#This Row],[Original Contract]]-OffSite22062444[[#This Row],[Revised Contract]]</f>
        <v>0</v>
      </c>
      <c r="K30" s="200"/>
      <c r="T30" s="165"/>
      <c r="U30" s="165"/>
      <c r="W30" s="200"/>
      <c r="X30" s="200"/>
      <c r="Y30" s="166"/>
      <c r="Z30" s="166"/>
    </row>
    <row r="31" spans="1:26" x14ac:dyDescent="0.35">
      <c r="A31" s="201">
        <v>34</v>
      </c>
      <c r="B31" s="202" t="s">
        <v>251</v>
      </c>
      <c r="C31" s="202" t="s">
        <v>252</v>
      </c>
      <c r="D31" s="203" t="s">
        <v>254</v>
      </c>
      <c r="E31" s="443">
        <v>0</v>
      </c>
      <c r="F31" s="443">
        <v>0</v>
      </c>
      <c r="G31" s="443">
        <v>0</v>
      </c>
      <c r="H31" s="204">
        <f>IF(ABS(OffSite22062444[[#This Row],[Actual Buyout]])+ABS(OffSite22062444[[#This Row],[Change Orders]])=0,OffSite22062444[[#This Row],[Original Contract]],OffSite22062444[[#This Row],[Actual Buyout]]+OffSite22062444[[#This Row],[Change Orders]])</f>
        <v>0</v>
      </c>
      <c r="I31" s="443">
        <v>0</v>
      </c>
      <c r="J31" s="205">
        <f>OffSite22062444[[#This Row],[Original Contract]]-OffSite22062444[[#This Row],[Revised Contract]]</f>
        <v>0</v>
      </c>
      <c r="K31" s="200"/>
      <c r="T31" s="165"/>
      <c r="U31" s="165"/>
      <c r="W31" s="200"/>
      <c r="X31" s="200"/>
      <c r="Y31" s="166"/>
      <c r="Z31" s="166"/>
    </row>
    <row r="32" spans="1:26" x14ac:dyDescent="0.35">
      <c r="A32" s="201">
        <v>34</v>
      </c>
      <c r="B32" s="202" t="s">
        <v>251</v>
      </c>
      <c r="C32" s="202" t="s">
        <v>252</v>
      </c>
      <c r="D32" s="203" t="s">
        <v>255</v>
      </c>
      <c r="E32" s="443">
        <v>0</v>
      </c>
      <c r="F32" s="443">
        <v>0</v>
      </c>
      <c r="G32" s="443">
        <v>0</v>
      </c>
      <c r="H32" s="204">
        <f>IF(ABS(OffSite22062444[[#This Row],[Actual Buyout]])+ABS(OffSite22062444[[#This Row],[Change Orders]])=0,OffSite22062444[[#This Row],[Original Contract]],OffSite22062444[[#This Row],[Actual Buyout]]+OffSite22062444[[#This Row],[Change Orders]])</f>
        <v>0</v>
      </c>
      <c r="I32" s="443">
        <v>0</v>
      </c>
      <c r="J32" s="205">
        <f>OffSite22062444[[#This Row],[Original Contract]]-OffSite22062444[[#This Row],[Revised Contract]]</f>
        <v>0</v>
      </c>
      <c r="K32" s="200"/>
      <c r="T32" s="165"/>
      <c r="U32" s="165"/>
      <c r="W32" s="200"/>
      <c r="X32" s="200"/>
      <c r="Y32" s="166"/>
      <c r="Z32" s="166"/>
    </row>
    <row r="33" spans="1:26" x14ac:dyDescent="0.35">
      <c r="A33" s="201">
        <v>34</v>
      </c>
      <c r="B33" s="202" t="s">
        <v>1041</v>
      </c>
      <c r="C33" s="202" t="s">
        <v>1039</v>
      </c>
      <c r="D33" s="203" t="s">
        <v>256</v>
      </c>
      <c r="E33" s="443">
        <v>0</v>
      </c>
      <c r="F33" s="443">
        <v>0</v>
      </c>
      <c r="G33" s="443">
        <v>0</v>
      </c>
      <c r="H33" s="204">
        <f>IF(ABS(OffSite22062444[[#This Row],[Actual Buyout]])+ABS(OffSite22062444[[#This Row],[Change Orders]])=0,OffSite22062444[[#This Row],[Original Contract]],OffSite22062444[[#This Row],[Actual Buyout]]+OffSite22062444[[#This Row],[Change Orders]])</f>
        <v>0</v>
      </c>
      <c r="I33" s="443">
        <v>0</v>
      </c>
      <c r="J33" s="205">
        <f>OffSite22062444[[#This Row],[Original Contract]]-OffSite22062444[[#This Row],[Revised Contract]]</f>
        <v>0</v>
      </c>
      <c r="K33" s="200"/>
      <c r="L33" s="166"/>
      <c r="T33" s="165"/>
      <c r="U33" s="165"/>
      <c r="W33" s="200"/>
      <c r="X33" s="200"/>
      <c r="Y33" s="166"/>
      <c r="Z33" s="166"/>
    </row>
    <row r="34" spans="1:26" x14ac:dyDescent="0.35">
      <c r="A34" s="201">
        <v>34</v>
      </c>
      <c r="B34" s="202"/>
      <c r="C34" s="202"/>
      <c r="D34" s="203" t="s">
        <v>257</v>
      </c>
      <c r="E34" s="443">
        <v>0</v>
      </c>
      <c r="F34" s="443">
        <v>0</v>
      </c>
      <c r="G34" s="443">
        <v>0</v>
      </c>
      <c r="H34" s="204">
        <f>IF(ABS(OffSite22062444[[#This Row],[Actual Buyout]])+ABS(OffSite22062444[[#This Row],[Change Orders]])=0,OffSite22062444[[#This Row],[Original Contract]],OffSite22062444[[#This Row],[Actual Buyout]]+OffSite22062444[[#This Row],[Change Orders]])</f>
        <v>0</v>
      </c>
      <c r="I34" s="443">
        <v>0</v>
      </c>
      <c r="J34" s="205">
        <f>OffSite22062444[[#This Row],[Original Contract]]-OffSite22062444[[#This Row],[Revised Contract]]</f>
        <v>0</v>
      </c>
      <c r="K34" s="200"/>
      <c r="L34" s="166"/>
      <c r="T34" s="165"/>
      <c r="U34" s="165"/>
      <c r="W34" s="200"/>
      <c r="X34" s="200"/>
      <c r="Y34" s="166"/>
      <c r="Z34" s="166"/>
    </row>
    <row r="35" spans="1:26" x14ac:dyDescent="0.35">
      <c r="A35" s="201">
        <v>34</v>
      </c>
      <c r="B35" s="202"/>
      <c r="C35" s="202"/>
      <c r="D35" s="580" t="s">
        <v>258</v>
      </c>
      <c r="E35" s="443">
        <v>0</v>
      </c>
      <c r="F35" s="443">
        <v>0</v>
      </c>
      <c r="G35" s="443">
        <v>0</v>
      </c>
      <c r="H35" s="204">
        <f>IF(ABS(OffSite22062444[[#This Row],[Actual Buyout]])+ABS(OffSite22062444[[#This Row],[Change Orders]])=0,OffSite22062444[[#This Row],[Original Contract]],OffSite22062444[[#This Row],[Actual Buyout]]+OffSite22062444[[#This Row],[Change Orders]])</f>
        <v>0</v>
      </c>
      <c r="I35" s="443">
        <v>0</v>
      </c>
      <c r="J35" s="205">
        <f>OffSite22062444[[#This Row],[Original Contract]]-OffSite22062444[[#This Row],[Revised Contract]]</f>
        <v>0</v>
      </c>
      <c r="K35" s="200"/>
      <c r="L35" s="166"/>
      <c r="T35" s="165"/>
      <c r="U35" s="165"/>
      <c r="W35" s="200"/>
      <c r="X35" s="200"/>
      <c r="Y35" s="166"/>
      <c r="Z35" s="166"/>
    </row>
    <row r="36" spans="1:26" x14ac:dyDescent="0.35">
      <c r="A36" s="201">
        <v>34</v>
      </c>
      <c r="B36" s="202"/>
      <c r="C36" s="202"/>
      <c r="D36" s="580" t="s">
        <v>258</v>
      </c>
      <c r="E36" s="443">
        <v>0</v>
      </c>
      <c r="F36" s="443">
        <v>0</v>
      </c>
      <c r="G36" s="443">
        <v>0</v>
      </c>
      <c r="H36" s="204">
        <f>IF(ABS(OffSite22062444[[#This Row],[Actual Buyout]])+ABS(OffSite22062444[[#This Row],[Change Orders]])=0,OffSite22062444[[#This Row],[Original Contract]],OffSite22062444[[#This Row],[Actual Buyout]]+OffSite22062444[[#This Row],[Change Orders]])</f>
        <v>0</v>
      </c>
      <c r="I36" s="443">
        <v>0</v>
      </c>
      <c r="J36" s="205">
        <f>OffSite22062444[[#This Row],[Original Contract]]-OffSite22062444[[#This Row],[Revised Contract]]</f>
        <v>0</v>
      </c>
      <c r="K36" s="200"/>
      <c r="L36" s="166"/>
      <c r="T36" s="165"/>
      <c r="U36" s="165"/>
      <c r="W36" s="200"/>
      <c r="X36" s="200"/>
      <c r="Y36" s="166"/>
      <c r="Z36" s="166"/>
    </row>
    <row r="37" spans="1:26" x14ac:dyDescent="0.35">
      <c r="A37" s="201">
        <v>34</v>
      </c>
      <c r="B37" s="202"/>
      <c r="C37" s="202"/>
      <c r="D37" s="580" t="s">
        <v>258</v>
      </c>
      <c r="E37" s="443">
        <v>0</v>
      </c>
      <c r="F37" s="443">
        <v>0</v>
      </c>
      <c r="G37" s="443">
        <v>0</v>
      </c>
      <c r="H37" s="204">
        <f>IF(ABS(OffSite22062444[[#This Row],[Actual Buyout]])+ABS(OffSite22062444[[#This Row],[Change Orders]])=0,OffSite22062444[[#This Row],[Original Contract]],OffSite22062444[[#This Row],[Actual Buyout]]+OffSite22062444[[#This Row],[Change Orders]])</f>
        <v>0</v>
      </c>
      <c r="I37" s="443">
        <v>0</v>
      </c>
      <c r="J37" s="205">
        <f>OffSite22062444[[#This Row],[Original Contract]]-OffSite22062444[[#This Row],[Revised Contract]]</f>
        <v>0</v>
      </c>
      <c r="K37" s="200"/>
      <c r="L37" s="166"/>
      <c r="T37" s="165"/>
      <c r="U37" s="165"/>
      <c r="W37" s="200"/>
      <c r="X37" s="200"/>
      <c r="Y37" s="166"/>
      <c r="Z37" s="166"/>
    </row>
    <row r="38" spans="1:26" x14ac:dyDescent="0.35">
      <c r="A38" s="201">
        <v>34</v>
      </c>
      <c r="B38" s="202"/>
      <c r="C38" s="202"/>
      <c r="D38" s="580" t="s">
        <v>258</v>
      </c>
      <c r="E38" s="443">
        <v>0</v>
      </c>
      <c r="F38" s="443">
        <v>0</v>
      </c>
      <c r="G38" s="443">
        <v>0</v>
      </c>
      <c r="H38" s="204">
        <f>IF(ABS(OffSite22062444[[#This Row],[Actual Buyout]])+ABS(OffSite22062444[[#This Row],[Change Orders]])=0,OffSite22062444[[#This Row],[Original Contract]],OffSite22062444[[#This Row],[Actual Buyout]]+OffSite22062444[[#This Row],[Change Orders]])</f>
        <v>0</v>
      </c>
      <c r="I38" s="443">
        <v>0</v>
      </c>
      <c r="J38" s="205">
        <f>OffSite22062444[[#This Row],[Original Contract]]-OffSite22062444[[#This Row],[Revised Contract]]</f>
        <v>0</v>
      </c>
      <c r="K38" s="200"/>
      <c r="L38" s="166"/>
      <c r="T38" s="165"/>
      <c r="U38" s="165"/>
      <c r="W38" s="200"/>
      <c r="X38" s="200"/>
      <c r="Y38" s="166"/>
      <c r="Z38" s="166"/>
    </row>
    <row r="39" spans="1:26" x14ac:dyDescent="0.35">
      <c r="A39" s="206"/>
      <c r="B39" s="207"/>
      <c r="C39" s="207"/>
      <c r="D39" s="208" t="s">
        <v>259</v>
      </c>
      <c r="E39" s="209">
        <f>SUM(OffSite22062444[Original Contract])</f>
        <v>0</v>
      </c>
      <c r="F39" s="209">
        <f>SUM(OffSite22062444[Actual Buyout])</f>
        <v>0</v>
      </c>
      <c r="G39" s="209">
        <f>SUM(OffSite22062444[Change Orders])</f>
        <v>0</v>
      </c>
      <c r="H39" s="209">
        <f>SUM(OffSite22062444[Revised Contract])</f>
        <v>0</v>
      </c>
      <c r="I39" s="209">
        <f>SUM(OffSite22062444[Total completed and Stored])</f>
        <v>0</v>
      </c>
      <c r="J39" s="210">
        <f>SUM(OffSite22062444[Delta])</f>
        <v>0</v>
      </c>
      <c r="U39" s="200"/>
      <c r="V39" s="200"/>
    </row>
    <row r="40" spans="1:26" x14ac:dyDescent="0.35">
      <c r="A40" s="164" t="s">
        <v>113</v>
      </c>
      <c r="B40" s="164" t="s">
        <v>260</v>
      </c>
      <c r="C40" s="164" t="s">
        <v>242</v>
      </c>
      <c r="D40" s="164" t="s">
        <v>243</v>
      </c>
      <c r="E40" s="164" t="s">
        <v>244</v>
      </c>
      <c r="F40" s="198" t="s">
        <v>245</v>
      </c>
      <c r="G40" s="198" t="s">
        <v>246</v>
      </c>
      <c r="H40" s="198" t="s">
        <v>247</v>
      </c>
      <c r="I40" s="211" t="s">
        <v>250</v>
      </c>
      <c r="J40" s="212" t="s">
        <v>249</v>
      </c>
      <c r="K40" s="200"/>
      <c r="L40" s="200"/>
      <c r="T40" s="165"/>
      <c r="U40" s="165"/>
      <c r="W40" s="200"/>
      <c r="X40" s="200"/>
      <c r="Y40" s="166"/>
      <c r="Z40" s="166"/>
    </row>
    <row r="41" spans="1:26" x14ac:dyDescent="0.35">
      <c r="A41" s="201">
        <v>31</v>
      </c>
      <c r="B41" s="202" t="s">
        <v>1042</v>
      </c>
      <c r="C41" s="202" t="s">
        <v>1040</v>
      </c>
      <c r="D41" s="203" t="s">
        <v>261</v>
      </c>
      <c r="E41" s="443">
        <v>0</v>
      </c>
      <c r="F41" s="443">
        <v>0</v>
      </c>
      <c r="G41" s="443">
        <v>0</v>
      </c>
      <c r="H41" s="204">
        <f>IF(ABS(Demolition32072458[[#This Row],[Actual Buyout]])+ABS(Demolition32072458[[#This Row],[Change Orders]])=0,Demolition32072458[[#This Row],[Original Contract]],Demolition32072458[[#This Row],[Actual Buyout]]+Demolition32072458[[#This Row],[Change Orders]])</f>
        <v>0</v>
      </c>
      <c r="I41" s="443">
        <v>0</v>
      </c>
      <c r="J41" s="214">
        <f>Demolition32072458[[#This Row],[Original Contract]]-Demolition32072458[[#This Row],[Revised Contract]]</f>
        <v>0</v>
      </c>
      <c r="K41" s="200"/>
      <c r="L41" s="166"/>
      <c r="T41" s="165"/>
      <c r="U41" s="165"/>
      <c r="W41" s="200"/>
      <c r="X41" s="200"/>
      <c r="Y41" s="166"/>
      <c r="Z41" s="166"/>
    </row>
    <row r="42" spans="1:26" x14ac:dyDescent="0.35">
      <c r="A42" s="201">
        <v>31</v>
      </c>
      <c r="B42" s="202" t="s">
        <v>1042</v>
      </c>
      <c r="C42" s="202" t="s">
        <v>1040</v>
      </c>
      <c r="D42" s="203" t="s">
        <v>262</v>
      </c>
      <c r="E42" s="443">
        <v>0</v>
      </c>
      <c r="F42" s="443">
        <v>0</v>
      </c>
      <c r="G42" s="443">
        <v>0</v>
      </c>
      <c r="H42" s="204">
        <f>IF(ABS(Demolition32072458[[#This Row],[Actual Buyout]])+ABS(Demolition32072458[[#This Row],[Change Orders]])=0,Demolition32072458[[#This Row],[Original Contract]],Demolition32072458[[#This Row],[Actual Buyout]]+Demolition32072458[[#This Row],[Change Orders]])</f>
        <v>0</v>
      </c>
      <c r="I42" s="443">
        <v>0</v>
      </c>
      <c r="J42" s="214">
        <f>Demolition32072458[[#This Row],[Original Contract]]-Demolition32072458[[#This Row],[Revised Contract]]</f>
        <v>0</v>
      </c>
      <c r="K42" s="200"/>
      <c r="L42" s="166"/>
      <c r="T42" s="165"/>
      <c r="U42" s="165"/>
      <c r="W42" s="200"/>
      <c r="X42" s="200"/>
      <c r="Y42" s="166"/>
      <c r="Z42" s="166"/>
    </row>
    <row r="43" spans="1:26" x14ac:dyDescent="0.35">
      <c r="A43" s="201">
        <v>31</v>
      </c>
      <c r="B43" s="202"/>
      <c r="C43" s="202"/>
      <c r="D43" s="580" t="s">
        <v>258</v>
      </c>
      <c r="E43" s="443">
        <v>0</v>
      </c>
      <c r="F43" s="443">
        <v>0</v>
      </c>
      <c r="G43" s="443">
        <v>0</v>
      </c>
      <c r="H43" s="204">
        <f>IF(ABS(Demolition32072458[[#This Row],[Actual Buyout]])+ABS(Demolition32072458[[#This Row],[Change Orders]])=0,Demolition32072458[[#This Row],[Original Contract]],Demolition32072458[[#This Row],[Actual Buyout]]+Demolition32072458[[#This Row],[Change Orders]])</f>
        <v>0</v>
      </c>
      <c r="I43" s="443">
        <v>0</v>
      </c>
      <c r="J43" s="214">
        <f>Demolition32072458[[#This Row],[Original Contract]]-Demolition32072458[[#This Row],[Revised Contract]]</f>
        <v>0</v>
      </c>
      <c r="K43" s="200"/>
      <c r="L43" s="166"/>
      <c r="T43" s="165"/>
      <c r="U43" s="165"/>
      <c r="W43" s="200"/>
      <c r="X43" s="200"/>
      <c r="Y43" s="166"/>
      <c r="Z43" s="166"/>
    </row>
    <row r="44" spans="1:26" x14ac:dyDescent="0.35">
      <c r="A44" s="201">
        <v>31</v>
      </c>
      <c r="B44" s="202"/>
      <c r="C44" s="202"/>
      <c r="D44" s="580" t="s">
        <v>258</v>
      </c>
      <c r="E44" s="443">
        <v>0</v>
      </c>
      <c r="F44" s="443">
        <v>0</v>
      </c>
      <c r="G44" s="443">
        <v>0</v>
      </c>
      <c r="H44" s="204">
        <f>IF(ABS(Demolition32072458[[#This Row],[Actual Buyout]])+ABS(Demolition32072458[[#This Row],[Change Orders]])=0,Demolition32072458[[#This Row],[Original Contract]],Demolition32072458[[#This Row],[Actual Buyout]]+Demolition32072458[[#This Row],[Change Orders]])</f>
        <v>0</v>
      </c>
      <c r="I44" s="443">
        <v>0</v>
      </c>
      <c r="J44" s="215">
        <f>Demolition32072458[[#This Row],[Original Contract]]-Demolition32072458[[#This Row],[Revised Contract]]</f>
        <v>0</v>
      </c>
      <c r="K44" s="200"/>
      <c r="L44" s="166"/>
      <c r="T44" s="165"/>
      <c r="U44" s="165"/>
      <c r="W44" s="200"/>
      <c r="X44" s="200"/>
      <c r="Y44" s="166"/>
      <c r="Z44" s="166"/>
    </row>
    <row r="45" spans="1:26" x14ac:dyDescent="0.35">
      <c r="A45" s="201">
        <v>31</v>
      </c>
      <c r="B45" s="202"/>
      <c r="C45" s="202"/>
      <c r="D45" s="580" t="s">
        <v>258</v>
      </c>
      <c r="E45" s="443">
        <v>0</v>
      </c>
      <c r="F45" s="443">
        <v>0</v>
      </c>
      <c r="G45" s="443">
        <v>0</v>
      </c>
      <c r="H45" s="204">
        <f>IF(ABS(Demolition32072458[[#This Row],[Actual Buyout]])+ABS(Demolition32072458[[#This Row],[Change Orders]])=0,Demolition32072458[[#This Row],[Original Contract]],Demolition32072458[[#This Row],[Actual Buyout]]+Demolition32072458[[#This Row],[Change Orders]])</f>
        <v>0</v>
      </c>
      <c r="I45" s="443">
        <v>0</v>
      </c>
      <c r="J45" s="215">
        <f>Demolition32072458[[#This Row],[Original Contract]]-Demolition32072458[[#This Row],[Revised Contract]]</f>
        <v>0</v>
      </c>
      <c r="K45" s="200"/>
      <c r="L45" s="166"/>
      <c r="T45" s="165"/>
      <c r="U45" s="165"/>
      <c r="W45" s="200"/>
      <c r="X45" s="200"/>
      <c r="Y45" s="166"/>
      <c r="Z45" s="166"/>
    </row>
    <row r="46" spans="1:26" x14ac:dyDescent="0.35">
      <c r="A46" s="201">
        <v>31</v>
      </c>
      <c r="B46" s="202"/>
      <c r="C46" s="202"/>
      <c r="D46" s="580" t="s">
        <v>258</v>
      </c>
      <c r="E46" s="443">
        <v>0</v>
      </c>
      <c r="F46" s="443">
        <v>0</v>
      </c>
      <c r="G46" s="443">
        <v>0</v>
      </c>
      <c r="H46" s="204">
        <f>IF(ABS(Demolition32072458[[#This Row],[Actual Buyout]])+ABS(Demolition32072458[[#This Row],[Change Orders]])=0,Demolition32072458[[#This Row],[Original Contract]],Demolition32072458[[#This Row],[Actual Buyout]]+Demolition32072458[[#This Row],[Change Orders]])</f>
        <v>0</v>
      </c>
      <c r="I46" s="443">
        <v>0</v>
      </c>
      <c r="J46" s="213">
        <f>Demolition32072458[[#This Row],[Original Contract]]-Demolition32072458[[#This Row],[Revised Contract]]</f>
        <v>0</v>
      </c>
      <c r="K46" s="216"/>
      <c r="L46" s="217"/>
      <c r="M46" s="184"/>
      <c r="T46" s="165"/>
      <c r="U46" s="165"/>
      <c r="W46" s="200"/>
      <c r="X46" s="200"/>
      <c r="Y46" s="166"/>
      <c r="Z46" s="166"/>
    </row>
    <row r="47" spans="1:26" x14ac:dyDescent="0.35">
      <c r="A47" s="201">
        <v>31</v>
      </c>
      <c r="B47" s="202"/>
      <c r="C47" s="202"/>
      <c r="D47" s="580" t="s">
        <v>258</v>
      </c>
      <c r="E47" s="443">
        <v>0</v>
      </c>
      <c r="F47" s="443">
        <v>0</v>
      </c>
      <c r="G47" s="443">
        <v>0</v>
      </c>
      <c r="H47" s="204">
        <f>IF(ABS(Demolition32072458[[#This Row],[Actual Buyout]])+ABS(Demolition32072458[[#This Row],[Change Orders]])=0,Demolition32072458[[#This Row],[Original Contract]],Demolition32072458[[#This Row],[Actual Buyout]]+Demolition32072458[[#This Row],[Change Orders]])</f>
        <v>0</v>
      </c>
      <c r="I47" s="443">
        <v>0</v>
      </c>
      <c r="J47" s="213">
        <f>Demolition32072458[[#This Row],[Original Contract]]-Demolition32072458[[#This Row],[Revised Contract]]</f>
        <v>0</v>
      </c>
      <c r="K47" s="218"/>
      <c r="L47" s="217"/>
      <c r="M47" s="184"/>
      <c r="T47" s="165"/>
      <c r="U47" s="165"/>
      <c r="W47" s="200"/>
      <c r="X47" s="200"/>
      <c r="Y47" s="166"/>
      <c r="Z47" s="166"/>
    </row>
    <row r="48" spans="1:26" x14ac:dyDescent="0.35">
      <c r="A48" s="219"/>
      <c r="B48" s="220"/>
      <c r="C48" s="220"/>
      <c r="D48" s="208" t="s">
        <v>259</v>
      </c>
      <c r="E48" s="209">
        <f>SUM(Demolition32072458[Original Contract])</f>
        <v>0</v>
      </c>
      <c r="F48" s="209">
        <f>SUM(Demolition32072458[Actual Buyout])</f>
        <v>0</v>
      </c>
      <c r="G48" s="209">
        <f>SUM(Demolition32072458[Change Orders])</f>
        <v>0</v>
      </c>
      <c r="H48" s="209">
        <f>SUM(Demolition32072458[Revised Contract])</f>
        <v>0</v>
      </c>
      <c r="I48" s="209">
        <f>SUM(Demolition32072458[Total completed and Stored])</f>
        <v>0</v>
      </c>
      <c r="J48" s="209">
        <f>SUM(Demolition32072458[Delta])</f>
        <v>0</v>
      </c>
      <c r="K48" s="221"/>
      <c r="L48" s="184"/>
      <c r="M48" s="184"/>
      <c r="U48" s="200"/>
      <c r="V48" s="200"/>
    </row>
    <row r="49" spans="1:26" x14ac:dyDescent="0.35">
      <c r="A49" s="164" t="s">
        <v>113</v>
      </c>
      <c r="B49" s="164" t="s">
        <v>114</v>
      </c>
      <c r="C49" s="164" t="s">
        <v>242</v>
      </c>
      <c r="D49" s="164" t="s">
        <v>243</v>
      </c>
      <c r="E49" s="164" t="s">
        <v>244</v>
      </c>
      <c r="F49" s="198" t="s">
        <v>245</v>
      </c>
      <c r="G49" s="198" t="s">
        <v>246</v>
      </c>
      <c r="H49" s="198" t="s">
        <v>247</v>
      </c>
      <c r="I49" s="211" t="s">
        <v>250</v>
      </c>
      <c r="J49" s="222" t="s">
        <v>249</v>
      </c>
      <c r="K49" s="218"/>
      <c r="L49" s="216"/>
      <c r="M49" s="184"/>
      <c r="T49" s="165"/>
      <c r="U49" s="165"/>
      <c r="W49" s="200"/>
      <c r="X49" s="200"/>
      <c r="Y49" s="166"/>
      <c r="Z49" s="166"/>
    </row>
    <row r="50" spans="1:26" x14ac:dyDescent="0.35">
      <c r="A50" s="201">
        <v>31</v>
      </c>
      <c r="B50" s="202" t="s">
        <v>263</v>
      </c>
      <c r="C50" s="202" t="s">
        <v>264</v>
      </c>
      <c r="D50" s="203" t="s">
        <v>265</v>
      </c>
      <c r="E50" s="443">
        <v>0</v>
      </c>
      <c r="F50" s="443">
        <v>0</v>
      </c>
      <c r="G50" s="443">
        <v>0</v>
      </c>
      <c r="H50" s="204">
        <f>IF(ABS(Earthwork420824611[[#This Row],[Actual Buyout]])+ABS(Earthwork420824611[[#This Row],[Change Orders]])=0,Earthwork420824611[[#This Row],[Original Contract]],Earthwork420824611[[#This Row],[Actual Buyout]]+Earthwork420824611[[#This Row],[Change Orders]])</f>
        <v>0</v>
      </c>
      <c r="I50" s="443">
        <v>0</v>
      </c>
      <c r="J50" s="213">
        <f>Earthwork420824611[[#This Row],[Original Contract]]-Earthwork420824611[[#This Row],[Revised Contract]]</f>
        <v>0</v>
      </c>
      <c r="K50" s="218"/>
      <c r="L50" s="217"/>
      <c r="M50" s="184"/>
      <c r="T50" s="165"/>
      <c r="U50" s="165"/>
      <c r="W50" s="200"/>
      <c r="X50" s="200"/>
      <c r="Y50" s="166"/>
      <c r="Z50" s="166"/>
    </row>
    <row r="51" spans="1:26" x14ac:dyDescent="0.35">
      <c r="A51" s="201">
        <v>31</v>
      </c>
      <c r="B51" s="202" t="s">
        <v>266</v>
      </c>
      <c r="C51" s="202" t="s">
        <v>267</v>
      </c>
      <c r="D51" s="203" t="s">
        <v>268</v>
      </c>
      <c r="E51" s="443">
        <v>0</v>
      </c>
      <c r="F51" s="443">
        <v>0</v>
      </c>
      <c r="G51" s="443">
        <v>0</v>
      </c>
      <c r="H51" s="204">
        <f>IF(ABS(Earthwork420824611[[#This Row],[Actual Buyout]])+ABS(Earthwork420824611[[#This Row],[Change Orders]])=0,Earthwork420824611[[#This Row],[Original Contract]],Earthwork420824611[[#This Row],[Actual Buyout]]+Earthwork420824611[[#This Row],[Change Orders]])</f>
        <v>0</v>
      </c>
      <c r="I51" s="443">
        <v>0</v>
      </c>
      <c r="J51" s="213">
        <f>Earthwork420824611[[#This Row],[Original Contract]]-Earthwork420824611[[#This Row],[Revised Contract]]</f>
        <v>0</v>
      </c>
      <c r="K51" s="218"/>
      <c r="L51" s="217"/>
      <c r="M51" s="184"/>
      <c r="T51" s="165"/>
      <c r="U51" s="165"/>
      <c r="W51" s="200"/>
      <c r="X51" s="200"/>
      <c r="Y51" s="166"/>
      <c r="Z51" s="166"/>
    </row>
    <row r="52" spans="1:26" x14ac:dyDescent="0.35">
      <c r="A52" s="201">
        <v>31</v>
      </c>
      <c r="B52" s="202" t="s">
        <v>269</v>
      </c>
      <c r="C52" s="202" t="s">
        <v>270</v>
      </c>
      <c r="D52" s="203" t="s">
        <v>271</v>
      </c>
      <c r="E52" s="443">
        <v>0</v>
      </c>
      <c r="F52" s="443">
        <v>0</v>
      </c>
      <c r="G52" s="443">
        <v>0</v>
      </c>
      <c r="H52" s="204">
        <f>IF(ABS(Earthwork420824611[[#This Row],[Actual Buyout]])+ABS(Earthwork420824611[[#This Row],[Change Orders]])=0,Earthwork420824611[[#This Row],[Original Contract]],Earthwork420824611[[#This Row],[Actual Buyout]]+Earthwork420824611[[#This Row],[Change Orders]])</f>
        <v>0</v>
      </c>
      <c r="I52" s="443">
        <v>0</v>
      </c>
      <c r="J52" s="213">
        <f>Earthwork420824611[[#This Row],[Original Contract]]-Earthwork420824611[[#This Row],[Revised Contract]]</f>
        <v>0</v>
      </c>
      <c r="K52" s="218"/>
      <c r="L52" s="217"/>
      <c r="M52" s="184"/>
      <c r="T52" s="165"/>
      <c r="U52" s="165"/>
      <c r="W52" s="200"/>
      <c r="X52" s="200"/>
      <c r="Y52" s="166"/>
      <c r="Z52" s="166"/>
    </row>
    <row r="53" spans="1:26" x14ac:dyDescent="0.35">
      <c r="A53" s="201">
        <v>31</v>
      </c>
      <c r="B53" s="202" t="s">
        <v>269</v>
      </c>
      <c r="C53" s="202" t="s">
        <v>270</v>
      </c>
      <c r="D53" s="203" t="s">
        <v>272</v>
      </c>
      <c r="E53" s="443">
        <v>0</v>
      </c>
      <c r="F53" s="443">
        <v>0</v>
      </c>
      <c r="G53" s="443">
        <v>0</v>
      </c>
      <c r="H53" s="204">
        <f>IF(ABS(Earthwork420824611[[#This Row],[Actual Buyout]])+ABS(Earthwork420824611[[#This Row],[Change Orders]])=0,Earthwork420824611[[#This Row],[Original Contract]],Earthwork420824611[[#This Row],[Actual Buyout]]+Earthwork420824611[[#This Row],[Change Orders]])</f>
        <v>0</v>
      </c>
      <c r="I53" s="443">
        <v>0</v>
      </c>
      <c r="J53" s="213">
        <f>Earthwork420824611[[#This Row],[Original Contract]]-Earthwork420824611[[#This Row],[Revised Contract]]</f>
        <v>0</v>
      </c>
      <c r="K53" s="218"/>
      <c r="L53" s="217"/>
      <c r="M53" s="184"/>
      <c r="T53" s="165"/>
      <c r="U53" s="165"/>
      <c r="W53" s="200"/>
      <c r="X53" s="200"/>
      <c r="Y53" s="166"/>
      <c r="Z53" s="166"/>
    </row>
    <row r="54" spans="1:26" x14ac:dyDescent="0.35">
      <c r="A54" s="201">
        <v>31</v>
      </c>
      <c r="B54" s="202" t="s">
        <v>273</v>
      </c>
      <c r="C54" s="202" t="s">
        <v>274</v>
      </c>
      <c r="D54" s="203" t="s">
        <v>275</v>
      </c>
      <c r="E54" s="443">
        <v>0</v>
      </c>
      <c r="F54" s="443">
        <v>0</v>
      </c>
      <c r="G54" s="443">
        <v>0</v>
      </c>
      <c r="H54" s="204">
        <f>IF(ABS(Earthwork420824611[[#This Row],[Actual Buyout]])+ABS(Earthwork420824611[[#This Row],[Change Orders]])=0,Earthwork420824611[[#This Row],[Original Contract]],Earthwork420824611[[#This Row],[Actual Buyout]]+Earthwork420824611[[#This Row],[Change Orders]])</f>
        <v>0</v>
      </c>
      <c r="I54" s="443">
        <v>0</v>
      </c>
      <c r="J54" s="213">
        <f>Earthwork420824611[[#This Row],[Original Contract]]-Earthwork420824611[[#This Row],[Revised Contract]]</f>
        <v>0</v>
      </c>
      <c r="K54" s="218"/>
      <c r="L54" s="217"/>
      <c r="M54" s="184"/>
      <c r="T54" s="165"/>
      <c r="U54" s="165"/>
      <c r="W54" s="200"/>
      <c r="X54" s="200"/>
      <c r="Y54" s="166"/>
      <c r="Z54" s="166"/>
    </row>
    <row r="55" spans="1:26" x14ac:dyDescent="0.35">
      <c r="A55" s="201">
        <v>31</v>
      </c>
      <c r="B55" s="202" t="s">
        <v>276</v>
      </c>
      <c r="C55" s="202" t="s">
        <v>277</v>
      </c>
      <c r="D55" s="203" t="s">
        <v>276</v>
      </c>
      <c r="E55" s="443">
        <v>0</v>
      </c>
      <c r="F55" s="443">
        <v>0</v>
      </c>
      <c r="G55" s="443">
        <v>0</v>
      </c>
      <c r="H55" s="204">
        <f>IF(ABS(Earthwork420824611[[#This Row],[Actual Buyout]])+ABS(Earthwork420824611[[#This Row],[Change Orders]])=0,Earthwork420824611[[#This Row],[Original Contract]],Earthwork420824611[[#This Row],[Actual Buyout]]+Earthwork420824611[[#This Row],[Change Orders]])</f>
        <v>0</v>
      </c>
      <c r="I55" s="443">
        <v>0</v>
      </c>
      <c r="J55" s="213">
        <f>Earthwork420824611[[#This Row],[Original Contract]]-Earthwork420824611[[#This Row],[Revised Contract]]</f>
        <v>0</v>
      </c>
      <c r="K55" s="218"/>
      <c r="L55" s="217"/>
      <c r="M55" s="184"/>
      <c r="T55" s="165"/>
      <c r="U55" s="165"/>
      <c r="W55" s="200"/>
      <c r="X55" s="200"/>
      <c r="Y55" s="166"/>
      <c r="Z55" s="166"/>
    </row>
    <row r="56" spans="1:26" x14ac:dyDescent="0.35">
      <c r="A56" s="201">
        <v>31</v>
      </c>
      <c r="B56" s="202"/>
      <c r="C56" s="202"/>
      <c r="D56" s="203" t="s">
        <v>278</v>
      </c>
      <c r="E56" s="443">
        <v>0</v>
      </c>
      <c r="F56" s="443">
        <v>0</v>
      </c>
      <c r="G56" s="443">
        <v>0</v>
      </c>
      <c r="H56" s="204">
        <f>IF(ABS(Earthwork420824611[[#This Row],[Actual Buyout]])+ABS(Earthwork420824611[[#This Row],[Change Orders]])=0,Earthwork420824611[[#This Row],[Original Contract]],Earthwork420824611[[#This Row],[Actual Buyout]]+Earthwork420824611[[#This Row],[Change Orders]])</f>
        <v>0</v>
      </c>
      <c r="I56" s="443">
        <v>0</v>
      </c>
      <c r="J56" s="213">
        <f>Earthwork420824611[[#This Row],[Original Contract]]-Earthwork420824611[[#This Row],[Revised Contract]]</f>
        <v>0</v>
      </c>
      <c r="K56" s="218"/>
      <c r="L56" s="217"/>
      <c r="M56" s="184"/>
      <c r="T56" s="165"/>
      <c r="U56" s="165"/>
      <c r="W56" s="200"/>
      <c r="X56" s="200"/>
      <c r="Y56" s="166"/>
      <c r="Z56" s="166"/>
    </row>
    <row r="57" spans="1:26" x14ac:dyDescent="0.35">
      <c r="A57" s="201">
        <v>31</v>
      </c>
      <c r="B57" s="202"/>
      <c r="C57" s="202"/>
      <c r="D57" s="203" t="s">
        <v>279</v>
      </c>
      <c r="E57" s="443">
        <v>0</v>
      </c>
      <c r="F57" s="443">
        <v>0</v>
      </c>
      <c r="G57" s="443">
        <v>0</v>
      </c>
      <c r="H57" s="204">
        <f>IF(ABS(Earthwork420824611[[#This Row],[Actual Buyout]])+ABS(Earthwork420824611[[#This Row],[Change Orders]])=0,Earthwork420824611[[#This Row],[Original Contract]],Earthwork420824611[[#This Row],[Actual Buyout]]+Earthwork420824611[[#This Row],[Change Orders]])</f>
        <v>0</v>
      </c>
      <c r="I57" s="443">
        <v>0</v>
      </c>
      <c r="J57" s="213">
        <f>Earthwork420824611[[#This Row],[Original Contract]]-Earthwork420824611[[#This Row],[Revised Contract]]</f>
        <v>0</v>
      </c>
      <c r="K57" s="218"/>
      <c r="L57" s="217"/>
      <c r="M57" s="184"/>
      <c r="T57" s="165"/>
      <c r="U57" s="165"/>
      <c r="W57" s="200"/>
      <c r="X57" s="200"/>
      <c r="Y57" s="166"/>
      <c r="Z57" s="166"/>
    </row>
    <row r="58" spans="1:26" x14ac:dyDescent="0.35">
      <c r="A58" s="201">
        <v>31</v>
      </c>
      <c r="B58" s="202"/>
      <c r="C58" s="202"/>
      <c r="D58" s="580" t="s">
        <v>258</v>
      </c>
      <c r="E58" s="443">
        <v>0</v>
      </c>
      <c r="F58" s="443">
        <v>0</v>
      </c>
      <c r="G58" s="443">
        <v>0</v>
      </c>
      <c r="H58" s="204">
        <f>IF(ABS(Earthwork420824611[[#This Row],[Actual Buyout]])+ABS(Earthwork420824611[[#This Row],[Change Orders]])=0,Earthwork420824611[[#This Row],[Original Contract]],Earthwork420824611[[#This Row],[Actual Buyout]]+Earthwork420824611[[#This Row],[Change Orders]])</f>
        <v>0</v>
      </c>
      <c r="I58" s="443">
        <v>0</v>
      </c>
      <c r="J58" s="213">
        <f>Earthwork420824611[[#This Row],[Original Contract]]-Earthwork420824611[[#This Row],[Revised Contract]]</f>
        <v>0</v>
      </c>
      <c r="K58" s="218"/>
      <c r="L58" s="217"/>
      <c r="M58" s="184"/>
      <c r="T58" s="165"/>
      <c r="U58" s="165"/>
      <c r="W58" s="200"/>
      <c r="X58" s="200"/>
      <c r="Y58" s="166"/>
      <c r="Z58" s="166"/>
    </row>
    <row r="59" spans="1:26" x14ac:dyDescent="0.35">
      <c r="A59" s="201">
        <v>31</v>
      </c>
      <c r="B59" s="202"/>
      <c r="C59" s="202"/>
      <c r="D59" s="580" t="s">
        <v>258</v>
      </c>
      <c r="E59" s="443">
        <v>0</v>
      </c>
      <c r="F59" s="443">
        <v>0</v>
      </c>
      <c r="G59" s="443">
        <v>0</v>
      </c>
      <c r="H59" s="204">
        <f>IF(ABS(Earthwork420824611[[#This Row],[Actual Buyout]])+ABS(Earthwork420824611[[#This Row],[Change Orders]])=0,Earthwork420824611[[#This Row],[Original Contract]],Earthwork420824611[[#This Row],[Actual Buyout]]+Earthwork420824611[[#This Row],[Change Orders]])</f>
        <v>0</v>
      </c>
      <c r="I59" s="443">
        <v>0</v>
      </c>
      <c r="J59" s="213">
        <f>Earthwork420824611[[#This Row],[Original Contract]]-Earthwork420824611[[#This Row],[Revised Contract]]</f>
        <v>0</v>
      </c>
      <c r="K59" s="218"/>
      <c r="L59" s="217"/>
      <c r="M59" s="184"/>
      <c r="T59" s="165"/>
      <c r="U59" s="165"/>
      <c r="W59" s="200"/>
      <c r="X59" s="200"/>
      <c r="Y59" s="166"/>
      <c r="Z59" s="166"/>
    </row>
    <row r="60" spans="1:26" x14ac:dyDescent="0.35">
      <c r="A60" s="201">
        <v>31</v>
      </c>
      <c r="B60" s="202"/>
      <c r="C60" s="202"/>
      <c r="D60" s="580" t="s">
        <v>258</v>
      </c>
      <c r="E60" s="443">
        <v>0</v>
      </c>
      <c r="F60" s="443">
        <v>0</v>
      </c>
      <c r="G60" s="443">
        <v>0</v>
      </c>
      <c r="H60" s="204">
        <f>IF(ABS(Earthwork420824611[[#This Row],[Actual Buyout]])+ABS(Earthwork420824611[[#This Row],[Change Orders]])=0,Earthwork420824611[[#This Row],[Original Contract]],Earthwork420824611[[#This Row],[Actual Buyout]]+Earthwork420824611[[#This Row],[Change Orders]])</f>
        <v>0</v>
      </c>
      <c r="I60" s="443">
        <v>0</v>
      </c>
      <c r="J60" s="213">
        <f>Earthwork420824611[[#This Row],[Original Contract]]-Earthwork420824611[[#This Row],[Revised Contract]]</f>
        <v>0</v>
      </c>
      <c r="K60" s="218"/>
      <c r="L60" s="217"/>
      <c r="M60" s="184"/>
      <c r="T60" s="165"/>
      <c r="U60" s="165"/>
      <c r="W60" s="200"/>
      <c r="X60" s="200"/>
      <c r="Y60" s="166"/>
      <c r="Z60" s="166"/>
    </row>
    <row r="61" spans="1:26" x14ac:dyDescent="0.35">
      <c r="A61" s="219"/>
      <c r="B61" s="220"/>
      <c r="C61" s="220"/>
      <c r="D61" s="208" t="s">
        <v>259</v>
      </c>
      <c r="E61" s="209">
        <f>SUM(Earthwork420824611[Original Contract])</f>
        <v>0</v>
      </c>
      <c r="F61" s="209">
        <f>SUM(Earthwork420824611[Actual Buyout])</f>
        <v>0</v>
      </c>
      <c r="G61" s="209">
        <f>SUM(Earthwork420824611[Change Orders])</f>
        <v>0</v>
      </c>
      <c r="H61" s="209">
        <f>SUM(Earthwork420824611[Revised Contract])</f>
        <v>0</v>
      </c>
      <c r="I61" s="209">
        <f>SUM(Earthwork420824611[Total completed and Stored])</f>
        <v>0</v>
      </c>
      <c r="J61" s="209">
        <f>SUM(Earthwork420824611[Delta])</f>
        <v>0</v>
      </c>
      <c r="K61" s="218"/>
      <c r="L61" s="216"/>
      <c r="M61" s="184"/>
      <c r="T61" s="165"/>
      <c r="U61" s="165"/>
      <c r="W61" s="200"/>
      <c r="X61" s="200"/>
      <c r="Y61" s="166"/>
      <c r="Z61" s="166"/>
    </row>
    <row r="62" spans="1:26" x14ac:dyDescent="0.35">
      <c r="A62" s="164" t="s">
        <v>113</v>
      </c>
      <c r="B62" s="164" t="s">
        <v>280</v>
      </c>
      <c r="C62" s="164" t="s">
        <v>242</v>
      </c>
      <c r="D62" s="164" t="s">
        <v>243</v>
      </c>
      <c r="E62" s="164" t="s">
        <v>244</v>
      </c>
      <c r="F62" s="198" t="s">
        <v>245</v>
      </c>
      <c r="G62" s="198" t="s">
        <v>246</v>
      </c>
      <c r="H62" s="198" t="s">
        <v>247</v>
      </c>
      <c r="I62" s="211" t="s">
        <v>250</v>
      </c>
      <c r="J62" s="222" t="s">
        <v>249</v>
      </c>
      <c r="K62" s="218"/>
      <c r="L62" s="216"/>
      <c r="M62" s="184"/>
      <c r="T62" s="165"/>
      <c r="U62" s="165"/>
      <c r="W62" s="200"/>
      <c r="X62" s="200"/>
      <c r="Y62" s="166"/>
      <c r="Z62" s="166"/>
    </row>
    <row r="63" spans="1:26" x14ac:dyDescent="0.35">
      <c r="A63" s="201">
        <v>31</v>
      </c>
      <c r="B63" s="202" t="s">
        <v>281</v>
      </c>
      <c r="C63" s="202" t="s">
        <v>282</v>
      </c>
      <c r="D63" s="203" t="s">
        <v>283</v>
      </c>
      <c r="E63" s="443">
        <v>0</v>
      </c>
      <c r="F63" s="443">
        <v>0</v>
      </c>
      <c r="G63" s="443">
        <v>0</v>
      </c>
      <c r="H63" s="204">
        <f>IF(ABS(Erosion520924712[[#This Row],[Actual Buyout]])+ABS(Erosion520924712[[#This Row],[Change Orders]])=0,Erosion520924712[[#This Row],[Original Contract]],Erosion520924712[[#This Row],[Actual Buyout]]+Erosion520924712[[#This Row],[Change Orders]])</f>
        <v>0</v>
      </c>
      <c r="I63" s="443">
        <v>0</v>
      </c>
      <c r="J63" s="213">
        <f>Erosion520924712[[#This Row],[Original Contract]]-Erosion520924712[[#This Row],[Revised Contract]]</f>
        <v>0</v>
      </c>
      <c r="K63" s="218"/>
      <c r="L63" s="217"/>
      <c r="M63" s="184"/>
      <c r="T63" s="165"/>
      <c r="U63" s="165"/>
      <c r="W63" s="200"/>
      <c r="X63" s="200"/>
      <c r="Y63" s="166"/>
      <c r="Z63" s="166"/>
    </row>
    <row r="64" spans="1:26" x14ac:dyDescent="0.35">
      <c r="A64" s="201">
        <v>31</v>
      </c>
      <c r="B64" s="202" t="s">
        <v>263</v>
      </c>
      <c r="C64" s="202" t="s">
        <v>264</v>
      </c>
      <c r="D64" s="203" t="s">
        <v>284</v>
      </c>
      <c r="E64" s="443">
        <v>0</v>
      </c>
      <c r="F64" s="443">
        <v>0</v>
      </c>
      <c r="G64" s="443">
        <v>0</v>
      </c>
      <c r="H64" s="204">
        <f>IF(ABS(Erosion520924712[[#This Row],[Actual Buyout]])+ABS(Erosion520924712[[#This Row],[Change Orders]])=0,Erosion520924712[[#This Row],[Original Contract]],Erosion520924712[[#This Row],[Actual Buyout]]+Erosion520924712[[#This Row],[Change Orders]])</f>
        <v>0</v>
      </c>
      <c r="I64" s="443">
        <v>0</v>
      </c>
      <c r="J64" s="213">
        <f>Erosion520924712[[#This Row],[Original Contract]]-Erosion520924712[[#This Row],[Revised Contract]]</f>
        <v>0</v>
      </c>
      <c r="K64" s="218"/>
      <c r="L64" s="217"/>
      <c r="M64" s="184"/>
      <c r="T64" s="165"/>
      <c r="U64" s="165"/>
      <c r="W64" s="200"/>
      <c r="X64" s="200"/>
      <c r="Y64" s="166"/>
      <c r="Z64" s="166"/>
    </row>
    <row r="65" spans="1:26" x14ac:dyDescent="0.35">
      <c r="A65" s="201">
        <v>31</v>
      </c>
      <c r="B65" s="202" t="s">
        <v>263</v>
      </c>
      <c r="C65" s="202" t="s">
        <v>264</v>
      </c>
      <c r="D65" s="203" t="s">
        <v>285</v>
      </c>
      <c r="E65" s="443">
        <v>0</v>
      </c>
      <c r="F65" s="443">
        <v>0</v>
      </c>
      <c r="G65" s="443">
        <v>0</v>
      </c>
      <c r="H65" s="204">
        <f>IF(ABS(Erosion520924712[[#This Row],[Actual Buyout]])+ABS(Erosion520924712[[#This Row],[Change Orders]])=0,Erosion520924712[[#This Row],[Original Contract]],Erosion520924712[[#This Row],[Actual Buyout]]+Erosion520924712[[#This Row],[Change Orders]])</f>
        <v>0</v>
      </c>
      <c r="I65" s="443">
        <v>0</v>
      </c>
      <c r="J65" s="213">
        <f>Erosion520924712[[#This Row],[Original Contract]]-Erosion520924712[[#This Row],[Revised Contract]]</f>
        <v>0</v>
      </c>
      <c r="K65" s="218"/>
      <c r="L65" s="217"/>
      <c r="M65" s="184"/>
      <c r="T65" s="165"/>
      <c r="U65" s="165"/>
      <c r="W65" s="200"/>
      <c r="X65" s="200"/>
      <c r="Y65" s="166"/>
      <c r="Z65" s="166"/>
    </row>
    <row r="66" spans="1:26" x14ac:dyDescent="0.35">
      <c r="A66" s="201">
        <v>31</v>
      </c>
      <c r="B66" s="202"/>
      <c r="C66" s="202"/>
      <c r="D66" s="580" t="s">
        <v>258</v>
      </c>
      <c r="E66" s="443">
        <v>0</v>
      </c>
      <c r="F66" s="443">
        <v>0</v>
      </c>
      <c r="G66" s="443">
        <v>0</v>
      </c>
      <c r="H66" s="204">
        <f>IF(ABS(Erosion520924712[[#This Row],[Actual Buyout]])+ABS(Erosion520924712[[#This Row],[Change Orders]])=0,Erosion520924712[[#This Row],[Original Contract]],Erosion520924712[[#This Row],[Actual Buyout]]+Erosion520924712[[#This Row],[Change Orders]])</f>
        <v>0</v>
      </c>
      <c r="I66" s="443">
        <v>0</v>
      </c>
      <c r="J66" s="213">
        <f>Erosion520924712[[#This Row],[Original Contract]]-Erosion520924712[[#This Row],[Revised Contract]]</f>
        <v>0</v>
      </c>
      <c r="K66" s="218"/>
      <c r="L66" s="217"/>
      <c r="M66" s="184"/>
      <c r="T66" s="165"/>
      <c r="U66" s="165"/>
      <c r="W66" s="200"/>
      <c r="X66" s="200"/>
      <c r="Y66" s="166"/>
      <c r="Z66" s="166"/>
    </row>
    <row r="67" spans="1:26" x14ac:dyDescent="0.35">
      <c r="A67" s="201">
        <v>31</v>
      </c>
      <c r="B67" s="202"/>
      <c r="C67" s="202"/>
      <c r="D67" s="580" t="s">
        <v>258</v>
      </c>
      <c r="E67" s="443">
        <v>0</v>
      </c>
      <c r="F67" s="443">
        <v>0</v>
      </c>
      <c r="G67" s="443">
        <v>0</v>
      </c>
      <c r="H67" s="204">
        <f>IF(ABS(Erosion520924712[[#This Row],[Actual Buyout]])+ABS(Erosion520924712[[#This Row],[Change Orders]])=0,Erosion520924712[[#This Row],[Original Contract]],Erosion520924712[[#This Row],[Actual Buyout]]+Erosion520924712[[#This Row],[Change Orders]])</f>
        <v>0</v>
      </c>
      <c r="I67" s="443">
        <v>0</v>
      </c>
      <c r="J67" s="213">
        <f>Erosion520924712[[#This Row],[Original Contract]]-Erosion520924712[[#This Row],[Revised Contract]]</f>
        <v>0</v>
      </c>
      <c r="K67" s="218"/>
      <c r="L67" s="217"/>
      <c r="M67" s="184"/>
      <c r="T67" s="165"/>
      <c r="U67" s="165"/>
      <c r="W67" s="200"/>
      <c r="X67" s="200"/>
      <c r="Y67" s="166"/>
      <c r="Z67" s="166"/>
    </row>
    <row r="68" spans="1:26" x14ac:dyDescent="0.35">
      <c r="A68" s="201">
        <v>31</v>
      </c>
      <c r="B68" s="202"/>
      <c r="C68" s="202"/>
      <c r="D68" s="580" t="s">
        <v>258</v>
      </c>
      <c r="E68" s="443">
        <v>0</v>
      </c>
      <c r="F68" s="443">
        <v>0</v>
      </c>
      <c r="G68" s="443">
        <v>0</v>
      </c>
      <c r="H68" s="204">
        <f>IF(ABS(Erosion520924712[[#This Row],[Actual Buyout]])+ABS(Erosion520924712[[#This Row],[Change Orders]])=0,Erosion520924712[[#This Row],[Original Contract]],Erosion520924712[[#This Row],[Actual Buyout]]+Erosion520924712[[#This Row],[Change Orders]])</f>
        <v>0</v>
      </c>
      <c r="I68" s="443">
        <v>0</v>
      </c>
      <c r="J68" s="213">
        <f>Erosion520924712[[#This Row],[Original Contract]]-Erosion520924712[[#This Row],[Revised Contract]]</f>
        <v>0</v>
      </c>
      <c r="K68" s="218"/>
      <c r="L68" s="217"/>
      <c r="M68" s="184"/>
      <c r="T68" s="165"/>
      <c r="U68" s="165"/>
      <c r="W68" s="200"/>
      <c r="X68" s="200"/>
      <c r="Y68" s="166"/>
      <c r="Z68" s="166"/>
    </row>
    <row r="69" spans="1:26" x14ac:dyDescent="0.35">
      <c r="A69" s="201">
        <v>31</v>
      </c>
      <c r="B69" s="202"/>
      <c r="C69" s="202"/>
      <c r="D69" s="580" t="s">
        <v>258</v>
      </c>
      <c r="E69" s="443">
        <v>0</v>
      </c>
      <c r="F69" s="443">
        <v>0</v>
      </c>
      <c r="G69" s="443">
        <v>0</v>
      </c>
      <c r="H69" s="204">
        <f>IF(ABS(Erosion520924712[[#This Row],[Actual Buyout]])+ABS(Erosion520924712[[#This Row],[Change Orders]])=0,Erosion520924712[[#This Row],[Original Contract]],Erosion520924712[[#This Row],[Actual Buyout]]+Erosion520924712[[#This Row],[Change Orders]])</f>
        <v>0</v>
      </c>
      <c r="I69" s="443">
        <v>0</v>
      </c>
      <c r="J69" s="213">
        <f>Erosion520924712[[#This Row],[Original Contract]]-Erosion520924712[[#This Row],[Revised Contract]]</f>
        <v>0</v>
      </c>
      <c r="K69" s="218"/>
      <c r="L69" s="217"/>
      <c r="M69" s="184"/>
      <c r="T69" s="165"/>
      <c r="U69" s="165"/>
      <c r="W69" s="200"/>
      <c r="X69" s="200"/>
      <c r="Y69" s="166"/>
      <c r="Z69" s="166"/>
    </row>
    <row r="70" spans="1:26" x14ac:dyDescent="0.35">
      <c r="A70" s="201">
        <v>31</v>
      </c>
      <c r="B70" s="202"/>
      <c r="C70" s="202"/>
      <c r="D70" s="580" t="s">
        <v>258</v>
      </c>
      <c r="E70" s="443">
        <v>0</v>
      </c>
      <c r="F70" s="443">
        <v>0</v>
      </c>
      <c r="G70" s="443">
        <v>0</v>
      </c>
      <c r="H70" s="204">
        <f>IF(ABS(Erosion520924712[[#This Row],[Actual Buyout]])+ABS(Erosion520924712[[#This Row],[Change Orders]])=0,Erosion520924712[[#This Row],[Original Contract]],Erosion520924712[[#This Row],[Actual Buyout]]+Erosion520924712[[#This Row],[Change Orders]])</f>
        <v>0</v>
      </c>
      <c r="I70" s="443">
        <v>0</v>
      </c>
      <c r="J70" s="213">
        <f>Erosion520924712[[#This Row],[Original Contract]]-Erosion520924712[[#This Row],[Revised Contract]]</f>
        <v>0</v>
      </c>
      <c r="K70" s="218"/>
      <c r="L70" s="217"/>
      <c r="M70" s="184"/>
      <c r="T70" s="165"/>
      <c r="U70" s="165"/>
      <c r="W70" s="200"/>
      <c r="X70" s="200"/>
      <c r="Y70" s="166"/>
      <c r="Z70" s="166"/>
    </row>
    <row r="71" spans="1:26" x14ac:dyDescent="0.35">
      <c r="A71" s="219"/>
      <c r="B71" s="220"/>
      <c r="C71" s="220"/>
      <c r="D71" s="208" t="s">
        <v>259</v>
      </c>
      <c r="E71" s="209">
        <f>SUM(Erosion520924712[Original Contract])</f>
        <v>0</v>
      </c>
      <c r="F71" s="209">
        <f>SUM(Erosion520924712[Actual Buyout])</f>
        <v>0</v>
      </c>
      <c r="G71" s="209">
        <f>SUM(Erosion520924712[Change Orders])</f>
        <v>0</v>
      </c>
      <c r="H71" s="209">
        <f>SUM(Erosion520924712[Revised Contract])</f>
        <v>0</v>
      </c>
      <c r="I71" s="209">
        <f>SUM(Erosion520924712[Total completed and Stored])</f>
        <v>0</v>
      </c>
      <c r="J71" s="209">
        <f>SUM(Erosion520924712[Delta])</f>
        <v>0</v>
      </c>
      <c r="K71" s="221"/>
      <c r="L71" s="184"/>
      <c r="M71" s="184"/>
      <c r="U71" s="200"/>
      <c r="V71" s="200"/>
    </row>
    <row r="72" spans="1:26" x14ac:dyDescent="0.35">
      <c r="A72" s="164" t="s">
        <v>115</v>
      </c>
      <c r="B72" s="164" t="s">
        <v>286</v>
      </c>
      <c r="C72" s="164" t="s">
        <v>242</v>
      </c>
      <c r="D72" s="164" t="s">
        <v>243</v>
      </c>
      <c r="E72" s="164" t="s">
        <v>244</v>
      </c>
      <c r="F72" s="198" t="s">
        <v>245</v>
      </c>
      <c r="G72" s="198" t="s">
        <v>246</v>
      </c>
      <c r="H72" s="198" t="s">
        <v>247</v>
      </c>
      <c r="I72" s="211" t="s">
        <v>250</v>
      </c>
      <c r="J72" s="222" t="s">
        <v>249</v>
      </c>
      <c r="K72" s="218"/>
      <c r="L72" s="216"/>
      <c r="M72" s="184"/>
      <c r="T72" s="165"/>
      <c r="U72" s="165"/>
      <c r="W72" s="200"/>
      <c r="X72" s="200"/>
      <c r="Y72" s="166"/>
      <c r="Z72" s="166"/>
    </row>
    <row r="73" spans="1:26" x14ac:dyDescent="0.35">
      <c r="A73" s="201">
        <v>32</v>
      </c>
      <c r="B73" s="202" t="s">
        <v>287</v>
      </c>
      <c r="C73" s="202" t="s">
        <v>288</v>
      </c>
      <c r="D73" s="203" t="s">
        <v>289</v>
      </c>
      <c r="E73" s="443">
        <v>0</v>
      </c>
      <c r="F73" s="443">
        <v>0</v>
      </c>
      <c r="G73" s="443">
        <v>0</v>
      </c>
      <c r="H73" s="204">
        <f>IF(ABS(Asphalt621024819[[#This Row],[Actual Buyout]])+ABS(Asphalt621024819[[#This Row],[Change Orders]])=0,Asphalt621024819[[#This Row],[Original Contract]],Asphalt621024819[[#This Row],[Actual Buyout]]+Asphalt621024819[[#This Row],[Change Orders]])</f>
        <v>0</v>
      </c>
      <c r="I73" s="443">
        <v>0</v>
      </c>
      <c r="J73" s="213">
        <f>Asphalt621024819[[#This Row],[Original Contract]]-Asphalt621024819[[#This Row],[Revised Contract]]</f>
        <v>0</v>
      </c>
      <c r="K73" s="218"/>
      <c r="L73" s="217"/>
      <c r="M73" s="184"/>
      <c r="T73" s="165"/>
      <c r="U73" s="165"/>
      <c r="W73" s="200"/>
      <c r="X73" s="200"/>
      <c r="Y73" s="166"/>
      <c r="Z73" s="166"/>
    </row>
    <row r="74" spans="1:26" x14ac:dyDescent="0.35">
      <c r="A74" s="201">
        <v>32</v>
      </c>
      <c r="B74" s="202" t="s">
        <v>287</v>
      </c>
      <c r="C74" s="202" t="s">
        <v>288</v>
      </c>
      <c r="D74" s="203" t="s">
        <v>290</v>
      </c>
      <c r="E74" s="443">
        <v>0</v>
      </c>
      <c r="F74" s="443">
        <v>0</v>
      </c>
      <c r="G74" s="443">
        <v>0</v>
      </c>
      <c r="H74" s="204">
        <f>IF(ABS(Asphalt621024819[[#This Row],[Actual Buyout]])+ABS(Asphalt621024819[[#This Row],[Change Orders]])=0,Asphalt621024819[[#This Row],[Original Contract]],Asphalt621024819[[#This Row],[Actual Buyout]]+Asphalt621024819[[#This Row],[Change Orders]])</f>
        <v>0</v>
      </c>
      <c r="I74" s="443">
        <v>0</v>
      </c>
      <c r="J74" s="213">
        <f>Asphalt621024819[[#This Row],[Original Contract]]-Asphalt621024819[[#This Row],[Revised Contract]]</f>
        <v>0</v>
      </c>
      <c r="K74" s="218"/>
      <c r="L74" s="217"/>
      <c r="M74" s="184"/>
      <c r="T74" s="165"/>
      <c r="U74" s="165"/>
      <c r="W74" s="200"/>
      <c r="X74" s="200"/>
      <c r="Y74" s="166"/>
      <c r="Z74" s="166"/>
    </row>
    <row r="75" spans="1:26" x14ac:dyDescent="0.35">
      <c r="A75" s="201">
        <v>32</v>
      </c>
      <c r="B75" s="202"/>
      <c r="C75" s="202"/>
      <c r="D75" s="580" t="s">
        <v>258</v>
      </c>
      <c r="E75" s="443">
        <v>0</v>
      </c>
      <c r="F75" s="443">
        <v>0</v>
      </c>
      <c r="G75" s="443">
        <v>0</v>
      </c>
      <c r="H75" s="204">
        <f>IF(ABS(Asphalt621024819[[#This Row],[Actual Buyout]])+ABS(Asphalt621024819[[#This Row],[Change Orders]])=0,Asphalt621024819[[#This Row],[Original Contract]],Asphalt621024819[[#This Row],[Actual Buyout]]+Asphalt621024819[[#This Row],[Change Orders]])</f>
        <v>0</v>
      </c>
      <c r="I75" s="443">
        <v>0</v>
      </c>
      <c r="J75" s="213">
        <f>Asphalt621024819[[#This Row],[Original Contract]]-Asphalt621024819[[#This Row],[Revised Contract]]</f>
        <v>0</v>
      </c>
      <c r="K75" s="218"/>
      <c r="L75" s="217"/>
      <c r="M75" s="184"/>
      <c r="T75" s="165"/>
      <c r="U75" s="165"/>
      <c r="W75" s="200"/>
      <c r="X75" s="200"/>
      <c r="Y75" s="166"/>
      <c r="Z75" s="166"/>
    </row>
    <row r="76" spans="1:26" x14ac:dyDescent="0.35">
      <c r="A76" s="201">
        <v>32</v>
      </c>
      <c r="B76" s="202"/>
      <c r="C76" s="202"/>
      <c r="D76" s="580" t="s">
        <v>258</v>
      </c>
      <c r="E76" s="443">
        <v>0</v>
      </c>
      <c r="F76" s="443">
        <v>0</v>
      </c>
      <c r="G76" s="443">
        <v>0</v>
      </c>
      <c r="H76" s="204">
        <f>IF(ABS(Asphalt621024819[[#This Row],[Actual Buyout]])+ABS(Asphalt621024819[[#This Row],[Change Orders]])=0,Asphalt621024819[[#This Row],[Original Contract]],Asphalt621024819[[#This Row],[Actual Buyout]]+Asphalt621024819[[#This Row],[Change Orders]])</f>
        <v>0</v>
      </c>
      <c r="I76" s="443">
        <v>0</v>
      </c>
      <c r="J76" s="213">
        <f>Asphalt621024819[[#This Row],[Original Contract]]-Asphalt621024819[[#This Row],[Revised Contract]]</f>
        <v>0</v>
      </c>
      <c r="K76" s="218"/>
      <c r="L76" s="217"/>
      <c r="M76" s="184"/>
      <c r="T76" s="165"/>
      <c r="U76" s="165"/>
      <c r="W76" s="200"/>
      <c r="X76" s="200"/>
      <c r="Y76" s="166"/>
      <c r="Z76" s="166"/>
    </row>
    <row r="77" spans="1:26" x14ac:dyDescent="0.35">
      <c r="A77" s="201">
        <v>32</v>
      </c>
      <c r="B77" s="202"/>
      <c r="C77" s="202"/>
      <c r="D77" s="580" t="s">
        <v>258</v>
      </c>
      <c r="E77" s="443">
        <v>0</v>
      </c>
      <c r="F77" s="443">
        <v>0</v>
      </c>
      <c r="G77" s="443">
        <v>0</v>
      </c>
      <c r="H77" s="204">
        <f>IF(ABS(Asphalt621024819[[#This Row],[Actual Buyout]])+ABS(Asphalt621024819[[#This Row],[Change Orders]])=0,Asphalt621024819[[#This Row],[Original Contract]],Asphalt621024819[[#This Row],[Actual Buyout]]+Asphalt621024819[[#This Row],[Change Orders]])</f>
        <v>0</v>
      </c>
      <c r="I77" s="443">
        <v>0</v>
      </c>
      <c r="J77" s="213">
        <f>Asphalt621024819[[#This Row],[Original Contract]]-Asphalt621024819[[#This Row],[Revised Contract]]</f>
        <v>0</v>
      </c>
      <c r="K77" s="218"/>
      <c r="L77" s="217"/>
      <c r="M77" s="184"/>
      <c r="T77" s="165"/>
      <c r="U77" s="165"/>
      <c r="W77" s="200"/>
      <c r="X77" s="200"/>
      <c r="Y77" s="166"/>
      <c r="Z77" s="166"/>
    </row>
    <row r="78" spans="1:26" x14ac:dyDescent="0.35">
      <c r="A78" s="201">
        <v>32</v>
      </c>
      <c r="B78" s="202"/>
      <c r="C78" s="202"/>
      <c r="D78" s="580" t="s">
        <v>258</v>
      </c>
      <c r="E78" s="443">
        <v>0</v>
      </c>
      <c r="F78" s="443">
        <v>0</v>
      </c>
      <c r="G78" s="443">
        <v>0</v>
      </c>
      <c r="H78" s="204">
        <f>IF(ABS(Asphalt621024819[[#This Row],[Actual Buyout]])+ABS(Asphalt621024819[[#This Row],[Change Orders]])=0,Asphalt621024819[[#This Row],[Original Contract]],Asphalt621024819[[#This Row],[Actual Buyout]]+Asphalt621024819[[#This Row],[Change Orders]])</f>
        <v>0</v>
      </c>
      <c r="I78" s="443">
        <v>0</v>
      </c>
      <c r="J78" s="213">
        <f>Asphalt621024819[[#This Row],[Original Contract]]-Asphalt621024819[[#This Row],[Revised Contract]]</f>
        <v>0</v>
      </c>
      <c r="K78" s="218"/>
      <c r="L78" s="217"/>
      <c r="M78" s="184"/>
      <c r="T78" s="165"/>
      <c r="U78" s="165"/>
      <c r="W78" s="200"/>
      <c r="X78" s="200"/>
      <c r="Y78" s="166"/>
      <c r="Z78" s="166"/>
    </row>
    <row r="79" spans="1:26" x14ac:dyDescent="0.35">
      <c r="A79" s="201">
        <v>32</v>
      </c>
      <c r="B79" s="202"/>
      <c r="C79" s="202"/>
      <c r="D79" s="580" t="s">
        <v>258</v>
      </c>
      <c r="E79" s="443">
        <v>0</v>
      </c>
      <c r="F79" s="443">
        <v>0</v>
      </c>
      <c r="G79" s="443">
        <v>0</v>
      </c>
      <c r="H79" s="204">
        <f>IF(ABS(Asphalt621024819[[#This Row],[Actual Buyout]])+ABS(Asphalt621024819[[#This Row],[Change Orders]])=0,Asphalt621024819[[#This Row],[Original Contract]],Asphalt621024819[[#This Row],[Actual Buyout]]+Asphalt621024819[[#This Row],[Change Orders]])</f>
        <v>0</v>
      </c>
      <c r="I79" s="443">
        <v>0</v>
      </c>
      <c r="J79" s="213">
        <f>Asphalt621024819[[#This Row],[Original Contract]]-Asphalt621024819[[#This Row],[Revised Contract]]</f>
        <v>0</v>
      </c>
      <c r="K79" s="218"/>
      <c r="L79" s="217"/>
      <c r="M79" s="184"/>
      <c r="T79" s="165"/>
      <c r="U79" s="165"/>
      <c r="W79" s="200"/>
      <c r="X79" s="200"/>
      <c r="Y79" s="166"/>
      <c r="Z79" s="166"/>
    </row>
    <row r="80" spans="1:26" x14ac:dyDescent="0.35">
      <c r="A80" s="219"/>
      <c r="B80" s="220"/>
      <c r="C80" s="220"/>
      <c r="D80" s="208" t="s">
        <v>259</v>
      </c>
      <c r="E80" s="209">
        <f>SUM(Asphalt621024819[Original Contract])</f>
        <v>0</v>
      </c>
      <c r="F80" s="209">
        <f>SUM(Asphalt621024819[Actual Buyout])</f>
        <v>0</v>
      </c>
      <c r="G80" s="209">
        <f>SUM(Asphalt621024819[Change Orders])</f>
        <v>0</v>
      </c>
      <c r="H80" s="209">
        <f>SUM(Asphalt621024819[Revised Contract])</f>
        <v>0</v>
      </c>
      <c r="I80" s="209">
        <f>SUM(Asphalt621024819[Total completed and Stored])</f>
        <v>0</v>
      </c>
      <c r="J80" s="209">
        <f>SUM(Asphalt621024819[Delta])</f>
        <v>0</v>
      </c>
      <c r="K80" s="221"/>
      <c r="L80" s="184"/>
      <c r="M80" s="184"/>
      <c r="U80" s="200"/>
      <c r="V80" s="200"/>
    </row>
    <row r="81" spans="1:26" x14ac:dyDescent="0.35">
      <c r="A81" s="164" t="s">
        <v>115</v>
      </c>
      <c r="B81" s="164" t="s">
        <v>291</v>
      </c>
      <c r="C81" s="164" t="s">
        <v>242</v>
      </c>
      <c r="D81" s="164" t="s">
        <v>243</v>
      </c>
      <c r="E81" s="164" t="s">
        <v>244</v>
      </c>
      <c r="F81" s="198" t="s">
        <v>245</v>
      </c>
      <c r="G81" s="198" t="s">
        <v>246</v>
      </c>
      <c r="H81" s="198" t="s">
        <v>247</v>
      </c>
      <c r="I81" s="211" t="s">
        <v>250</v>
      </c>
      <c r="J81" s="222" t="s">
        <v>249</v>
      </c>
      <c r="K81" s="218"/>
      <c r="L81" s="216"/>
      <c r="M81" s="184"/>
      <c r="T81" s="165"/>
      <c r="U81" s="165"/>
      <c r="W81" s="200"/>
      <c r="X81" s="200"/>
      <c r="Y81" s="166"/>
      <c r="Z81" s="166"/>
    </row>
    <row r="82" spans="1:26" x14ac:dyDescent="0.35">
      <c r="A82" s="201">
        <v>32</v>
      </c>
      <c r="B82" s="202" t="s">
        <v>292</v>
      </c>
      <c r="C82" s="202" t="s">
        <v>293</v>
      </c>
      <c r="D82" s="203" t="s">
        <v>294</v>
      </c>
      <c r="E82" s="443">
        <v>0</v>
      </c>
      <c r="F82" s="443">
        <v>0</v>
      </c>
      <c r="G82" s="443">
        <v>0</v>
      </c>
      <c r="H82" s="204">
        <f>IF(ABS(Concrete721124920[[#This Row],[Actual Buyout]])+ABS(Concrete721124920[[#This Row],[Change Orders]])=0,Concrete721124920[[#This Row],[Original Contract]],Concrete721124920[[#This Row],[Actual Buyout]]+Concrete721124920[[#This Row],[Change Orders]])</f>
        <v>0</v>
      </c>
      <c r="I82" s="443">
        <v>0</v>
      </c>
      <c r="J82" s="213">
        <f>Concrete721124920[[#This Row],[Original Contract]]-Concrete721124920[[#This Row],[Revised Contract]]</f>
        <v>0</v>
      </c>
      <c r="K82" s="218"/>
      <c r="L82" s="217"/>
      <c r="M82" s="184"/>
      <c r="T82" s="165"/>
      <c r="U82" s="165"/>
      <c r="W82" s="200"/>
      <c r="X82" s="200"/>
      <c r="Y82" s="166"/>
      <c r="Z82" s="166"/>
    </row>
    <row r="83" spans="1:26" x14ac:dyDescent="0.35">
      <c r="A83" s="201">
        <v>32</v>
      </c>
      <c r="B83" s="202" t="s">
        <v>292</v>
      </c>
      <c r="C83" s="202" t="s">
        <v>293</v>
      </c>
      <c r="D83" s="203" t="s">
        <v>295</v>
      </c>
      <c r="E83" s="443">
        <v>0</v>
      </c>
      <c r="F83" s="443">
        <v>0</v>
      </c>
      <c r="G83" s="443">
        <v>0</v>
      </c>
      <c r="H83" s="204">
        <f>IF(ABS(Concrete721124920[[#This Row],[Actual Buyout]])+ABS(Concrete721124920[[#This Row],[Change Orders]])=0,Concrete721124920[[#This Row],[Original Contract]],Concrete721124920[[#This Row],[Actual Buyout]]+Concrete721124920[[#This Row],[Change Orders]])</f>
        <v>0</v>
      </c>
      <c r="I83" s="443">
        <v>0</v>
      </c>
      <c r="J83" s="213">
        <f>Concrete721124920[[#This Row],[Original Contract]]-Concrete721124920[[#This Row],[Revised Contract]]</f>
        <v>0</v>
      </c>
      <c r="K83" s="218"/>
      <c r="L83" s="217"/>
      <c r="M83" s="184"/>
      <c r="T83" s="165"/>
      <c r="U83" s="165"/>
      <c r="W83" s="200"/>
      <c r="X83" s="200"/>
      <c r="Y83" s="166"/>
      <c r="Z83" s="166"/>
    </row>
    <row r="84" spans="1:26" x14ac:dyDescent="0.35">
      <c r="A84" s="201">
        <v>32</v>
      </c>
      <c r="B84" s="202" t="s">
        <v>292</v>
      </c>
      <c r="C84" s="202" t="s">
        <v>293</v>
      </c>
      <c r="D84" s="203" t="s">
        <v>296</v>
      </c>
      <c r="E84" s="443">
        <v>0</v>
      </c>
      <c r="F84" s="443">
        <v>0</v>
      </c>
      <c r="G84" s="443">
        <v>0</v>
      </c>
      <c r="H84" s="204">
        <f>IF(ABS(Concrete721124920[[#This Row],[Actual Buyout]])+ABS(Concrete721124920[[#This Row],[Change Orders]])=0,Concrete721124920[[#This Row],[Original Contract]],Concrete721124920[[#This Row],[Actual Buyout]]+Concrete721124920[[#This Row],[Change Orders]])</f>
        <v>0</v>
      </c>
      <c r="I84" s="443">
        <v>0</v>
      </c>
      <c r="J84" s="213">
        <f>Concrete721124920[[#This Row],[Original Contract]]-Concrete721124920[[#This Row],[Revised Contract]]</f>
        <v>0</v>
      </c>
      <c r="K84" s="218"/>
      <c r="L84" s="217"/>
      <c r="M84" s="184"/>
      <c r="T84" s="165"/>
      <c r="U84" s="165"/>
      <c r="W84" s="200"/>
      <c r="X84" s="200"/>
      <c r="Y84" s="166"/>
      <c r="Z84" s="166"/>
    </row>
    <row r="85" spans="1:26" x14ac:dyDescent="0.35">
      <c r="A85" s="201">
        <v>32</v>
      </c>
      <c r="B85" s="202" t="s">
        <v>297</v>
      </c>
      <c r="C85" s="202" t="s">
        <v>298</v>
      </c>
      <c r="D85" s="203" t="s">
        <v>299</v>
      </c>
      <c r="E85" s="443">
        <v>0</v>
      </c>
      <c r="F85" s="443">
        <v>0</v>
      </c>
      <c r="G85" s="443">
        <v>0</v>
      </c>
      <c r="H85" s="204">
        <f>IF(ABS(Concrete721124920[[#This Row],[Actual Buyout]])+ABS(Concrete721124920[[#This Row],[Change Orders]])=0,Concrete721124920[[#This Row],[Original Contract]],Concrete721124920[[#This Row],[Actual Buyout]]+Concrete721124920[[#This Row],[Change Orders]])</f>
        <v>0</v>
      </c>
      <c r="I85" s="443">
        <v>0</v>
      </c>
      <c r="J85" s="213">
        <f>Concrete721124920[[#This Row],[Original Contract]]-Concrete721124920[[#This Row],[Revised Contract]]</f>
        <v>0</v>
      </c>
      <c r="K85" s="218"/>
      <c r="L85" s="217"/>
      <c r="M85" s="184"/>
      <c r="T85" s="165"/>
      <c r="U85" s="165"/>
      <c r="W85" s="200"/>
      <c r="X85" s="200"/>
      <c r="Y85" s="166"/>
      <c r="Z85" s="166"/>
    </row>
    <row r="86" spans="1:26" x14ac:dyDescent="0.35">
      <c r="A86" s="201">
        <v>32</v>
      </c>
      <c r="B86" s="202" t="s">
        <v>297</v>
      </c>
      <c r="C86" s="202" t="s">
        <v>298</v>
      </c>
      <c r="D86" s="203" t="s">
        <v>300</v>
      </c>
      <c r="E86" s="443">
        <v>0</v>
      </c>
      <c r="F86" s="443">
        <v>0</v>
      </c>
      <c r="G86" s="443">
        <v>0</v>
      </c>
      <c r="H86" s="204">
        <f>IF(ABS(Concrete721124920[[#This Row],[Actual Buyout]])+ABS(Concrete721124920[[#This Row],[Change Orders]])=0,Concrete721124920[[#This Row],[Original Contract]],Concrete721124920[[#This Row],[Actual Buyout]]+Concrete721124920[[#This Row],[Change Orders]])</f>
        <v>0</v>
      </c>
      <c r="I86" s="443">
        <v>0</v>
      </c>
      <c r="J86" s="213">
        <f>Concrete721124920[[#This Row],[Original Contract]]-Concrete721124920[[#This Row],[Revised Contract]]</f>
        <v>0</v>
      </c>
      <c r="K86" s="218"/>
      <c r="L86" s="217"/>
      <c r="M86" s="184"/>
      <c r="T86" s="165"/>
      <c r="U86" s="165"/>
      <c r="W86" s="200"/>
      <c r="X86" s="200"/>
      <c r="Y86" s="166"/>
      <c r="Z86" s="166"/>
    </row>
    <row r="87" spans="1:26" x14ac:dyDescent="0.35">
      <c r="A87" s="201">
        <v>32</v>
      </c>
      <c r="B87" s="202" t="s">
        <v>297</v>
      </c>
      <c r="C87" s="202" t="s">
        <v>298</v>
      </c>
      <c r="D87" s="203" t="s">
        <v>301</v>
      </c>
      <c r="E87" s="443">
        <v>0</v>
      </c>
      <c r="F87" s="443">
        <v>0</v>
      </c>
      <c r="G87" s="443">
        <v>0</v>
      </c>
      <c r="H87" s="204">
        <f>IF(ABS(Concrete721124920[[#This Row],[Actual Buyout]])+ABS(Concrete721124920[[#This Row],[Change Orders]])=0,Concrete721124920[[#This Row],[Original Contract]],Concrete721124920[[#This Row],[Actual Buyout]]+Concrete721124920[[#This Row],[Change Orders]])</f>
        <v>0</v>
      </c>
      <c r="I87" s="443">
        <v>0</v>
      </c>
      <c r="J87" s="213">
        <f>Concrete721124920[[#This Row],[Original Contract]]-Concrete721124920[[#This Row],[Revised Contract]]</f>
        <v>0</v>
      </c>
      <c r="K87" s="218"/>
      <c r="L87" s="217"/>
      <c r="M87" s="184"/>
      <c r="T87" s="165"/>
      <c r="U87" s="165"/>
      <c r="W87" s="200"/>
      <c r="X87" s="200"/>
      <c r="Y87" s="166"/>
      <c r="Z87" s="166"/>
    </row>
    <row r="88" spans="1:26" x14ac:dyDescent="0.35">
      <c r="A88" s="201">
        <v>32</v>
      </c>
      <c r="B88" s="202"/>
      <c r="C88" s="202"/>
      <c r="D88" s="580" t="s">
        <v>258</v>
      </c>
      <c r="E88" s="443">
        <v>0</v>
      </c>
      <c r="F88" s="443">
        <v>0</v>
      </c>
      <c r="G88" s="443">
        <v>0</v>
      </c>
      <c r="H88" s="204">
        <f>IF(ABS(Concrete721124920[[#This Row],[Actual Buyout]])+ABS(Concrete721124920[[#This Row],[Change Orders]])=0,Concrete721124920[[#This Row],[Original Contract]],Concrete721124920[[#This Row],[Actual Buyout]]+Concrete721124920[[#This Row],[Change Orders]])</f>
        <v>0</v>
      </c>
      <c r="I88" s="443">
        <v>0</v>
      </c>
      <c r="J88" s="213">
        <f>Concrete721124920[[#This Row],[Original Contract]]-Concrete721124920[[#This Row],[Revised Contract]]</f>
        <v>0</v>
      </c>
      <c r="K88" s="218"/>
      <c r="L88" s="217"/>
      <c r="M88" s="184"/>
      <c r="T88" s="165"/>
      <c r="U88" s="165"/>
      <c r="W88" s="200"/>
      <c r="X88" s="200"/>
      <c r="Y88" s="166"/>
      <c r="Z88" s="166"/>
    </row>
    <row r="89" spans="1:26" x14ac:dyDescent="0.35">
      <c r="A89" s="201">
        <v>32</v>
      </c>
      <c r="B89" s="202"/>
      <c r="C89" s="202"/>
      <c r="D89" s="580" t="s">
        <v>258</v>
      </c>
      <c r="E89" s="443">
        <v>0</v>
      </c>
      <c r="F89" s="443">
        <v>0</v>
      </c>
      <c r="G89" s="443">
        <v>0</v>
      </c>
      <c r="H89" s="204">
        <f>IF(ABS(Concrete721124920[[#This Row],[Actual Buyout]])+ABS(Concrete721124920[[#This Row],[Change Orders]])=0,Concrete721124920[[#This Row],[Original Contract]],Concrete721124920[[#This Row],[Actual Buyout]]+Concrete721124920[[#This Row],[Change Orders]])</f>
        <v>0</v>
      </c>
      <c r="I89" s="443">
        <v>0</v>
      </c>
      <c r="J89" s="213">
        <f>Concrete721124920[[#This Row],[Original Contract]]-Concrete721124920[[#This Row],[Revised Contract]]</f>
        <v>0</v>
      </c>
      <c r="K89" s="218"/>
      <c r="L89" s="217"/>
      <c r="M89" s="184"/>
      <c r="T89" s="165"/>
      <c r="U89" s="165"/>
      <c r="W89" s="200"/>
      <c r="X89" s="200"/>
      <c r="Y89" s="166"/>
      <c r="Z89" s="166"/>
    </row>
    <row r="90" spans="1:26" x14ac:dyDescent="0.35">
      <c r="A90" s="201">
        <v>32</v>
      </c>
      <c r="B90" s="202"/>
      <c r="C90" s="202"/>
      <c r="D90" s="580" t="s">
        <v>258</v>
      </c>
      <c r="E90" s="443">
        <v>0</v>
      </c>
      <c r="F90" s="443">
        <v>0</v>
      </c>
      <c r="G90" s="443">
        <f>0</f>
        <v>0</v>
      </c>
      <c r="H90" s="204">
        <f>IF(ABS(Concrete721124920[[#This Row],[Actual Buyout]])+ABS(Concrete721124920[[#This Row],[Change Orders]])=0,Concrete721124920[[#This Row],[Original Contract]],Concrete721124920[[#This Row],[Actual Buyout]]+Concrete721124920[[#This Row],[Change Orders]])</f>
        <v>0</v>
      </c>
      <c r="I90" s="443">
        <v>0</v>
      </c>
      <c r="J90" s="213">
        <f>Concrete721124920[[#This Row],[Original Contract]]-Concrete721124920[[#This Row],[Revised Contract]]</f>
        <v>0</v>
      </c>
      <c r="K90" s="218"/>
      <c r="L90" s="217"/>
      <c r="M90" s="184"/>
      <c r="T90" s="165"/>
      <c r="U90" s="165"/>
      <c r="W90" s="200"/>
      <c r="X90" s="200"/>
      <c r="Y90" s="166"/>
      <c r="Z90" s="166"/>
    </row>
    <row r="91" spans="1:26" x14ac:dyDescent="0.35">
      <c r="A91" s="201">
        <v>32</v>
      </c>
      <c r="B91" s="202"/>
      <c r="C91" s="202"/>
      <c r="D91" s="580" t="s">
        <v>258</v>
      </c>
      <c r="E91" s="443">
        <v>0</v>
      </c>
      <c r="F91" s="443">
        <v>0</v>
      </c>
      <c r="G91" s="443">
        <f>0</f>
        <v>0</v>
      </c>
      <c r="H91" s="204">
        <f>IF(ABS(Concrete721124920[[#This Row],[Actual Buyout]])+ABS(Concrete721124920[[#This Row],[Change Orders]])=0,Concrete721124920[[#This Row],[Original Contract]],Concrete721124920[[#This Row],[Actual Buyout]]+Concrete721124920[[#This Row],[Change Orders]])</f>
        <v>0</v>
      </c>
      <c r="I91" s="443">
        <v>0</v>
      </c>
      <c r="J91" s="213">
        <f>Concrete721124920[[#This Row],[Original Contract]]-Concrete721124920[[#This Row],[Revised Contract]]</f>
        <v>0</v>
      </c>
      <c r="K91" s="218"/>
      <c r="L91" s="217"/>
      <c r="M91" s="184"/>
      <c r="T91" s="165"/>
      <c r="U91" s="165"/>
      <c r="W91" s="200"/>
      <c r="X91" s="200"/>
      <c r="Y91" s="166"/>
      <c r="Z91" s="166"/>
    </row>
    <row r="92" spans="1:26" x14ac:dyDescent="0.35">
      <c r="A92" s="201">
        <v>32</v>
      </c>
      <c r="B92" s="202"/>
      <c r="C92" s="202"/>
      <c r="D92" s="580" t="s">
        <v>258</v>
      </c>
      <c r="E92" s="443">
        <v>0</v>
      </c>
      <c r="F92" s="443">
        <v>0</v>
      </c>
      <c r="G92" s="443">
        <f>0</f>
        <v>0</v>
      </c>
      <c r="H92" s="204">
        <f>IF(ABS(Concrete721124920[[#This Row],[Actual Buyout]])+ABS(Concrete721124920[[#This Row],[Change Orders]])=0,Concrete721124920[[#This Row],[Original Contract]],Concrete721124920[[#This Row],[Actual Buyout]]+Concrete721124920[[#This Row],[Change Orders]])</f>
        <v>0</v>
      </c>
      <c r="I92" s="443">
        <v>0</v>
      </c>
      <c r="J92" s="213">
        <f>Concrete721124920[[#This Row],[Original Contract]]-Concrete721124920[[#This Row],[Revised Contract]]</f>
        <v>0</v>
      </c>
      <c r="K92" s="218"/>
      <c r="L92" s="217"/>
      <c r="M92" s="184"/>
      <c r="T92" s="165"/>
      <c r="U92" s="165"/>
      <c r="W92" s="200"/>
      <c r="X92" s="200"/>
      <c r="Y92" s="166"/>
      <c r="Z92" s="166"/>
    </row>
    <row r="93" spans="1:26" x14ac:dyDescent="0.35">
      <c r="A93" s="219"/>
      <c r="B93" s="220"/>
      <c r="C93" s="220"/>
      <c r="D93" s="208" t="s">
        <v>259</v>
      </c>
      <c r="E93" s="209">
        <f>SUM(Concrete721124920[Original Contract])</f>
        <v>0</v>
      </c>
      <c r="F93" s="209">
        <f>SUM(Concrete721124920[Actual Buyout])</f>
        <v>0</v>
      </c>
      <c r="G93" s="209">
        <f>SUM(Concrete721124920[Change Orders])</f>
        <v>0</v>
      </c>
      <c r="H93" s="209">
        <f>SUM(Concrete721124920[Revised Contract])</f>
        <v>0</v>
      </c>
      <c r="I93" s="209">
        <f>SUM(Concrete721124920[Total completed and Stored])</f>
        <v>0</v>
      </c>
      <c r="J93" s="209">
        <f>SUM(Concrete721124920[Delta])</f>
        <v>0</v>
      </c>
      <c r="K93" s="221"/>
      <c r="L93" s="184"/>
      <c r="M93" s="184"/>
      <c r="U93" s="200"/>
      <c r="V93" s="200"/>
    </row>
    <row r="94" spans="1:26" x14ac:dyDescent="0.35">
      <c r="A94" s="164" t="s">
        <v>115</v>
      </c>
      <c r="B94" s="164" t="s">
        <v>302</v>
      </c>
      <c r="C94" s="164" t="s">
        <v>242</v>
      </c>
      <c r="D94" s="164" t="s">
        <v>243</v>
      </c>
      <c r="E94" s="164" t="s">
        <v>244</v>
      </c>
      <c r="F94" s="198" t="s">
        <v>245</v>
      </c>
      <c r="G94" s="198" t="s">
        <v>246</v>
      </c>
      <c r="H94" s="198" t="s">
        <v>247</v>
      </c>
      <c r="I94" s="211" t="s">
        <v>250</v>
      </c>
      <c r="J94" s="222" t="s">
        <v>249</v>
      </c>
      <c r="K94" s="218"/>
      <c r="L94" s="216"/>
      <c r="M94" s="184"/>
      <c r="T94" s="165"/>
      <c r="U94" s="165"/>
      <c r="W94" s="200"/>
      <c r="X94" s="200"/>
      <c r="Y94" s="166"/>
      <c r="Z94" s="166"/>
    </row>
    <row r="95" spans="1:26" x14ac:dyDescent="0.35">
      <c r="A95" s="201">
        <v>32</v>
      </c>
      <c r="B95" s="202" t="s">
        <v>303</v>
      </c>
      <c r="C95" s="202" t="s">
        <v>304</v>
      </c>
      <c r="D95" s="203" t="s">
        <v>303</v>
      </c>
      <c r="E95" s="443">
        <v>0</v>
      </c>
      <c r="F95" s="443">
        <v>0</v>
      </c>
      <c r="G95" s="443">
        <v>0</v>
      </c>
      <c r="H95" s="204">
        <f>IF(ABS(PaveMarks821225021[[#This Row],[Actual Buyout]])+ABS(PaveMarks821225021[[#This Row],[Change Orders]])=0,PaveMarks821225021[[#This Row],[Original Contract]],PaveMarks821225021[[#This Row],[Actual Buyout]]+PaveMarks821225021[[#This Row],[Change Orders]])</f>
        <v>0</v>
      </c>
      <c r="I95" s="443">
        <v>0</v>
      </c>
      <c r="J95" s="213">
        <f>PaveMarks821225021[[#This Row],[Original Contract]]-PaveMarks821225021[[#This Row],[Revised Contract]]</f>
        <v>0</v>
      </c>
      <c r="K95" s="218"/>
      <c r="L95" s="217"/>
      <c r="M95" s="184"/>
      <c r="T95" s="165"/>
      <c r="U95" s="165"/>
      <c r="W95" s="200"/>
      <c r="X95" s="200"/>
      <c r="Y95" s="166"/>
      <c r="Z95" s="166"/>
    </row>
    <row r="96" spans="1:26" x14ac:dyDescent="0.35">
      <c r="A96" s="201">
        <v>32</v>
      </c>
      <c r="B96" s="202" t="s">
        <v>305</v>
      </c>
      <c r="C96" s="202" t="s">
        <v>306</v>
      </c>
      <c r="D96" s="203" t="s">
        <v>307</v>
      </c>
      <c r="E96" s="443">
        <v>0</v>
      </c>
      <c r="F96" s="443">
        <v>0</v>
      </c>
      <c r="G96" s="443">
        <v>0</v>
      </c>
      <c r="H96" s="204">
        <f>IF(ABS(PaveMarks821225021[[#This Row],[Actual Buyout]])+ABS(PaveMarks821225021[[#This Row],[Change Orders]])=0,PaveMarks821225021[[#This Row],[Original Contract]],PaveMarks821225021[[#This Row],[Actual Buyout]]+PaveMarks821225021[[#This Row],[Change Orders]])</f>
        <v>0</v>
      </c>
      <c r="I96" s="443">
        <v>0</v>
      </c>
      <c r="J96" s="213">
        <f>PaveMarks821225021[[#This Row],[Original Contract]]-PaveMarks821225021[[#This Row],[Revised Contract]]</f>
        <v>0</v>
      </c>
      <c r="K96" s="218"/>
      <c r="L96" s="217"/>
      <c r="M96" s="184"/>
      <c r="T96" s="165"/>
      <c r="U96" s="165"/>
      <c r="W96" s="200"/>
      <c r="X96" s="200"/>
      <c r="Y96" s="166"/>
      <c r="Z96" s="166"/>
    </row>
    <row r="97" spans="1:26" x14ac:dyDescent="0.35">
      <c r="A97" s="201">
        <v>32</v>
      </c>
      <c r="B97" s="202" t="s">
        <v>308</v>
      </c>
      <c r="C97" s="202" t="s">
        <v>309</v>
      </c>
      <c r="D97" s="203" t="s">
        <v>310</v>
      </c>
      <c r="E97" s="443">
        <v>0</v>
      </c>
      <c r="F97" s="443">
        <v>0</v>
      </c>
      <c r="G97" s="443">
        <v>0</v>
      </c>
      <c r="H97" s="204">
        <f>IF(ABS(PaveMarks821225021[[#This Row],[Actual Buyout]])+ABS(PaveMarks821225021[[#This Row],[Change Orders]])=0,PaveMarks821225021[[#This Row],[Original Contract]],PaveMarks821225021[[#This Row],[Actual Buyout]]+PaveMarks821225021[[#This Row],[Change Orders]])</f>
        <v>0</v>
      </c>
      <c r="I97" s="443">
        <v>0</v>
      </c>
      <c r="J97" s="213">
        <f>PaveMarks821225021[[#This Row],[Original Contract]]-PaveMarks821225021[[#This Row],[Revised Contract]]</f>
        <v>0</v>
      </c>
      <c r="K97" s="218"/>
      <c r="L97" s="217"/>
      <c r="M97" s="184"/>
      <c r="T97" s="165"/>
      <c r="U97" s="165"/>
      <c r="W97" s="200"/>
      <c r="X97" s="200"/>
      <c r="Y97" s="166"/>
      <c r="Z97" s="166"/>
    </row>
    <row r="98" spans="1:26" x14ac:dyDescent="0.35">
      <c r="A98" s="201">
        <v>32</v>
      </c>
      <c r="B98" s="202" t="s">
        <v>311</v>
      </c>
      <c r="C98" s="202" t="s">
        <v>304</v>
      </c>
      <c r="D98" s="203" t="s">
        <v>312</v>
      </c>
      <c r="E98" s="443">
        <v>0</v>
      </c>
      <c r="F98" s="443">
        <v>0</v>
      </c>
      <c r="G98" s="443">
        <v>0</v>
      </c>
      <c r="H98" s="204">
        <f>IF(ABS(PaveMarks821225021[[#This Row],[Actual Buyout]])+ABS(PaveMarks821225021[[#This Row],[Change Orders]])=0,PaveMarks821225021[[#This Row],[Original Contract]],PaveMarks821225021[[#This Row],[Actual Buyout]]+PaveMarks821225021[[#This Row],[Change Orders]])</f>
        <v>0</v>
      </c>
      <c r="I98" s="443">
        <v>0</v>
      </c>
      <c r="J98" s="213">
        <f>PaveMarks821225021[[#This Row],[Original Contract]]-PaveMarks821225021[[#This Row],[Revised Contract]]</f>
        <v>0</v>
      </c>
      <c r="K98" s="218"/>
      <c r="L98" s="217"/>
      <c r="M98" s="184"/>
      <c r="T98" s="165"/>
      <c r="U98" s="165"/>
      <c r="W98" s="200"/>
      <c r="X98" s="200"/>
      <c r="Y98" s="166"/>
      <c r="Z98" s="166"/>
    </row>
    <row r="99" spans="1:26" x14ac:dyDescent="0.35">
      <c r="A99" s="201">
        <v>32</v>
      </c>
      <c r="B99" s="202" t="s">
        <v>308</v>
      </c>
      <c r="C99" s="202" t="s">
        <v>309</v>
      </c>
      <c r="D99" s="203" t="s">
        <v>313</v>
      </c>
      <c r="E99" s="443">
        <v>0</v>
      </c>
      <c r="F99" s="443">
        <v>0</v>
      </c>
      <c r="G99" s="443">
        <v>0</v>
      </c>
      <c r="H99" s="204">
        <f>IF(ABS(PaveMarks821225021[[#This Row],[Actual Buyout]])+ABS(PaveMarks821225021[[#This Row],[Change Orders]])=0,PaveMarks821225021[[#This Row],[Original Contract]],PaveMarks821225021[[#This Row],[Actual Buyout]]+PaveMarks821225021[[#This Row],[Change Orders]])</f>
        <v>0</v>
      </c>
      <c r="I99" s="443">
        <v>0</v>
      </c>
      <c r="J99" s="213">
        <f>PaveMarks821225021[[#This Row],[Original Contract]]-PaveMarks821225021[[#This Row],[Revised Contract]]</f>
        <v>0</v>
      </c>
      <c r="K99" s="218"/>
      <c r="L99" s="217"/>
      <c r="M99" s="184"/>
      <c r="T99" s="165"/>
      <c r="U99" s="165"/>
      <c r="W99" s="200"/>
      <c r="X99" s="200"/>
      <c r="Y99" s="166"/>
      <c r="Z99" s="166"/>
    </row>
    <row r="100" spans="1:26" x14ac:dyDescent="0.35">
      <c r="A100" s="201">
        <v>32</v>
      </c>
      <c r="B100" s="202"/>
      <c r="C100" s="202"/>
      <c r="D100" s="580" t="s">
        <v>258</v>
      </c>
      <c r="E100" s="443">
        <v>0</v>
      </c>
      <c r="F100" s="443">
        <v>0</v>
      </c>
      <c r="G100" s="443">
        <v>0</v>
      </c>
      <c r="H100" s="204">
        <f>IF(ABS(PaveMarks821225021[[#This Row],[Actual Buyout]])+ABS(PaveMarks821225021[[#This Row],[Change Orders]])=0,PaveMarks821225021[[#This Row],[Original Contract]],PaveMarks821225021[[#This Row],[Actual Buyout]]+PaveMarks821225021[[#This Row],[Change Orders]])</f>
        <v>0</v>
      </c>
      <c r="I100" s="443">
        <v>0</v>
      </c>
      <c r="J100" s="213">
        <f>PaveMarks821225021[[#This Row],[Original Contract]]-PaveMarks821225021[[#This Row],[Revised Contract]]</f>
        <v>0</v>
      </c>
      <c r="K100" s="218"/>
      <c r="L100" s="217"/>
      <c r="M100" s="184"/>
      <c r="T100" s="165"/>
      <c r="U100" s="165"/>
      <c r="W100" s="200"/>
      <c r="X100" s="200"/>
      <c r="Y100" s="166"/>
      <c r="Z100" s="166"/>
    </row>
    <row r="101" spans="1:26" x14ac:dyDescent="0.35">
      <c r="A101" s="201">
        <v>32</v>
      </c>
      <c r="B101" s="202"/>
      <c r="C101" s="202"/>
      <c r="D101" s="580" t="s">
        <v>258</v>
      </c>
      <c r="E101" s="443">
        <v>0</v>
      </c>
      <c r="F101" s="443">
        <v>0</v>
      </c>
      <c r="G101" s="443">
        <v>0</v>
      </c>
      <c r="H101" s="204">
        <f>IF(ABS(PaveMarks821225021[[#This Row],[Actual Buyout]])+ABS(PaveMarks821225021[[#This Row],[Change Orders]])=0,PaveMarks821225021[[#This Row],[Original Contract]],PaveMarks821225021[[#This Row],[Actual Buyout]]+PaveMarks821225021[[#This Row],[Change Orders]])</f>
        <v>0</v>
      </c>
      <c r="I101" s="443">
        <v>0</v>
      </c>
      <c r="J101" s="213">
        <f>PaveMarks821225021[[#This Row],[Original Contract]]-PaveMarks821225021[[#This Row],[Revised Contract]]</f>
        <v>0</v>
      </c>
      <c r="K101" s="218"/>
      <c r="L101" s="217"/>
      <c r="M101" s="184"/>
      <c r="T101" s="165"/>
      <c r="U101" s="165"/>
      <c r="W101" s="200"/>
      <c r="X101" s="200"/>
      <c r="Y101" s="166"/>
      <c r="Z101" s="166"/>
    </row>
    <row r="102" spans="1:26" x14ac:dyDescent="0.35">
      <c r="A102" s="201">
        <v>32</v>
      </c>
      <c r="B102" s="202"/>
      <c r="C102" s="202"/>
      <c r="D102" s="580" t="s">
        <v>258</v>
      </c>
      <c r="E102" s="443">
        <v>0</v>
      </c>
      <c r="F102" s="443">
        <v>0</v>
      </c>
      <c r="G102" s="443">
        <v>0</v>
      </c>
      <c r="H102" s="204">
        <f>IF(ABS(PaveMarks821225021[[#This Row],[Actual Buyout]])+ABS(PaveMarks821225021[[#This Row],[Change Orders]])=0,PaveMarks821225021[[#This Row],[Original Contract]],PaveMarks821225021[[#This Row],[Actual Buyout]]+PaveMarks821225021[[#This Row],[Change Orders]])</f>
        <v>0</v>
      </c>
      <c r="I102" s="443">
        <v>0</v>
      </c>
      <c r="J102" s="213">
        <f>PaveMarks821225021[[#This Row],[Original Contract]]-PaveMarks821225021[[#This Row],[Revised Contract]]</f>
        <v>0</v>
      </c>
      <c r="K102" s="218"/>
      <c r="L102" s="217"/>
      <c r="M102" s="184"/>
      <c r="T102" s="165"/>
      <c r="U102" s="165"/>
      <c r="W102" s="200"/>
      <c r="X102" s="200"/>
      <c r="Y102" s="166"/>
      <c r="Z102" s="166"/>
    </row>
    <row r="103" spans="1:26" x14ac:dyDescent="0.35">
      <c r="A103" s="201">
        <v>32</v>
      </c>
      <c r="B103" s="202"/>
      <c r="C103" s="202"/>
      <c r="D103" s="580" t="s">
        <v>258</v>
      </c>
      <c r="E103" s="443">
        <v>0</v>
      </c>
      <c r="F103" s="443">
        <v>0</v>
      </c>
      <c r="G103" s="443">
        <v>0</v>
      </c>
      <c r="H103" s="204">
        <f>IF(ABS(PaveMarks821225021[[#This Row],[Actual Buyout]])+ABS(PaveMarks821225021[[#This Row],[Change Orders]])=0,PaveMarks821225021[[#This Row],[Original Contract]],PaveMarks821225021[[#This Row],[Actual Buyout]]+PaveMarks821225021[[#This Row],[Change Orders]])</f>
        <v>0</v>
      </c>
      <c r="I103" s="443">
        <v>0</v>
      </c>
      <c r="J103" s="213">
        <f>PaveMarks821225021[[#This Row],[Original Contract]]-PaveMarks821225021[[#This Row],[Revised Contract]]</f>
        <v>0</v>
      </c>
      <c r="K103" s="218"/>
      <c r="L103" s="217"/>
      <c r="M103" s="184"/>
      <c r="T103" s="165"/>
      <c r="U103" s="165"/>
      <c r="W103" s="200"/>
      <c r="X103" s="200"/>
      <c r="Y103" s="166"/>
      <c r="Z103" s="166"/>
    </row>
    <row r="104" spans="1:26" x14ac:dyDescent="0.35">
      <c r="A104" s="201">
        <v>32</v>
      </c>
      <c r="B104" s="202"/>
      <c r="C104" s="202"/>
      <c r="D104" s="580" t="s">
        <v>258</v>
      </c>
      <c r="E104" s="443">
        <v>0</v>
      </c>
      <c r="F104" s="443">
        <v>0</v>
      </c>
      <c r="G104" s="443">
        <v>0</v>
      </c>
      <c r="H104" s="204">
        <f>IF(ABS(PaveMarks821225021[[#This Row],[Actual Buyout]])+ABS(PaveMarks821225021[[#This Row],[Change Orders]])=0,PaveMarks821225021[[#This Row],[Original Contract]],PaveMarks821225021[[#This Row],[Actual Buyout]]+PaveMarks821225021[[#This Row],[Change Orders]])</f>
        <v>0</v>
      </c>
      <c r="I104" s="443">
        <v>0</v>
      </c>
      <c r="J104" s="213">
        <f>PaveMarks821225021[[#This Row],[Original Contract]]-PaveMarks821225021[[#This Row],[Revised Contract]]</f>
        <v>0</v>
      </c>
      <c r="K104" s="218"/>
      <c r="L104" s="217"/>
      <c r="M104" s="184"/>
      <c r="T104" s="165"/>
      <c r="U104" s="165"/>
      <c r="W104" s="200"/>
      <c r="Y104" s="166"/>
      <c r="Z104" s="166"/>
    </row>
    <row r="105" spans="1:26" x14ac:dyDescent="0.35">
      <c r="A105" s="219"/>
      <c r="B105" s="220"/>
      <c r="C105" s="220"/>
      <c r="D105" s="208" t="s">
        <v>259</v>
      </c>
      <c r="E105" s="209">
        <f>SUM(PaveMarks821225021[Original Contract])</f>
        <v>0</v>
      </c>
      <c r="F105" s="209">
        <f>SUM(PaveMarks821225021[Actual Buyout])</f>
        <v>0</v>
      </c>
      <c r="G105" s="209">
        <f>SUM(PaveMarks821225021[Change Orders])</f>
        <v>0</v>
      </c>
      <c r="H105" s="209">
        <f>SUM(PaveMarks821225021[Revised Contract])</f>
        <v>0</v>
      </c>
      <c r="I105" s="209">
        <f>SUM(PaveMarks821225021[Total completed and Stored])</f>
        <v>0</v>
      </c>
      <c r="J105" s="209">
        <f>SUM(PaveMarks821225021[Delta])</f>
        <v>0</v>
      </c>
      <c r="K105" s="221"/>
      <c r="L105" s="184"/>
      <c r="M105" s="184"/>
    </row>
    <row r="106" spans="1:26" x14ac:dyDescent="0.35">
      <c r="A106" s="164" t="s">
        <v>115</v>
      </c>
      <c r="B106" s="164" t="s">
        <v>314</v>
      </c>
      <c r="C106" s="164" t="s">
        <v>242</v>
      </c>
      <c r="D106" s="164" t="s">
        <v>243</v>
      </c>
      <c r="E106" s="164" t="s">
        <v>244</v>
      </c>
      <c r="F106" s="198" t="s">
        <v>245</v>
      </c>
      <c r="G106" s="198" t="s">
        <v>246</v>
      </c>
      <c r="H106" s="198" t="s">
        <v>247</v>
      </c>
      <c r="I106" s="211" t="s">
        <v>250</v>
      </c>
      <c r="J106" s="222" t="s">
        <v>249</v>
      </c>
      <c r="K106" s="218"/>
      <c r="L106" s="216"/>
      <c r="M106" s="184"/>
      <c r="T106" s="165"/>
      <c r="U106" s="165"/>
      <c r="Y106" s="166"/>
      <c r="Z106" s="166"/>
    </row>
    <row r="107" spans="1:26" x14ac:dyDescent="0.35">
      <c r="A107" s="201">
        <v>32</v>
      </c>
      <c r="B107" s="202" t="s">
        <v>315</v>
      </c>
      <c r="C107" s="202" t="s">
        <v>316</v>
      </c>
      <c r="D107" s="203" t="s">
        <v>317</v>
      </c>
      <c r="E107" s="443">
        <v>0</v>
      </c>
      <c r="F107" s="443">
        <v>0</v>
      </c>
      <c r="G107" s="443">
        <v>0</v>
      </c>
      <c r="H107" s="204">
        <f>IF(ABS(Fencing921325122[[#This Row],[Actual Buyout]])+ABS(Fencing921325122[[#This Row],[Change Orders]])=0,Fencing921325122[[#This Row],[Original Contract]],Fencing921325122[[#This Row],[Actual Buyout]]+Fencing921325122[[#This Row],[Change Orders]])</f>
        <v>0</v>
      </c>
      <c r="I107" s="443">
        <v>0</v>
      </c>
      <c r="J107" s="213">
        <f>Fencing921325122[[#This Row],[Original Contract]]-Fencing921325122[[#This Row],[Revised Contract]]</f>
        <v>0</v>
      </c>
      <c r="K107" s="218"/>
      <c r="L107" s="217"/>
      <c r="M107" s="184"/>
      <c r="T107" s="165"/>
      <c r="U107" s="165"/>
      <c r="Y107" s="166"/>
      <c r="Z107" s="166"/>
    </row>
    <row r="108" spans="1:26" x14ac:dyDescent="0.35">
      <c r="A108" s="201">
        <v>32</v>
      </c>
      <c r="B108" s="202" t="s">
        <v>318</v>
      </c>
      <c r="C108" s="202" t="s">
        <v>319</v>
      </c>
      <c r="D108" s="203" t="s">
        <v>320</v>
      </c>
      <c r="E108" s="443">
        <v>0</v>
      </c>
      <c r="F108" s="443">
        <v>0</v>
      </c>
      <c r="G108" s="443">
        <v>0</v>
      </c>
      <c r="H108" s="204">
        <f>IF(ABS(Fencing921325122[[#This Row],[Actual Buyout]])+ABS(Fencing921325122[[#This Row],[Change Orders]])=0,Fencing921325122[[#This Row],[Original Contract]],Fencing921325122[[#This Row],[Actual Buyout]]+Fencing921325122[[#This Row],[Change Orders]])</f>
        <v>0</v>
      </c>
      <c r="I108" s="443">
        <v>0</v>
      </c>
      <c r="J108" s="213">
        <f>Fencing921325122[[#This Row],[Original Contract]]-Fencing921325122[[#This Row],[Revised Contract]]</f>
        <v>0</v>
      </c>
      <c r="K108" s="218"/>
      <c r="L108" s="217"/>
      <c r="M108" s="184"/>
      <c r="T108" s="165"/>
      <c r="U108" s="165"/>
      <c r="Y108" s="166"/>
      <c r="Z108" s="166"/>
    </row>
    <row r="109" spans="1:26" x14ac:dyDescent="0.35">
      <c r="A109" s="201">
        <v>32</v>
      </c>
      <c r="B109" s="202" t="s">
        <v>318</v>
      </c>
      <c r="C109" s="202" t="s">
        <v>319</v>
      </c>
      <c r="D109" s="203" t="s">
        <v>321</v>
      </c>
      <c r="E109" s="443">
        <v>0</v>
      </c>
      <c r="F109" s="443">
        <v>0</v>
      </c>
      <c r="G109" s="443">
        <v>0</v>
      </c>
      <c r="H109" s="204">
        <f>IF(ABS(Fencing921325122[[#This Row],[Actual Buyout]])+ABS(Fencing921325122[[#This Row],[Change Orders]])=0,Fencing921325122[[#This Row],[Original Contract]],Fencing921325122[[#This Row],[Actual Buyout]]+Fencing921325122[[#This Row],[Change Orders]])</f>
        <v>0</v>
      </c>
      <c r="I109" s="443">
        <v>0</v>
      </c>
      <c r="J109" s="213">
        <f>Fencing921325122[[#This Row],[Original Contract]]-Fencing921325122[[#This Row],[Revised Contract]]</f>
        <v>0</v>
      </c>
      <c r="K109" s="218"/>
      <c r="L109" s="217"/>
      <c r="M109" s="184"/>
      <c r="T109" s="165"/>
      <c r="U109" s="165"/>
      <c r="Y109" s="166"/>
      <c r="Z109" s="166"/>
    </row>
    <row r="110" spans="1:26" x14ac:dyDescent="0.35">
      <c r="A110" s="201">
        <v>32</v>
      </c>
      <c r="B110" s="202" t="s">
        <v>322</v>
      </c>
      <c r="C110" s="202" t="s">
        <v>323</v>
      </c>
      <c r="D110" s="203" t="s">
        <v>324</v>
      </c>
      <c r="E110" s="443">
        <v>0</v>
      </c>
      <c r="F110" s="443">
        <v>0</v>
      </c>
      <c r="G110" s="443">
        <v>0</v>
      </c>
      <c r="H110" s="204">
        <f>IF(ABS(Fencing921325122[[#This Row],[Actual Buyout]])+ABS(Fencing921325122[[#This Row],[Change Orders]])=0,Fencing921325122[[#This Row],[Original Contract]],Fencing921325122[[#This Row],[Actual Buyout]]+Fencing921325122[[#This Row],[Change Orders]])</f>
        <v>0</v>
      </c>
      <c r="I110" s="443">
        <v>0</v>
      </c>
      <c r="J110" s="213">
        <f>Fencing921325122[[#This Row],[Original Contract]]-Fencing921325122[[#This Row],[Revised Contract]]</f>
        <v>0</v>
      </c>
      <c r="K110" s="218"/>
      <c r="L110" s="217"/>
      <c r="M110" s="184"/>
      <c r="T110" s="165"/>
      <c r="U110" s="165"/>
      <c r="Y110" s="166"/>
      <c r="Z110" s="166"/>
    </row>
    <row r="111" spans="1:26" x14ac:dyDescent="0.35">
      <c r="A111" s="201">
        <v>32</v>
      </c>
      <c r="B111" s="202"/>
      <c r="C111" s="202"/>
      <c r="D111" s="203" t="s">
        <v>325</v>
      </c>
      <c r="E111" s="443">
        <v>0</v>
      </c>
      <c r="F111" s="443">
        <v>0</v>
      </c>
      <c r="G111" s="443">
        <v>0</v>
      </c>
      <c r="H111" s="204">
        <f>IF(ABS(Fencing921325122[[#This Row],[Actual Buyout]])+ABS(Fencing921325122[[#This Row],[Change Orders]])=0,Fencing921325122[[#This Row],[Original Contract]],Fencing921325122[[#This Row],[Actual Buyout]]+Fencing921325122[[#This Row],[Change Orders]])</f>
        <v>0</v>
      </c>
      <c r="I111" s="443">
        <v>0</v>
      </c>
      <c r="J111" s="213">
        <f>Fencing921325122[[#This Row],[Original Contract]]-Fencing921325122[[#This Row],[Revised Contract]]</f>
        <v>0</v>
      </c>
      <c r="K111" s="218"/>
      <c r="L111" s="217"/>
      <c r="M111" s="184"/>
      <c r="T111" s="165"/>
      <c r="U111" s="165"/>
      <c r="Y111" s="166"/>
      <c r="Z111" s="166"/>
    </row>
    <row r="112" spans="1:26" x14ac:dyDescent="0.35">
      <c r="A112" s="201">
        <v>32</v>
      </c>
      <c r="B112" s="202"/>
      <c r="C112" s="202"/>
      <c r="D112" s="580" t="s">
        <v>258</v>
      </c>
      <c r="E112" s="443">
        <v>0</v>
      </c>
      <c r="F112" s="443">
        <v>0</v>
      </c>
      <c r="G112" s="443">
        <v>0</v>
      </c>
      <c r="H112" s="204">
        <f>IF(ABS(Fencing921325122[[#This Row],[Actual Buyout]])+ABS(Fencing921325122[[#This Row],[Change Orders]])=0,Fencing921325122[[#This Row],[Original Contract]],Fencing921325122[[#This Row],[Actual Buyout]]+Fencing921325122[[#This Row],[Change Orders]])</f>
        <v>0</v>
      </c>
      <c r="I112" s="443">
        <v>0</v>
      </c>
      <c r="J112" s="213">
        <f>Fencing921325122[[#This Row],[Original Contract]]-Fencing921325122[[#This Row],[Revised Contract]]</f>
        <v>0</v>
      </c>
      <c r="K112" s="218"/>
      <c r="L112" s="217"/>
      <c r="M112" s="184"/>
      <c r="T112" s="165"/>
      <c r="U112" s="165"/>
      <c r="Y112" s="166"/>
      <c r="Z112" s="166"/>
    </row>
    <row r="113" spans="1:26" x14ac:dyDescent="0.35">
      <c r="A113" s="201">
        <v>32</v>
      </c>
      <c r="B113" s="202"/>
      <c r="C113" s="202"/>
      <c r="D113" s="580" t="s">
        <v>258</v>
      </c>
      <c r="E113" s="443">
        <v>0</v>
      </c>
      <c r="F113" s="443">
        <v>0</v>
      </c>
      <c r="G113" s="443">
        <v>0</v>
      </c>
      <c r="H113" s="204">
        <f>IF(ABS(Fencing921325122[[#This Row],[Actual Buyout]])+ABS(Fencing921325122[[#This Row],[Change Orders]])=0,Fencing921325122[[#This Row],[Original Contract]],Fencing921325122[[#This Row],[Actual Buyout]]+Fencing921325122[[#This Row],[Change Orders]])</f>
        <v>0</v>
      </c>
      <c r="I113" s="443">
        <v>0</v>
      </c>
      <c r="J113" s="213">
        <f>Fencing921325122[[#This Row],[Original Contract]]-Fencing921325122[[#This Row],[Revised Contract]]</f>
        <v>0</v>
      </c>
      <c r="K113" s="218"/>
      <c r="L113" s="217"/>
      <c r="M113" s="184"/>
      <c r="T113" s="165"/>
      <c r="U113" s="165"/>
      <c r="Y113" s="166"/>
      <c r="Z113" s="166"/>
    </row>
    <row r="114" spans="1:26" x14ac:dyDescent="0.35">
      <c r="A114" s="201">
        <v>32</v>
      </c>
      <c r="B114" s="202"/>
      <c r="C114" s="202"/>
      <c r="D114" s="580" t="s">
        <v>258</v>
      </c>
      <c r="E114" s="443">
        <v>0</v>
      </c>
      <c r="F114" s="443">
        <v>0</v>
      </c>
      <c r="G114" s="443">
        <v>0</v>
      </c>
      <c r="H114" s="204">
        <f>IF(ABS(Fencing921325122[[#This Row],[Actual Buyout]])+ABS(Fencing921325122[[#This Row],[Change Orders]])=0,Fencing921325122[[#This Row],[Original Contract]],Fencing921325122[[#This Row],[Actual Buyout]]+Fencing921325122[[#This Row],[Change Orders]])</f>
        <v>0</v>
      </c>
      <c r="I114" s="443">
        <v>0</v>
      </c>
      <c r="J114" s="213">
        <f>Fencing921325122[[#This Row],[Original Contract]]-Fencing921325122[[#This Row],[Revised Contract]]</f>
        <v>0</v>
      </c>
      <c r="K114" s="218"/>
      <c r="L114" s="217"/>
      <c r="M114" s="184"/>
      <c r="T114" s="165"/>
      <c r="U114" s="165"/>
      <c r="Y114" s="166"/>
      <c r="Z114" s="166"/>
    </row>
    <row r="115" spans="1:26" x14ac:dyDescent="0.35">
      <c r="A115" s="201">
        <v>32</v>
      </c>
      <c r="B115" s="202"/>
      <c r="C115" s="202"/>
      <c r="D115" s="580" t="s">
        <v>258</v>
      </c>
      <c r="E115" s="443">
        <v>0</v>
      </c>
      <c r="F115" s="443">
        <v>0</v>
      </c>
      <c r="G115" s="443">
        <v>0</v>
      </c>
      <c r="H115" s="204">
        <f>IF(ABS(Fencing921325122[[#This Row],[Actual Buyout]])+ABS(Fencing921325122[[#This Row],[Change Orders]])=0,Fencing921325122[[#This Row],[Original Contract]],Fencing921325122[[#This Row],[Actual Buyout]]+Fencing921325122[[#This Row],[Change Orders]])</f>
        <v>0</v>
      </c>
      <c r="I115" s="443">
        <v>0</v>
      </c>
      <c r="J115" s="213">
        <f>Fencing921325122[[#This Row],[Original Contract]]-Fencing921325122[[#This Row],[Revised Contract]]</f>
        <v>0</v>
      </c>
      <c r="K115" s="218"/>
      <c r="L115" s="217"/>
      <c r="M115" s="184"/>
      <c r="T115" s="165"/>
      <c r="U115" s="165"/>
      <c r="Y115" s="166"/>
      <c r="Z115" s="166"/>
    </row>
    <row r="116" spans="1:26" x14ac:dyDescent="0.35">
      <c r="A116" s="201">
        <v>32</v>
      </c>
      <c r="B116" s="223"/>
      <c r="C116" s="223"/>
      <c r="D116" s="581" t="s">
        <v>258</v>
      </c>
      <c r="E116" s="443">
        <v>0</v>
      </c>
      <c r="F116" s="443">
        <v>0</v>
      </c>
      <c r="G116" s="443">
        <v>0</v>
      </c>
      <c r="H116" s="204">
        <f>IF(ABS(Fencing921325122[[#This Row],[Actual Buyout]])+ABS(Fencing921325122[[#This Row],[Change Orders]])=0,Fencing921325122[[#This Row],[Original Contract]],Fencing921325122[[#This Row],[Actual Buyout]]+Fencing921325122[[#This Row],[Change Orders]])</f>
        <v>0</v>
      </c>
      <c r="I116" s="443">
        <v>0</v>
      </c>
      <c r="J116" s="213">
        <f>Fencing921325122[[#This Row],[Original Contract]]-Fencing921325122[[#This Row],[Revised Contract]]</f>
        <v>0</v>
      </c>
      <c r="K116" s="218"/>
      <c r="L116" s="217"/>
      <c r="M116" s="184"/>
      <c r="T116" s="165"/>
      <c r="U116" s="165"/>
      <c r="Y116" s="166"/>
      <c r="Z116" s="166"/>
    </row>
    <row r="117" spans="1:26" x14ac:dyDescent="0.35">
      <c r="A117" s="219"/>
      <c r="B117" s="220"/>
      <c r="C117" s="220"/>
      <c r="D117" s="208" t="s">
        <v>259</v>
      </c>
      <c r="E117" s="209">
        <f>SUM(Fencing921325122[Original Contract])</f>
        <v>0</v>
      </c>
      <c r="F117" s="209">
        <f>SUM(Fencing921325122[Actual Buyout])</f>
        <v>0</v>
      </c>
      <c r="G117" s="209">
        <f>SUM(Fencing921325122[Change Orders])</f>
        <v>0</v>
      </c>
      <c r="H117" s="209">
        <f>SUM(Fencing921325122[Revised Contract])</f>
        <v>0</v>
      </c>
      <c r="I117" s="209">
        <f>SUM(Fencing921325122[Total completed and Stored])</f>
        <v>0</v>
      </c>
      <c r="J117" s="209">
        <f>SUM(Fencing921325122[Delta])</f>
        <v>0</v>
      </c>
      <c r="K117" s="221"/>
      <c r="L117" s="184"/>
      <c r="M117" s="184"/>
    </row>
    <row r="118" spans="1:26" x14ac:dyDescent="0.35">
      <c r="A118" s="164" t="s">
        <v>115</v>
      </c>
      <c r="B118" s="164" t="s">
        <v>326</v>
      </c>
      <c r="C118" s="164" t="s">
        <v>242</v>
      </c>
      <c r="D118" s="164" t="s">
        <v>243</v>
      </c>
      <c r="E118" s="164" t="s">
        <v>244</v>
      </c>
      <c r="F118" s="198" t="s">
        <v>245</v>
      </c>
      <c r="G118" s="198" t="s">
        <v>246</v>
      </c>
      <c r="H118" s="198" t="s">
        <v>247</v>
      </c>
      <c r="I118" s="445" t="s">
        <v>250</v>
      </c>
      <c r="J118" s="222" t="s">
        <v>249</v>
      </c>
      <c r="K118" s="218"/>
      <c r="L118" s="216"/>
      <c r="M118" s="184"/>
      <c r="T118" s="165"/>
      <c r="U118" s="165"/>
      <c r="Y118" s="166"/>
      <c r="Z118" s="166"/>
    </row>
    <row r="119" spans="1:26" x14ac:dyDescent="0.35">
      <c r="A119" s="201">
        <v>32</v>
      </c>
      <c r="B119" s="202" t="s">
        <v>327</v>
      </c>
      <c r="C119" s="202" t="s">
        <v>328</v>
      </c>
      <c r="D119" s="203" t="s">
        <v>329</v>
      </c>
      <c r="E119" s="443">
        <v>0</v>
      </c>
      <c r="F119" s="443">
        <v>0</v>
      </c>
      <c r="G119" s="443">
        <v>0</v>
      </c>
      <c r="H119" s="204">
        <f>IF(ABS(Landscape1021425223[[#This Row],[Actual Buyout]])+ABS(Landscape1021425223[[#This Row],[Change Orders]])=0,Landscape1021425223[[#This Row],[Original Contract]],Landscape1021425223[[#This Row],[Actual Buyout]]+Landscape1021425223[[#This Row],[Change Orders]])</f>
        <v>0</v>
      </c>
      <c r="I119" s="443">
        <v>0</v>
      </c>
      <c r="J119" s="213">
        <f>Landscape1021425223[[#This Row],[Original Contract]]-Landscape1021425223[[#This Row],[Revised Contract]]</f>
        <v>0</v>
      </c>
      <c r="K119" s="218"/>
      <c r="L119" s="217"/>
      <c r="M119" s="184"/>
      <c r="T119" s="165"/>
      <c r="U119" s="165"/>
      <c r="Y119" s="166"/>
      <c r="Z119" s="166"/>
    </row>
    <row r="120" spans="1:26" x14ac:dyDescent="0.35">
      <c r="A120" s="201">
        <v>32</v>
      </c>
      <c r="B120" s="202" t="s">
        <v>330</v>
      </c>
      <c r="C120" s="202" t="s">
        <v>331</v>
      </c>
      <c r="D120" s="203" t="s">
        <v>332</v>
      </c>
      <c r="E120" s="443">
        <v>0</v>
      </c>
      <c r="F120" s="443">
        <v>0</v>
      </c>
      <c r="G120" s="443">
        <v>0</v>
      </c>
      <c r="H120" s="204">
        <f>IF(ABS(Landscape1021425223[[#This Row],[Actual Buyout]])+ABS(Landscape1021425223[[#This Row],[Change Orders]])=0,Landscape1021425223[[#This Row],[Original Contract]],Landscape1021425223[[#This Row],[Actual Buyout]]+Landscape1021425223[[#This Row],[Change Orders]])</f>
        <v>0</v>
      </c>
      <c r="I120" s="443">
        <v>0</v>
      </c>
      <c r="J120" s="213">
        <f>Landscape1021425223[[#This Row],[Original Contract]]-Landscape1021425223[[#This Row],[Revised Contract]]</f>
        <v>0</v>
      </c>
      <c r="K120" s="218"/>
      <c r="L120" s="217"/>
      <c r="M120" s="184"/>
      <c r="T120" s="165"/>
      <c r="U120" s="165"/>
      <c r="Y120" s="166"/>
      <c r="Z120" s="166"/>
    </row>
    <row r="121" spans="1:26" x14ac:dyDescent="0.35">
      <c r="A121" s="201">
        <v>32</v>
      </c>
      <c r="B121" s="202" t="s">
        <v>333</v>
      </c>
      <c r="C121" s="202" t="s">
        <v>334</v>
      </c>
      <c r="D121" s="203" t="s">
        <v>335</v>
      </c>
      <c r="E121" s="443">
        <v>0</v>
      </c>
      <c r="F121" s="443">
        <v>0</v>
      </c>
      <c r="G121" s="443">
        <v>0</v>
      </c>
      <c r="H121" s="204">
        <f>IF(ABS(Landscape1021425223[[#This Row],[Actual Buyout]])+ABS(Landscape1021425223[[#This Row],[Change Orders]])=0,Landscape1021425223[[#This Row],[Original Contract]],Landscape1021425223[[#This Row],[Actual Buyout]]+Landscape1021425223[[#This Row],[Change Orders]])</f>
        <v>0</v>
      </c>
      <c r="I121" s="443">
        <v>0</v>
      </c>
      <c r="J121" s="213">
        <f>Landscape1021425223[[#This Row],[Original Contract]]-Landscape1021425223[[#This Row],[Revised Contract]]</f>
        <v>0</v>
      </c>
      <c r="K121" s="218"/>
      <c r="L121" s="217"/>
      <c r="M121" s="184"/>
      <c r="T121" s="165"/>
      <c r="U121" s="165"/>
      <c r="Y121" s="166"/>
      <c r="Z121" s="166"/>
    </row>
    <row r="122" spans="1:26" x14ac:dyDescent="0.35">
      <c r="A122" s="201">
        <v>32</v>
      </c>
      <c r="B122" s="202"/>
      <c r="C122" s="202"/>
      <c r="D122" s="580" t="s">
        <v>258</v>
      </c>
      <c r="E122" s="443">
        <v>0</v>
      </c>
      <c r="F122" s="443">
        <v>0</v>
      </c>
      <c r="G122" s="443">
        <v>0</v>
      </c>
      <c r="H122" s="204">
        <f>IF(ABS(Landscape1021425223[[#This Row],[Actual Buyout]])+ABS(Landscape1021425223[[#This Row],[Change Orders]])=0,Landscape1021425223[[#This Row],[Original Contract]],Landscape1021425223[[#This Row],[Actual Buyout]]+Landscape1021425223[[#This Row],[Change Orders]])</f>
        <v>0</v>
      </c>
      <c r="I122" s="443">
        <v>0</v>
      </c>
      <c r="J122" s="213">
        <f>Landscape1021425223[[#This Row],[Original Contract]]-Landscape1021425223[[#This Row],[Revised Contract]]</f>
        <v>0</v>
      </c>
      <c r="K122" s="218"/>
      <c r="L122" s="217"/>
      <c r="M122" s="184"/>
      <c r="T122" s="165"/>
      <c r="U122" s="165"/>
      <c r="Y122" s="166"/>
      <c r="Z122" s="166"/>
    </row>
    <row r="123" spans="1:26" x14ac:dyDescent="0.35">
      <c r="A123" s="201">
        <v>32</v>
      </c>
      <c r="B123" s="202"/>
      <c r="C123" s="202"/>
      <c r="D123" s="580" t="s">
        <v>258</v>
      </c>
      <c r="E123" s="443">
        <v>0</v>
      </c>
      <c r="F123" s="443">
        <v>0</v>
      </c>
      <c r="G123" s="443">
        <v>0</v>
      </c>
      <c r="H123" s="204">
        <f>IF(ABS(Landscape1021425223[[#This Row],[Actual Buyout]])+ABS(Landscape1021425223[[#This Row],[Change Orders]])=0,Landscape1021425223[[#This Row],[Original Contract]],Landscape1021425223[[#This Row],[Actual Buyout]]+Landscape1021425223[[#This Row],[Change Orders]])</f>
        <v>0</v>
      </c>
      <c r="I123" s="443">
        <v>0</v>
      </c>
      <c r="J123" s="213">
        <f>Landscape1021425223[[#This Row],[Original Contract]]-Landscape1021425223[[#This Row],[Revised Contract]]</f>
        <v>0</v>
      </c>
      <c r="K123" s="218"/>
      <c r="L123" s="217"/>
      <c r="M123" s="184"/>
      <c r="T123" s="165"/>
      <c r="U123" s="165"/>
      <c r="Y123" s="166"/>
      <c r="Z123" s="166"/>
    </row>
    <row r="124" spans="1:26" x14ac:dyDescent="0.35">
      <c r="A124" s="201">
        <v>32</v>
      </c>
      <c r="B124" s="202"/>
      <c r="C124" s="202"/>
      <c r="D124" s="580" t="s">
        <v>258</v>
      </c>
      <c r="E124" s="443">
        <v>0</v>
      </c>
      <c r="F124" s="443">
        <v>0</v>
      </c>
      <c r="G124" s="443">
        <v>0</v>
      </c>
      <c r="H124" s="204">
        <f>IF(ABS(Landscape1021425223[[#This Row],[Actual Buyout]])+ABS(Landscape1021425223[[#This Row],[Change Orders]])=0,Landscape1021425223[[#This Row],[Original Contract]],Landscape1021425223[[#This Row],[Actual Buyout]]+Landscape1021425223[[#This Row],[Change Orders]])</f>
        <v>0</v>
      </c>
      <c r="I124" s="443">
        <v>0</v>
      </c>
      <c r="J124" s="213">
        <f>Landscape1021425223[[#This Row],[Original Contract]]-Landscape1021425223[[#This Row],[Revised Contract]]</f>
        <v>0</v>
      </c>
      <c r="K124" s="218"/>
      <c r="L124" s="217"/>
      <c r="M124" s="184"/>
      <c r="T124" s="165"/>
      <c r="U124" s="165"/>
      <c r="Y124" s="166"/>
      <c r="Z124" s="166"/>
    </row>
    <row r="125" spans="1:26" x14ac:dyDescent="0.35">
      <c r="A125" s="201">
        <v>32</v>
      </c>
      <c r="B125" s="202"/>
      <c r="C125" s="202"/>
      <c r="D125" s="580" t="s">
        <v>258</v>
      </c>
      <c r="E125" s="443">
        <v>0</v>
      </c>
      <c r="F125" s="443">
        <v>0</v>
      </c>
      <c r="G125" s="443">
        <v>0</v>
      </c>
      <c r="H125" s="204">
        <f>IF(ABS(Landscape1021425223[[#This Row],[Actual Buyout]])+ABS(Landscape1021425223[[#This Row],[Change Orders]])=0,Landscape1021425223[[#This Row],[Original Contract]],Landscape1021425223[[#This Row],[Actual Buyout]]+Landscape1021425223[[#This Row],[Change Orders]])</f>
        <v>0</v>
      </c>
      <c r="I125" s="443">
        <v>0</v>
      </c>
      <c r="J125" s="213">
        <f>Landscape1021425223[[#This Row],[Original Contract]]-Landscape1021425223[[#This Row],[Revised Contract]]</f>
        <v>0</v>
      </c>
      <c r="K125" s="218"/>
      <c r="L125" s="217"/>
      <c r="M125" s="184"/>
      <c r="T125" s="165"/>
      <c r="U125" s="165"/>
      <c r="Y125" s="166"/>
      <c r="Z125" s="166"/>
    </row>
    <row r="126" spans="1:26" x14ac:dyDescent="0.35">
      <c r="A126" s="201">
        <v>32</v>
      </c>
      <c r="B126" s="202"/>
      <c r="C126" s="202"/>
      <c r="D126" s="580" t="s">
        <v>258</v>
      </c>
      <c r="E126" s="443">
        <v>0</v>
      </c>
      <c r="F126" s="443">
        <v>0</v>
      </c>
      <c r="G126" s="443">
        <v>0</v>
      </c>
      <c r="H126" s="204">
        <f>IF(ABS(Landscape1021425223[[#This Row],[Actual Buyout]])+ABS(Landscape1021425223[[#This Row],[Change Orders]])=0,Landscape1021425223[[#This Row],[Original Contract]],Landscape1021425223[[#This Row],[Actual Buyout]]+Landscape1021425223[[#This Row],[Change Orders]])</f>
        <v>0</v>
      </c>
      <c r="I126" s="443">
        <v>0</v>
      </c>
      <c r="J126" s="213">
        <f>Landscape1021425223[[#This Row],[Original Contract]]-Landscape1021425223[[#This Row],[Revised Contract]]</f>
        <v>0</v>
      </c>
      <c r="K126" s="218"/>
      <c r="L126" s="217"/>
      <c r="M126" s="184"/>
      <c r="T126" s="165"/>
      <c r="U126" s="165"/>
      <c r="Y126" s="166"/>
      <c r="Z126" s="166"/>
    </row>
    <row r="127" spans="1:26" x14ac:dyDescent="0.35">
      <c r="A127" s="219"/>
      <c r="B127" s="220"/>
      <c r="C127" s="220"/>
      <c r="D127" s="208" t="s">
        <v>259</v>
      </c>
      <c r="E127" s="209">
        <f>SUM(Landscape1021425223[Original Contract])</f>
        <v>0</v>
      </c>
      <c r="F127" s="209">
        <f>SUM(Landscape1021425223[Actual Buyout])</f>
        <v>0</v>
      </c>
      <c r="G127" s="209">
        <f>SUM(Landscape1021425223[Change Orders])</f>
        <v>0</v>
      </c>
      <c r="H127" s="209">
        <f>SUM(Landscape1021425223[Revised Contract])</f>
        <v>0</v>
      </c>
      <c r="I127" s="209">
        <f>SUM(Landscape1021425223[Total completed and Stored])</f>
        <v>0</v>
      </c>
      <c r="J127" s="209">
        <f>SUM(Landscape1021425223[Delta])</f>
        <v>0</v>
      </c>
      <c r="K127" s="221"/>
      <c r="L127" s="184"/>
      <c r="M127" s="184"/>
    </row>
    <row r="128" spans="1:26" x14ac:dyDescent="0.35">
      <c r="A128" s="164" t="s">
        <v>117</v>
      </c>
      <c r="B128" s="164" t="s">
        <v>336</v>
      </c>
      <c r="C128" s="164" t="s">
        <v>242</v>
      </c>
      <c r="D128" s="164" t="s">
        <v>243</v>
      </c>
      <c r="E128" s="164" t="s">
        <v>244</v>
      </c>
      <c r="F128" s="198" t="s">
        <v>245</v>
      </c>
      <c r="G128" s="198" t="s">
        <v>246</v>
      </c>
      <c r="H128" s="198" t="s">
        <v>247</v>
      </c>
      <c r="I128" s="211" t="s">
        <v>250</v>
      </c>
      <c r="J128" s="222" t="s">
        <v>249</v>
      </c>
      <c r="K128" s="218"/>
      <c r="L128" s="216"/>
      <c r="M128" s="184"/>
      <c r="T128" s="165"/>
      <c r="U128" s="165"/>
      <c r="Y128" s="166"/>
      <c r="Z128" s="166"/>
    </row>
    <row r="129" spans="1:26" x14ac:dyDescent="0.35">
      <c r="A129" s="201">
        <v>33</v>
      </c>
      <c r="B129" s="202" t="s">
        <v>337</v>
      </c>
      <c r="C129" s="202" t="s">
        <v>338</v>
      </c>
      <c r="D129" s="203" t="s">
        <v>339</v>
      </c>
      <c r="E129" s="443">
        <v>0</v>
      </c>
      <c r="F129" s="443">
        <v>0</v>
      </c>
      <c r="G129" s="443">
        <v>0</v>
      </c>
      <c r="H129" s="204">
        <f>IF(ABS(Utilities1121525324[[#This Row],[Actual Buyout]])+ABS(Utilities1121525324[[#This Row],[Change Orders]])=0,Utilities1121525324[[#This Row],[Original Contract]],Utilities1121525324[[#This Row],[Actual Buyout]]+Utilities1121525324[[#This Row],[Change Orders]])</f>
        <v>0</v>
      </c>
      <c r="I129" s="443">
        <v>0</v>
      </c>
      <c r="J129" s="213">
        <f>Utilities1121525324[[#This Row],[Original Contract]]-Utilities1121525324[[#This Row],[Revised Contract]]</f>
        <v>0</v>
      </c>
      <c r="K129" s="218"/>
      <c r="L129" s="217"/>
      <c r="M129" s="184"/>
      <c r="T129" s="165"/>
      <c r="U129" s="165"/>
      <c r="Y129" s="166"/>
      <c r="Z129" s="166"/>
    </row>
    <row r="130" spans="1:26" x14ac:dyDescent="0.35">
      <c r="A130" s="201">
        <v>33</v>
      </c>
      <c r="B130" s="202" t="s">
        <v>340</v>
      </c>
      <c r="C130" s="202" t="s">
        <v>341</v>
      </c>
      <c r="D130" s="203" t="s">
        <v>342</v>
      </c>
      <c r="E130" s="443">
        <v>0</v>
      </c>
      <c r="F130" s="443">
        <v>0</v>
      </c>
      <c r="G130" s="443">
        <v>0</v>
      </c>
      <c r="H130" s="204">
        <f>IF(ABS(Utilities1121525324[[#This Row],[Actual Buyout]])+ABS(Utilities1121525324[[#This Row],[Change Orders]])=0,Utilities1121525324[[#This Row],[Original Contract]],Utilities1121525324[[#This Row],[Actual Buyout]]+Utilities1121525324[[#This Row],[Change Orders]])</f>
        <v>0</v>
      </c>
      <c r="I130" s="443">
        <v>0</v>
      </c>
      <c r="J130" s="213">
        <f>Utilities1121525324[[#This Row],[Original Contract]]-Utilities1121525324[[#This Row],[Revised Contract]]</f>
        <v>0</v>
      </c>
      <c r="K130" s="218"/>
      <c r="L130" s="217"/>
      <c r="M130" s="184"/>
      <c r="T130" s="165"/>
      <c r="U130" s="165"/>
      <c r="Y130" s="166"/>
      <c r="Z130" s="166"/>
    </row>
    <row r="131" spans="1:26" x14ac:dyDescent="0.35">
      <c r="A131" s="201">
        <v>33</v>
      </c>
      <c r="B131" s="202" t="s">
        <v>340</v>
      </c>
      <c r="C131" s="202" t="s">
        <v>341</v>
      </c>
      <c r="D131" s="203" t="s">
        <v>343</v>
      </c>
      <c r="E131" s="443">
        <v>0</v>
      </c>
      <c r="F131" s="443">
        <v>0</v>
      </c>
      <c r="G131" s="443">
        <v>0</v>
      </c>
      <c r="H131" s="204">
        <f>IF(ABS(Utilities1121525324[[#This Row],[Actual Buyout]])+ABS(Utilities1121525324[[#This Row],[Change Orders]])=0,Utilities1121525324[[#This Row],[Original Contract]],Utilities1121525324[[#This Row],[Actual Buyout]]+Utilities1121525324[[#This Row],[Change Orders]])</f>
        <v>0</v>
      </c>
      <c r="I131" s="443">
        <v>0</v>
      </c>
      <c r="J131" s="213">
        <f>Utilities1121525324[[#This Row],[Original Contract]]-Utilities1121525324[[#This Row],[Revised Contract]]</f>
        <v>0</v>
      </c>
      <c r="K131" s="218"/>
      <c r="L131" s="217"/>
      <c r="M131" s="184"/>
      <c r="T131" s="165"/>
      <c r="U131" s="165"/>
      <c r="Y131" s="166"/>
      <c r="Z131" s="166"/>
    </row>
    <row r="132" spans="1:26" x14ac:dyDescent="0.35">
      <c r="A132" s="201">
        <v>33</v>
      </c>
      <c r="B132" s="202" t="s">
        <v>344</v>
      </c>
      <c r="C132" s="202" t="s">
        <v>345</v>
      </c>
      <c r="D132" s="203" t="s">
        <v>346</v>
      </c>
      <c r="E132" s="443">
        <v>0</v>
      </c>
      <c r="F132" s="443">
        <v>0</v>
      </c>
      <c r="G132" s="443">
        <v>0</v>
      </c>
      <c r="H132" s="204">
        <f>IF(ABS(Utilities1121525324[[#This Row],[Actual Buyout]])+ABS(Utilities1121525324[[#This Row],[Change Orders]])=0,Utilities1121525324[[#This Row],[Original Contract]],Utilities1121525324[[#This Row],[Actual Buyout]]+Utilities1121525324[[#This Row],[Change Orders]])</f>
        <v>0</v>
      </c>
      <c r="I132" s="443">
        <v>0</v>
      </c>
      <c r="J132" s="213">
        <f>Utilities1121525324[[#This Row],[Original Contract]]-Utilities1121525324[[#This Row],[Revised Contract]]</f>
        <v>0</v>
      </c>
      <c r="K132" s="218"/>
      <c r="L132" s="217"/>
      <c r="M132" s="184"/>
      <c r="T132" s="165"/>
      <c r="U132" s="165"/>
      <c r="Y132" s="166"/>
      <c r="Z132" s="166"/>
    </row>
    <row r="133" spans="1:26" x14ac:dyDescent="0.35">
      <c r="A133" s="201">
        <v>33</v>
      </c>
      <c r="B133" s="202" t="s">
        <v>337</v>
      </c>
      <c r="C133" s="202" t="s">
        <v>338</v>
      </c>
      <c r="D133" s="203" t="s">
        <v>347</v>
      </c>
      <c r="E133" s="443">
        <v>0</v>
      </c>
      <c r="F133" s="443">
        <v>0</v>
      </c>
      <c r="G133" s="443">
        <v>0</v>
      </c>
      <c r="H133" s="204">
        <f>IF(ABS(Utilities1121525324[[#This Row],[Actual Buyout]])+ABS(Utilities1121525324[[#This Row],[Change Orders]])=0,Utilities1121525324[[#This Row],[Original Contract]],Utilities1121525324[[#This Row],[Actual Buyout]]+Utilities1121525324[[#This Row],[Change Orders]])</f>
        <v>0</v>
      </c>
      <c r="I133" s="443">
        <v>0</v>
      </c>
      <c r="J133" s="213">
        <f>Utilities1121525324[[#This Row],[Original Contract]]-Utilities1121525324[[#This Row],[Revised Contract]]</f>
        <v>0</v>
      </c>
      <c r="K133" s="218"/>
      <c r="L133" s="217"/>
      <c r="M133" s="184"/>
      <c r="T133" s="165"/>
      <c r="U133" s="165"/>
      <c r="Y133" s="166"/>
      <c r="Z133" s="166"/>
    </row>
    <row r="134" spans="1:26" x14ac:dyDescent="0.35">
      <c r="A134" s="201">
        <v>33</v>
      </c>
      <c r="B134" s="202" t="s">
        <v>348</v>
      </c>
      <c r="C134" s="202" t="s">
        <v>349</v>
      </c>
      <c r="D134" s="224" t="s">
        <v>350</v>
      </c>
      <c r="E134" s="443">
        <v>0</v>
      </c>
      <c r="F134" s="443">
        <v>0</v>
      </c>
      <c r="G134" s="443">
        <v>0</v>
      </c>
      <c r="H134" s="204">
        <f>IF(ABS(Utilities1121525324[[#This Row],[Actual Buyout]])+ABS(Utilities1121525324[[#This Row],[Change Orders]])=0,Utilities1121525324[[#This Row],[Original Contract]],Utilities1121525324[[#This Row],[Actual Buyout]]+Utilities1121525324[[#This Row],[Change Orders]])</f>
        <v>0</v>
      </c>
      <c r="I134" s="443">
        <v>0</v>
      </c>
      <c r="J134" s="213">
        <f>Utilities1121525324[[#This Row],[Original Contract]]-Utilities1121525324[[#This Row],[Revised Contract]]</f>
        <v>0</v>
      </c>
      <c r="K134" s="218"/>
      <c r="L134" s="217"/>
      <c r="M134" s="184"/>
      <c r="T134" s="165"/>
      <c r="U134" s="165"/>
      <c r="Y134" s="166"/>
      <c r="Z134" s="166"/>
    </row>
    <row r="135" spans="1:26" x14ac:dyDescent="0.35">
      <c r="A135" s="201">
        <v>33</v>
      </c>
      <c r="B135" s="202" t="s">
        <v>351</v>
      </c>
      <c r="C135" s="202" t="s">
        <v>352</v>
      </c>
      <c r="D135" s="203" t="s">
        <v>353</v>
      </c>
      <c r="E135" s="443">
        <v>0</v>
      </c>
      <c r="F135" s="443">
        <v>0</v>
      </c>
      <c r="G135" s="443">
        <v>0</v>
      </c>
      <c r="H135" s="204">
        <f>IF(ABS(Utilities1121525324[[#This Row],[Actual Buyout]])+ABS(Utilities1121525324[[#This Row],[Change Orders]])=0,Utilities1121525324[[#This Row],[Original Contract]],Utilities1121525324[[#This Row],[Actual Buyout]]+Utilities1121525324[[#This Row],[Change Orders]])</f>
        <v>0</v>
      </c>
      <c r="I135" s="443">
        <v>0</v>
      </c>
      <c r="J135" s="213">
        <f>Utilities1121525324[[#This Row],[Original Contract]]-Utilities1121525324[[#This Row],[Revised Contract]]</f>
        <v>0</v>
      </c>
      <c r="K135" s="218"/>
      <c r="L135" s="217"/>
      <c r="M135" s="184"/>
      <c r="T135" s="165"/>
      <c r="U135" s="165"/>
      <c r="Y135" s="166"/>
      <c r="Z135" s="166"/>
    </row>
    <row r="136" spans="1:26" x14ac:dyDescent="0.35">
      <c r="A136" s="201">
        <v>33</v>
      </c>
      <c r="B136" s="202"/>
      <c r="C136" s="202"/>
      <c r="D136" s="580" t="s">
        <v>258</v>
      </c>
      <c r="E136" s="443">
        <v>0</v>
      </c>
      <c r="F136" s="443">
        <v>0</v>
      </c>
      <c r="G136" s="443">
        <v>0</v>
      </c>
      <c r="H136" s="204">
        <f>IF(ABS(Utilities1121525324[[#This Row],[Actual Buyout]])+ABS(Utilities1121525324[[#This Row],[Change Orders]])=0,Utilities1121525324[[#This Row],[Original Contract]],Utilities1121525324[[#This Row],[Actual Buyout]]+Utilities1121525324[[#This Row],[Change Orders]])</f>
        <v>0</v>
      </c>
      <c r="I136" s="443">
        <v>0</v>
      </c>
      <c r="J136" s="213">
        <f>Utilities1121525324[[#This Row],[Original Contract]]-Utilities1121525324[[#This Row],[Revised Contract]]</f>
        <v>0</v>
      </c>
      <c r="K136" s="218"/>
      <c r="L136" s="217"/>
      <c r="M136" s="184"/>
      <c r="T136" s="165"/>
      <c r="U136" s="165"/>
      <c r="Y136" s="166"/>
      <c r="Z136" s="166"/>
    </row>
    <row r="137" spans="1:26" x14ac:dyDescent="0.35">
      <c r="A137" s="201">
        <v>33</v>
      </c>
      <c r="B137" s="202"/>
      <c r="C137" s="202"/>
      <c r="D137" s="580" t="s">
        <v>258</v>
      </c>
      <c r="E137" s="443">
        <v>0</v>
      </c>
      <c r="F137" s="443">
        <v>0</v>
      </c>
      <c r="G137" s="443">
        <v>0</v>
      </c>
      <c r="H137" s="204">
        <f>IF(ABS(Utilities1121525324[[#This Row],[Actual Buyout]])+ABS(Utilities1121525324[[#This Row],[Change Orders]])=0,Utilities1121525324[[#This Row],[Original Contract]],Utilities1121525324[[#This Row],[Actual Buyout]]+Utilities1121525324[[#This Row],[Change Orders]])</f>
        <v>0</v>
      </c>
      <c r="I137" s="443">
        <v>0</v>
      </c>
      <c r="J137" s="213">
        <f>Utilities1121525324[[#This Row],[Original Contract]]-Utilities1121525324[[#This Row],[Revised Contract]]</f>
        <v>0</v>
      </c>
      <c r="K137" s="218"/>
      <c r="L137" s="217"/>
      <c r="M137" s="184"/>
      <c r="T137" s="165"/>
      <c r="U137" s="165"/>
      <c r="Y137" s="166"/>
      <c r="Z137" s="166"/>
    </row>
    <row r="138" spans="1:26" x14ac:dyDescent="0.35">
      <c r="A138" s="201">
        <v>33</v>
      </c>
      <c r="B138" s="202"/>
      <c r="C138" s="202"/>
      <c r="D138" s="580" t="s">
        <v>258</v>
      </c>
      <c r="E138" s="443">
        <v>0</v>
      </c>
      <c r="F138" s="443">
        <v>0</v>
      </c>
      <c r="G138" s="443">
        <v>0</v>
      </c>
      <c r="H138" s="204">
        <f>IF(ABS(Utilities1121525324[[#This Row],[Actual Buyout]])+ABS(Utilities1121525324[[#This Row],[Change Orders]])=0,Utilities1121525324[[#This Row],[Original Contract]],Utilities1121525324[[#This Row],[Actual Buyout]]+Utilities1121525324[[#This Row],[Change Orders]])</f>
        <v>0</v>
      </c>
      <c r="I138" s="443">
        <v>0</v>
      </c>
      <c r="J138" s="213">
        <f>Utilities1121525324[[#This Row],[Original Contract]]-Utilities1121525324[[#This Row],[Revised Contract]]</f>
        <v>0</v>
      </c>
      <c r="K138" s="218"/>
      <c r="L138" s="217"/>
      <c r="M138" s="184"/>
      <c r="T138" s="165"/>
      <c r="U138" s="165"/>
      <c r="Y138" s="166"/>
      <c r="Z138" s="166"/>
    </row>
    <row r="139" spans="1:26" x14ac:dyDescent="0.35">
      <c r="A139" s="201">
        <v>33</v>
      </c>
      <c r="B139" s="202"/>
      <c r="C139" s="202"/>
      <c r="D139" s="580" t="s">
        <v>258</v>
      </c>
      <c r="E139" s="443">
        <v>0</v>
      </c>
      <c r="F139" s="443">
        <v>0</v>
      </c>
      <c r="G139" s="443">
        <v>0</v>
      </c>
      <c r="H139" s="204">
        <f>IF(ABS(Utilities1121525324[[#This Row],[Actual Buyout]])+ABS(Utilities1121525324[[#This Row],[Change Orders]])=0,Utilities1121525324[[#This Row],[Original Contract]],Utilities1121525324[[#This Row],[Actual Buyout]]+Utilities1121525324[[#This Row],[Change Orders]])</f>
        <v>0</v>
      </c>
      <c r="I139" s="443">
        <v>0</v>
      </c>
      <c r="J139" s="213">
        <f>Utilities1121525324[[#This Row],[Original Contract]]-Utilities1121525324[[#This Row],[Revised Contract]]</f>
        <v>0</v>
      </c>
      <c r="K139" s="218"/>
      <c r="L139" s="217"/>
      <c r="M139" s="184"/>
      <c r="T139" s="165"/>
      <c r="U139" s="165"/>
      <c r="Y139" s="166"/>
      <c r="Z139" s="166"/>
    </row>
    <row r="140" spans="1:26" x14ac:dyDescent="0.35">
      <c r="A140" s="201">
        <v>33</v>
      </c>
      <c r="B140" s="202"/>
      <c r="C140" s="202"/>
      <c r="D140" s="580" t="s">
        <v>258</v>
      </c>
      <c r="E140" s="443">
        <v>0</v>
      </c>
      <c r="F140" s="443">
        <v>0</v>
      </c>
      <c r="G140" s="443">
        <v>0</v>
      </c>
      <c r="H140" s="204">
        <f>IF(ABS(Utilities1121525324[[#This Row],[Actual Buyout]])+ABS(Utilities1121525324[[#This Row],[Change Orders]])=0,Utilities1121525324[[#This Row],[Original Contract]],Utilities1121525324[[#This Row],[Actual Buyout]]+Utilities1121525324[[#This Row],[Change Orders]])</f>
        <v>0</v>
      </c>
      <c r="I140" s="443">
        <v>0</v>
      </c>
      <c r="J140" s="213">
        <f>Utilities1121525324[[#This Row],[Original Contract]]-Utilities1121525324[[#This Row],[Revised Contract]]</f>
        <v>0</v>
      </c>
      <c r="K140" s="218"/>
      <c r="L140" s="217"/>
      <c r="M140" s="184"/>
      <c r="T140" s="165"/>
      <c r="U140" s="165"/>
      <c r="Y140" s="166"/>
      <c r="Z140" s="166"/>
    </row>
    <row r="141" spans="1:26" x14ac:dyDescent="0.35">
      <c r="A141" s="219"/>
      <c r="B141" s="220"/>
      <c r="C141" s="220"/>
      <c r="D141" s="208" t="s">
        <v>259</v>
      </c>
      <c r="E141" s="209">
        <f>SUM(Utilities1121525324[Original Contract])</f>
        <v>0</v>
      </c>
      <c r="F141" s="209">
        <f>SUM(Utilities1121525324[Actual Buyout])</f>
        <v>0</v>
      </c>
      <c r="G141" s="209">
        <f>SUM(Utilities1121525324[Change Orders])</f>
        <v>0</v>
      </c>
      <c r="H141" s="209">
        <f>SUM(Utilities1121525324[Revised Contract])</f>
        <v>0</v>
      </c>
      <c r="I141" s="209">
        <f>SUM(Utilities1121525324[Total completed and Stored])</f>
        <v>0</v>
      </c>
      <c r="J141" s="209">
        <f>SUM(Utilities1121525324[Delta])</f>
        <v>0</v>
      </c>
      <c r="K141" s="221"/>
      <c r="L141" s="184"/>
      <c r="M141" s="184"/>
    </row>
    <row r="142" spans="1:26" x14ac:dyDescent="0.35">
      <c r="A142" s="164" t="s">
        <v>119</v>
      </c>
      <c r="B142" s="164" t="s">
        <v>120</v>
      </c>
      <c r="C142" s="164" t="s">
        <v>242</v>
      </c>
      <c r="D142" s="164" t="s">
        <v>243</v>
      </c>
      <c r="E142" s="164" t="s">
        <v>244</v>
      </c>
      <c r="F142" s="198" t="s">
        <v>245</v>
      </c>
      <c r="G142" s="198" t="s">
        <v>246</v>
      </c>
      <c r="H142" s="198" t="s">
        <v>247</v>
      </c>
      <c r="I142" s="211" t="s">
        <v>250</v>
      </c>
      <c r="J142" s="222" t="s">
        <v>249</v>
      </c>
      <c r="K142" s="218"/>
      <c r="L142" s="216"/>
      <c r="M142" s="184"/>
      <c r="T142" s="165"/>
      <c r="U142" s="165"/>
      <c r="Y142" s="166"/>
      <c r="Z142" s="166"/>
    </row>
    <row r="143" spans="1:26" x14ac:dyDescent="0.35">
      <c r="A143" s="201">
        <v>1</v>
      </c>
      <c r="B143" s="202" t="s">
        <v>120</v>
      </c>
      <c r="C143" s="202" t="s">
        <v>354</v>
      </c>
      <c r="D143" s="203" t="s">
        <v>355</v>
      </c>
      <c r="E143" s="443">
        <v>0</v>
      </c>
      <c r="F143" s="443">
        <v>0</v>
      </c>
      <c r="G143" s="444">
        <v>0</v>
      </c>
      <c r="H143" s="204">
        <f>IF(ABS(TimeAllow1221625425[[#This Row],[Actual Buyout]])+ABS(TimeAllow1221625425[[#This Row],[Change Orders]])=0,TimeAllow1221625425[[#This Row],[Original Contract]],TimeAllow1221625425[[#This Row],[Actual Buyout]]+TimeAllow1221625425[[#This Row],[Change Orders]])</f>
        <v>0</v>
      </c>
      <c r="I143" s="443">
        <v>0</v>
      </c>
      <c r="J143" s="213">
        <f>TimeAllow1221625425[[#This Row],[Original Contract]]-TimeAllow1221625425[[#This Row],[Revised Contract]]</f>
        <v>0</v>
      </c>
      <c r="K143" s="218"/>
      <c r="L143" s="217"/>
      <c r="M143" s="184"/>
      <c r="T143" s="165"/>
      <c r="U143" s="165"/>
      <c r="Y143" s="166"/>
      <c r="Z143" s="166"/>
    </row>
    <row r="144" spans="1:26" x14ac:dyDescent="0.35">
      <c r="A144" s="201">
        <v>1</v>
      </c>
      <c r="B144" s="202" t="s">
        <v>120</v>
      </c>
      <c r="C144" s="202" t="s">
        <v>354</v>
      </c>
      <c r="D144" s="203" t="s">
        <v>356</v>
      </c>
      <c r="E144" s="443">
        <v>0</v>
      </c>
      <c r="F144" s="443">
        <v>0</v>
      </c>
      <c r="G144" s="444">
        <v>0</v>
      </c>
      <c r="H144" s="204">
        <f>IF(ABS(TimeAllow1221625425[[#This Row],[Actual Buyout]])+ABS(TimeAllow1221625425[[#This Row],[Change Orders]])=0,TimeAllow1221625425[[#This Row],[Original Contract]],TimeAllow1221625425[[#This Row],[Actual Buyout]]+TimeAllow1221625425[[#This Row],[Change Orders]])</f>
        <v>0</v>
      </c>
      <c r="I144" s="443">
        <v>0</v>
      </c>
      <c r="J144" s="213">
        <f>TimeAllow1221625425[[#This Row],[Original Contract]]-TimeAllow1221625425[[#This Row],[Revised Contract]]</f>
        <v>0</v>
      </c>
      <c r="K144" s="218"/>
      <c r="L144" s="217"/>
      <c r="M144" s="184"/>
      <c r="T144" s="165"/>
      <c r="U144" s="165"/>
      <c r="Y144" s="166"/>
      <c r="Z144" s="166"/>
    </row>
    <row r="145" spans="1:26" x14ac:dyDescent="0.35">
      <c r="A145" s="201">
        <v>1</v>
      </c>
      <c r="B145" s="202"/>
      <c r="C145" s="202"/>
      <c r="D145" s="203" t="s">
        <v>357</v>
      </c>
      <c r="E145" s="443">
        <v>0</v>
      </c>
      <c r="F145" s="443">
        <v>0</v>
      </c>
      <c r="G145" s="444">
        <v>0</v>
      </c>
      <c r="H145" s="204">
        <f>IF(ABS(TimeAllow1221625425[[#This Row],[Actual Buyout]])+ABS(TimeAllow1221625425[[#This Row],[Change Orders]])=0,TimeAllow1221625425[[#This Row],[Original Contract]],TimeAllow1221625425[[#This Row],[Actual Buyout]]+TimeAllow1221625425[[#This Row],[Change Orders]])</f>
        <v>0</v>
      </c>
      <c r="I145" s="443">
        <v>0</v>
      </c>
      <c r="J145" s="213">
        <f>TimeAllow1221625425[[#This Row],[Original Contract]]-TimeAllow1221625425[[#This Row],[Revised Contract]]</f>
        <v>0</v>
      </c>
      <c r="K145" s="218"/>
      <c r="L145" s="217"/>
      <c r="M145" s="184"/>
      <c r="T145" s="165"/>
      <c r="U145" s="165"/>
      <c r="Y145" s="166"/>
      <c r="Z145" s="166"/>
    </row>
    <row r="146" spans="1:26" x14ac:dyDescent="0.35">
      <c r="A146" s="201">
        <v>1</v>
      </c>
      <c r="B146" s="202"/>
      <c r="C146" s="202"/>
      <c r="D146" s="203" t="s">
        <v>358</v>
      </c>
      <c r="E146" s="443">
        <v>0</v>
      </c>
      <c r="F146" s="443">
        <v>0</v>
      </c>
      <c r="G146" s="444">
        <v>0</v>
      </c>
      <c r="H146" s="204">
        <f>IF(ABS(TimeAllow1221625425[[#This Row],[Actual Buyout]])+ABS(TimeAllow1221625425[[#This Row],[Change Orders]])=0,TimeAllow1221625425[[#This Row],[Original Contract]],TimeAllow1221625425[[#This Row],[Actual Buyout]]+TimeAllow1221625425[[#This Row],[Change Orders]])</f>
        <v>0</v>
      </c>
      <c r="I146" s="443">
        <v>0</v>
      </c>
      <c r="J146" s="213">
        <f>TimeAllow1221625425[[#This Row],[Original Contract]]-TimeAllow1221625425[[#This Row],[Revised Contract]]</f>
        <v>0</v>
      </c>
      <c r="K146" s="218"/>
      <c r="L146" s="217"/>
      <c r="M146" s="184"/>
      <c r="T146" s="165"/>
      <c r="U146" s="165"/>
      <c r="Y146" s="166"/>
      <c r="Z146" s="166"/>
    </row>
    <row r="147" spans="1:26" x14ac:dyDescent="0.35">
      <c r="A147" s="201">
        <v>1</v>
      </c>
      <c r="B147" s="202"/>
      <c r="C147" s="202"/>
      <c r="D147" s="203" t="s">
        <v>359</v>
      </c>
      <c r="E147" s="443">
        <v>0</v>
      </c>
      <c r="F147" s="443">
        <v>0</v>
      </c>
      <c r="G147" s="444">
        <v>0</v>
      </c>
      <c r="H147" s="204">
        <f>IF(ABS(TimeAllow1221625425[[#This Row],[Actual Buyout]])+ABS(TimeAllow1221625425[[#This Row],[Change Orders]])=0,TimeAllow1221625425[[#This Row],[Original Contract]],TimeAllow1221625425[[#This Row],[Actual Buyout]]+TimeAllow1221625425[[#This Row],[Change Orders]])</f>
        <v>0</v>
      </c>
      <c r="I147" s="443">
        <v>0</v>
      </c>
      <c r="J147" s="213">
        <f>TimeAllow1221625425[[#This Row],[Original Contract]]-TimeAllow1221625425[[#This Row],[Revised Contract]]</f>
        <v>0</v>
      </c>
      <c r="K147" s="218"/>
      <c r="L147" s="217"/>
      <c r="M147" s="184"/>
      <c r="T147" s="165"/>
      <c r="U147" s="165"/>
      <c r="Y147" s="166"/>
      <c r="Z147" s="166"/>
    </row>
    <row r="148" spans="1:26" x14ac:dyDescent="0.35">
      <c r="A148" s="201">
        <v>1</v>
      </c>
      <c r="B148" s="202"/>
      <c r="C148" s="202"/>
      <c r="D148" s="580" t="s">
        <v>258</v>
      </c>
      <c r="E148" s="443">
        <v>0</v>
      </c>
      <c r="F148" s="443">
        <v>0</v>
      </c>
      <c r="G148" s="444">
        <v>0</v>
      </c>
      <c r="H148" s="204">
        <f>IF(ABS(TimeAllow1221625425[[#This Row],[Actual Buyout]])+ABS(TimeAllow1221625425[[#This Row],[Change Orders]])=0,TimeAllow1221625425[[#This Row],[Original Contract]],TimeAllow1221625425[[#This Row],[Actual Buyout]]+TimeAllow1221625425[[#This Row],[Change Orders]])</f>
        <v>0</v>
      </c>
      <c r="I148" s="443">
        <v>0</v>
      </c>
      <c r="J148" s="213">
        <f>TimeAllow1221625425[[#This Row],[Original Contract]]-TimeAllow1221625425[[#This Row],[Revised Contract]]</f>
        <v>0</v>
      </c>
      <c r="K148" s="218"/>
      <c r="L148" s="217"/>
      <c r="M148" s="184"/>
      <c r="T148" s="165"/>
      <c r="U148" s="165"/>
      <c r="Y148" s="166"/>
      <c r="Z148" s="166"/>
    </row>
    <row r="149" spans="1:26" x14ac:dyDescent="0.35">
      <c r="A149" s="201">
        <v>1</v>
      </c>
      <c r="B149" s="202"/>
      <c r="C149" s="202"/>
      <c r="D149" s="580" t="s">
        <v>258</v>
      </c>
      <c r="E149" s="443">
        <v>0</v>
      </c>
      <c r="F149" s="443">
        <v>0</v>
      </c>
      <c r="G149" s="444">
        <v>0</v>
      </c>
      <c r="H149" s="204">
        <f>IF(ABS(TimeAllow1221625425[[#This Row],[Actual Buyout]])+ABS(TimeAllow1221625425[[#This Row],[Change Orders]])=0,TimeAllow1221625425[[#This Row],[Original Contract]],TimeAllow1221625425[[#This Row],[Actual Buyout]]+TimeAllow1221625425[[#This Row],[Change Orders]])</f>
        <v>0</v>
      </c>
      <c r="I149" s="443">
        <v>0</v>
      </c>
      <c r="J149" s="213">
        <f>TimeAllow1221625425[[#This Row],[Original Contract]]-TimeAllow1221625425[[#This Row],[Revised Contract]]</f>
        <v>0</v>
      </c>
      <c r="K149" s="218"/>
      <c r="L149" s="217"/>
      <c r="M149" s="184"/>
      <c r="T149" s="165"/>
      <c r="U149" s="165"/>
      <c r="Y149" s="166"/>
      <c r="Z149" s="166"/>
    </row>
    <row r="150" spans="1:26" x14ac:dyDescent="0.35">
      <c r="A150" s="219"/>
      <c r="B150" s="220"/>
      <c r="C150" s="220"/>
      <c r="D150" s="208" t="s">
        <v>259</v>
      </c>
      <c r="E150" s="209">
        <f>SUM(TimeAllow1221625425[Original Contract])</f>
        <v>0</v>
      </c>
      <c r="F150" s="209">
        <f>SUM(TimeAllow1221625425[Actual Buyout])</f>
        <v>0</v>
      </c>
      <c r="G150" s="209">
        <f>SUM(TimeAllow1221625425[Change Orders])</f>
        <v>0</v>
      </c>
      <c r="H150" s="209">
        <f>SUM(TimeAllow1221625425[Revised Contract])</f>
        <v>0</v>
      </c>
      <c r="I150" s="209">
        <f>SUM(TimeAllow1221625425[Total completed and Stored])</f>
        <v>0</v>
      </c>
      <c r="J150" s="209">
        <f>SUM(TimeAllow1221625425[Delta])</f>
        <v>0</v>
      </c>
      <c r="K150" s="221"/>
      <c r="L150" s="184"/>
      <c r="M150" s="184"/>
    </row>
    <row r="151" spans="1:26" x14ac:dyDescent="0.35">
      <c r="A151" s="164" t="s">
        <v>121</v>
      </c>
      <c r="B151" s="164" t="s">
        <v>260</v>
      </c>
      <c r="C151" s="164" t="s">
        <v>242</v>
      </c>
      <c r="D151" s="164" t="s">
        <v>243</v>
      </c>
      <c r="E151" s="164" t="s">
        <v>244</v>
      </c>
      <c r="F151" s="198" t="s">
        <v>245</v>
      </c>
      <c r="G151" s="198" t="s">
        <v>246</v>
      </c>
      <c r="H151" s="198" t="s">
        <v>247</v>
      </c>
      <c r="I151" s="211" t="s">
        <v>250</v>
      </c>
      <c r="J151" s="222" t="s">
        <v>249</v>
      </c>
      <c r="K151" s="218"/>
      <c r="L151" s="216"/>
      <c r="M151" s="184"/>
      <c r="T151" s="165"/>
      <c r="U151" s="165"/>
      <c r="Y151" s="166"/>
      <c r="Z151" s="166"/>
    </row>
    <row r="152" spans="1:26" x14ac:dyDescent="0.35">
      <c r="A152" s="201">
        <v>2</v>
      </c>
      <c r="B152" s="202" t="s">
        <v>360</v>
      </c>
      <c r="C152" s="202" t="s">
        <v>361</v>
      </c>
      <c r="D152" s="203" t="s">
        <v>260</v>
      </c>
      <c r="E152" s="443">
        <v>0</v>
      </c>
      <c r="F152" s="443">
        <v>0</v>
      </c>
      <c r="G152" s="443">
        <v>0</v>
      </c>
      <c r="H152" s="204">
        <f>IF(ABS(Demo1321725526[[#This Row],[Actual Buyout]])+ABS(Demo1321725526[[#This Row],[Change Orders]])=0,Demo1321725526[[#This Row],[Original Contract]],Demo1321725526[[#This Row],[Actual Buyout]]+Demo1321725526[[#This Row],[Change Orders]])</f>
        <v>0</v>
      </c>
      <c r="I152" s="443">
        <v>0</v>
      </c>
      <c r="J152" s="213">
        <f>Demo1321725526[[#This Row],[Original Contract]]-Demo1321725526[[#This Row],[Revised Contract]]</f>
        <v>0</v>
      </c>
      <c r="K152" s="218"/>
      <c r="L152" s="217"/>
      <c r="M152" s="184"/>
      <c r="T152" s="165"/>
      <c r="U152" s="165"/>
      <c r="Y152" s="166"/>
      <c r="Z152" s="166"/>
    </row>
    <row r="153" spans="1:26" x14ac:dyDescent="0.35">
      <c r="A153" s="201">
        <v>2</v>
      </c>
      <c r="B153" s="202"/>
      <c r="C153" s="202"/>
      <c r="D153" s="580" t="s">
        <v>258</v>
      </c>
      <c r="E153" s="443">
        <v>0</v>
      </c>
      <c r="F153" s="443">
        <v>0</v>
      </c>
      <c r="G153" s="443">
        <v>0</v>
      </c>
      <c r="H153" s="204">
        <f>IF(ABS(Demo1321725526[[#This Row],[Actual Buyout]])+ABS(Demo1321725526[[#This Row],[Change Orders]])=0,Demo1321725526[[#This Row],[Original Contract]],Demo1321725526[[#This Row],[Actual Buyout]]+Demo1321725526[[#This Row],[Change Orders]])</f>
        <v>0</v>
      </c>
      <c r="I153" s="443">
        <v>0</v>
      </c>
      <c r="J153" s="213">
        <f>Demo1321725526[[#This Row],[Original Contract]]-Demo1321725526[[#This Row],[Revised Contract]]</f>
        <v>0</v>
      </c>
      <c r="K153" s="218"/>
      <c r="L153" s="217"/>
      <c r="M153" s="184"/>
      <c r="T153" s="165"/>
      <c r="U153" s="165"/>
      <c r="Y153" s="166"/>
      <c r="Z153" s="166"/>
    </row>
    <row r="154" spans="1:26" x14ac:dyDescent="0.35">
      <c r="A154" s="201">
        <v>2</v>
      </c>
      <c r="B154" s="202"/>
      <c r="C154" s="202"/>
      <c r="D154" s="580" t="s">
        <v>258</v>
      </c>
      <c r="E154" s="443">
        <v>0</v>
      </c>
      <c r="F154" s="443">
        <v>0</v>
      </c>
      <c r="G154" s="443">
        <v>0</v>
      </c>
      <c r="H154" s="204">
        <f>IF(ABS(Demo1321725526[[#This Row],[Actual Buyout]])+ABS(Demo1321725526[[#This Row],[Change Orders]])=0,Demo1321725526[[#This Row],[Original Contract]],Demo1321725526[[#This Row],[Actual Buyout]]+Demo1321725526[[#This Row],[Change Orders]])</f>
        <v>0</v>
      </c>
      <c r="I154" s="443">
        <v>0</v>
      </c>
      <c r="J154" s="213">
        <f>Demo1321725526[[#This Row],[Original Contract]]-Demo1321725526[[#This Row],[Revised Contract]]</f>
        <v>0</v>
      </c>
      <c r="K154" s="218"/>
      <c r="L154" s="217"/>
      <c r="M154" s="184"/>
      <c r="T154" s="165"/>
      <c r="U154" s="165"/>
      <c r="Y154" s="166"/>
      <c r="Z154" s="166"/>
    </row>
    <row r="155" spans="1:26" x14ac:dyDescent="0.35">
      <c r="A155" s="201">
        <v>2</v>
      </c>
      <c r="B155" s="202"/>
      <c r="C155" s="202"/>
      <c r="D155" s="580" t="s">
        <v>258</v>
      </c>
      <c r="E155" s="443">
        <v>0</v>
      </c>
      <c r="F155" s="443">
        <v>0</v>
      </c>
      <c r="G155" s="443">
        <v>0</v>
      </c>
      <c r="H155" s="204">
        <f>IF(ABS(Demo1321725526[[#This Row],[Actual Buyout]])+ABS(Demo1321725526[[#This Row],[Change Orders]])=0,Demo1321725526[[#This Row],[Original Contract]],Demo1321725526[[#This Row],[Actual Buyout]]+Demo1321725526[[#This Row],[Change Orders]])</f>
        <v>0</v>
      </c>
      <c r="I155" s="443">
        <v>0</v>
      </c>
      <c r="J155" s="213">
        <f>Demo1321725526[[#This Row],[Original Contract]]-Demo1321725526[[#This Row],[Revised Contract]]</f>
        <v>0</v>
      </c>
      <c r="K155" s="218"/>
      <c r="L155" s="217"/>
      <c r="M155" s="184"/>
      <c r="T155" s="165"/>
      <c r="U155" s="165"/>
      <c r="Y155" s="166"/>
      <c r="Z155" s="166"/>
    </row>
    <row r="156" spans="1:26" x14ac:dyDescent="0.35">
      <c r="A156" s="201">
        <v>2</v>
      </c>
      <c r="B156" s="202"/>
      <c r="C156" s="202"/>
      <c r="D156" s="580" t="s">
        <v>258</v>
      </c>
      <c r="E156" s="443">
        <v>0</v>
      </c>
      <c r="F156" s="443">
        <v>0</v>
      </c>
      <c r="G156" s="443">
        <v>0</v>
      </c>
      <c r="H156" s="204">
        <f>IF(ABS(Demo1321725526[[#This Row],[Actual Buyout]])+ABS(Demo1321725526[[#This Row],[Change Orders]])=0,Demo1321725526[[#This Row],[Original Contract]],Demo1321725526[[#This Row],[Actual Buyout]]+Demo1321725526[[#This Row],[Change Orders]])</f>
        <v>0</v>
      </c>
      <c r="I156" s="443">
        <v>0</v>
      </c>
      <c r="J156" s="213">
        <f>Demo1321725526[[#This Row],[Original Contract]]-Demo1321725526[[#This Row],[Revised Contract]]</f>
        <v>0</v>
      </c>
      <c r="K156" s="218"/>
      <c r="L156" s="217"/>
      <c r="M156" s="184"/>
      <c r="T156" s="165"/>
      <c r="U156" s="165"/>
      <c r="Y156" s="166"/>
      <c r="Z156" s="166"/>
    </row>
    <row r="157" spans="1:26" x14ac:dyDescent="0.35">
      <c r="A157" s="201">
        <v>2</v>
      </c>
      <c r="B157" s="202"/>
      <c r="C157" s="202"/>
      <c r="D157" s="580" t="s">
        <v>258</v>
      </c>
      <c r="E157" s="443">
        <v>0</v>
      </c>
      <c r="F157" s="443">
        <v>0</v>
      </c>
      <c r="G157" s="443">
        <v>0</v>
      </c>
      <c r="H157" s="204">
        <f>IF(ABS(Demo1321725526[[#This Row],[Actual Buyout]])+ABS(Demo1321725526[[#This Row],[Change Orders]])=0,Demo1321725526[[#This Row],[Original Contract]],Demo1321725526[[#This Row],[Actual Buyout]]+Demo1321725526[[#This Row],[Change Orders]])</f>
        <v>0</v>
      </c>
      <c r="I157" s="443">
        <v>0</v>
      </c>
      <c r="J157" s="213">
        <f>Demo1321725526[[#This Row],[Original Contract]]-Demo1321725526[[#This Row],[Revised Contract]]</f>
        <v>0</v>
      </c>
      <c r="K157" s="218"/>
      <c r="L157" s="217"/>
      <c r="M157" s="184"/>
      <c r="T157" s="165"/>
      <c r="U157" s="165"/>
      <c r="Y157" s="166"/>
      <c r="Z157" s="166"/>
    </row>
    <row r="158" spans="1:26" x14ac:dyDescent="0.35">
      <c r="A158" s="219"/>
      <c r="B158" s="220"/>
      <c r="C158" s="220"/>
      <c r="D158" s="208" t="s">
        <v>259</v>
      </c>
      <c r="E158" s="209">
        <f>SUM(Demo1321725526[Original Contract])</f>
        <v>0</v>
      </c>
      <c r="F158" s="209">
        <f>SUM(Demo1321725526[Actual Buyout])</f>
        <v>0</v>
      </c>
      <c r="G158" s="209">
        <f>SUM(Demo1321725526[Change Orders])</f>
        <v>0</v>
      </c>
      <c r="H158" s="209">
        <f>SUM(Demo1321725526[Revised Contract])</f>
        <v>0</v>
      </c>
      <c r="I158" s="209">
        <f>SUM(Demo1321725526[Total completed and Stored])</f>
        <v>0</v>
      </c>
      <c r="J158" s="209">
        <f>SUM(Demo1321725526[Delta])</f>
        <v>0</v>
      </c>
      <c r="K158" s="221"/>
      <c r="L158" s="184"/>
      <c r="M158" s="184"/>
    </row>
    <row r="159" spans="1:26" x14ac:dyDescent="0.35">
      <c r="A159" s="164" t="s">
        <v>123</v>
      </c>
      <c r="B159" s="164" t="s">
        <v>362</v>
      </c>
      <c r="C159" s="164" t="s">
        <v>242</v>
      </c>
      <c r="D159" s="164" t="s">
        <v>243</v>
      </c>
      <c r="E159" s="164" t="s">
        <v>244</v>
      </c>
      <c r="F159" s="198" t="s">
        <v>245</v>
      </c>
      <c r="G159" s="198" t="s">
        <v>246</v>
      </c>
      <c r="H159" s="198" t="s">
        <v>247</v>
      </c>
      <c r="I159" s="211" t="s">
        <v>250</v>
      </c>
      <c r="J159" s="222" t="s">
        <v>249</v>
      </c>
      <c r="K159" s="218"/>
      <c r="L159" s="216"/>
      <c r="M159" s="184"/>
      <c r="T159" s="165"/>
      <c r="U159" s="165"/>
      <c r="Y159" s="166"/>
      <c r="Z159" s="166"/>
    </row>
    <row r="160" spans="1:26" x14ac:dyDescent="0.35">
      <c r="A160" s="201">
        <v>3</v>
      </c>
      <c r="B160" s="202" t="s">
        <v>363</v>
      </c>
      <c r="C160" s="202" t="s">
        <v>364</v>
      </c>
      <c r="D160" s="203" t="s">
        <v>365</v>
      </c>
      <c r="E160" s="443">
        <v>0</v>
      </c>
      <c r="F160" s="443">
        <v>0</v>
      </c>
      <c r="G160" s="443">
        <v>0</v>
      </c>
      <c r="H160" s="204">
        <f>IF(ABS(BuildConcret[[#This Row],[Actual Buyout]])+ABS(BuildConcret[[#This Row],[Change Orders]])=0,BuildConcret[[#This Row],[Original Contract]],BuildConcret[[#This Row],[Actual Buyout]]+BuildConcret[[#This Row],[Change Orders]])</f>
        <v>0</v>
      </c>
      <c r="I160" s="443">
        <v>0</v>
      </c>
      <c r="J160" s="213">
        <f>BuildConcret[[#This Row],[Original Contract]]-BuildConcret[[#This Row],[Revised Contract]]</f>
        <v>0</v>
      </c>
      <c r="K160" s="218"/>
      <c r="L160" s="217"/>
      <c r="M160" s="184"/>
      <c r="T160" s="165"/>
      <c r="U160" s="165"/>
      <c r="Y160" s="166"/>
      <c r="Z160" s="166"/>
    </row>
    <row r="161" spans="1:26" x14ac:dyDescent="0.35">
      <c r="A161" s="201">
        <v>3</v>
      </c>
      <c r="B161" s="202" t="s">
        <v>363</v>
      </c>
      <c r="C161" s="202" t="s">
        <v>364</v>
      </c>
      <c r="D161" s="203" t="s">
        <v>366</v>
      </c>
      <c r="E161" s="443">
        <v>0</v>
      </c>
      <c r="F161" s="443">
        <v>0</v>
      </c>
      <c r="G161" s="443">
        <v>0</v>
      </c>
      <c r="H161" s="204">
        <f>IF(ABS(BuildConcret[[#This Row],[Actual Buyout]])+ABS(BuildConcret[[#This Row],[Change Orders]])=0,BuildConcret[[#This Row],[Original Contract]],BuildConcret[[#This Row],[Actual Buyout]]+BuildConcret[[#This Row],[Change Orders]])</f>
        <v>0</v>
      </c>
      <c r="I161" s="443">
        <v>0</v>
      </c>
      <c r="J161" s="213">
        <f>BuildConcret[[#This Row],[Original Contract]]-BuildConcret[[#This Row],[Revised Contract]]</f>
        <v>0</v>
      </c>
      <c r="K161" s="218"/>
      <c r="L161" s="217"/>
      <c r="M161" s="184"/>
      <c r="T161" s="165"/>
      <c r="U161" s="165"/>
      <c r="Y161" s="166"/>
      <c r="Z161" s="166"/>
    </row>
    <row r="162" spans="1:26" x14ac:dyDescent="0.35">
      <c r="A162" s="201">
        <v>3</v>
      </c>
      <c r="B162" s="202" t="s">
        <v>363</v>
      </c>
      <c r="C162" s="202" t="s">
        <v>364</v>
      </c>
      <c r="D162" s="203" t="s">
        <v>367</v>
      </c>
      <c r="E162" s="443">
        <v>0</v>
      </c>
      <c r="F162" s="443">
        <v>0</v>
      </c>
      <c r="G162" s="443">
        <v>0</v>
      </c>
      <c r="H162" s="204">
        <f>IF(ABS(BuildConcret[[#This Row],[Actual Buyout]])+ABS(BuildConcret[[#This Row],[Change Orders]])=0,BuildConcret[[#This Row],[Original Contract]],BuildConcret[[#This Row],[Actual Buyout]]+BuildConcret[[#This Row],[Change Orders]])</f>
        <v>0</v>
      </c>
      <c r="I162" s="443">
        <v>0</v>
      </c>
      <c r="J162" s="213">
        <f>BuildConcret[[#This Row],[Original Contract]]-BuildConcret[[#This Row],[Revised Contract]]</f>
        <v>0</v>
      </c>
      <c r="K162" s="218"/>
      <c r="L162" s="217"/>
      <c r="M162" s="184"/>
      <c r="T162" s="165"/>
      <c r="U162" s="165"/>
      <c r="Y162" s="166"/>
      <c r="Z162" s="166"/>
    </row>
    <row r="163" spans="1:26" x14ac:dyDescent="0.35">
      <c r="A163" s="201">
        <v>3</v>
      </c>
      <c r="B163" s="202" t="s">
        <v>363</v>
      </c>
      <c r="C163" s="202" t="s">
        <v>364</v>
      </c>
      <c r="D163" s="203" t="s">
        <v>368</v>
      </c>
      <c r="E163" s="443">
        <v>0</v>
      </c>
      <c r="F163" s="443">
        <v>0</v>
      </c>
      <c r="G163" s="443">
        <v>0</v>
      </c>
      <c r="H163" s="204">
        <f>IF(ABS(BuildConcret[[#This Row],[Actual Buyout]])+ABS(BuildConcret[[#This Row],[Change Orders]])=0,BuildConcret[[#This Row],[Original Contract]],BuildConcret[[#This Row],[Actual Buyout]]+BuildConcret[[#This Row],[Change Orders]])</f>
        <v>0</v>
      </c>
      <c r="I163" s="443">
        <v>0</v>
      </c>
      <c r="J163" s="213">
        <f>BuildConcret[[#This Row],[Original Contract]]-BuildConcret[[#This Row],[Revised Contract]]</f>
        <v>0</v>
      </c>
      <c r="K163" s="218"/>
      <c r="L163" s="217"/>
      <c r="M163" s="184"/>
      <c r="T163" s="165"/>
      <c r="U163" s="165"/>
      <c r="Y163" s="166"/>
      <c r="Z163" s="166"/>
    </row>
    <row r="164" spans="1:26" x14ac:dyDescent="0.35">
      <c r="A164" s="201">
        <v>3</v>
      </c>
      <c r="B164" s="202" t="s">
        <v>369</v>
      </c>
      <c r="C164" s="202" t="s">
        <v>370</v>
      </c>
      <c r="D164" s="203" t="s">
        <v>371</v>
      </c>
      <c r="E164" s="443">
        <v>0</v>
      </c>
      <c r="F164" s="443">
        <v>0</v>
      </c>
      <c r="G164" s="443">
        <v>0</v>
      </c>
      <c r="H164" s="204">
        <f>IF(ABS(BuildConcret[[#This Row],[Actual Buyout]])+ABS(BuildConcret[[#This Row],[Change Orders]])=0,BuildConcret[[#This Row],[Original Contract]],BuildConcret[[#This Row],[Actual Buyout]]+BuildConcret[[#This Row],[Change Orders]])</f>
        <v>0</v>
      </c>
      <c r="I164" s="443">
        <v>0</v>
      </c>
      <c r="J164" s="213">
        <f>BuildConcret[[#This Row],[Original Contract]]-BuildConcret[[#This Row],[Revised Contract]]</f>
        <v>0</v>
      </c>
      <c r="K164" s="218"/>
      <c r="L164" s="217"/>
      <c r="M164" s="184"/>
      <c r="T164" s="165"/>
      <c r="U164" s="165"/>
      <c r="Y164" s="166"/>
      <c r="Z164" s="166"/>
    </row>
    <row r="165" spans="1:26" x14ac:dyDescent="0.35">
      <c r="A165" s="201">
        <v>3</v>
      </c>
      <c r="B165" s="202" t="s">
        <v>369</v>
      </c>
      <c r="C165" s="202" t="s">
        <v>370</v>
      </c>
      <c r="D165" s="203" t="s">
        <v>372</v>
      </c>
      <c r="E165" s="443">
        <v>0</v>
      </c>
      <c r="F165" s="443">
        <v>0</v>
      </c>
      <c r="G165" s="443">
        <v>0</v>
      </c>
      <c r="H165" s="204">
        <f>IF(ABS(BuildConcret[[#This Row],[Actual Buyout]])+ABS(BuildConcret[[#This Row],[Change Orders]])=0,BuildConcret[[#This Row],[Original Contract]],BuildConcret[[#This Row],[Actual Buyout]]+BuildConcret[[#This Row],[Change Orders]])</f>
        <v>0</v>
      </c>
      <c r="I165" s="443">
        <v>0</v>
      </c>
      <c r="J165" s="213">
        <f>BuildConcret[[#This Row],[Original Contract]]-BuildConcret[[#This Row],[Revised Contract]]</f>
        <v>0</v>
      </c>
      <c r="K165" s="218"/>
      <c r="L165" s="217"/>
      <c r="M165" s="184"/>
      <c r="T165" s="165"/>
      <c r="U165" s="165"/>
      <c r="Y165" s="166"/>
      <c r="Z165" s="166"/>
    </row>
    <row r="166" spans="1:26" x14ac:dyDescent="0.35">
      <c r="A166" s="201">
        <v>3</v>
      </c>
      <c r="B166" s="202" t="s">
        <v>363</v>
      </c>
      <c r="C166" s="202" t="s">
        <v>364</v>
      </c>
      <c r="D166" s="203" t="s">
        <v>373</v>
      </c>
      <c r="E166" s="443">
        <v>0</v>
      </c>
      <c r="F166" s="443">
        <v>0</v>
      </c>
      <c r="G166" s="443">
        <v>0</v>
      </c>
      <c r="H166" s="204">
        <f>IF(ABS(BuildConcret[[#This Row],[Actual Buyout]])+ABS(BuildConcret[[#This Row],[Change Orders]])=0,BuildConcret[[#This Row],[Original Contract]],BuildConcret[[#This Row],[Actual Buyout]]+BuildConcret[[#This Row],[Change Orders]])</f>
        <v>0</v>
      </c>
      <c r="I166" s="443">
        <v>0</v>
      </c>
      <c r="J166" s="213">
        <f>BuildConcret[[#This Row],[Original Contract]]-BuildConcret[[#This Row],[Revised Contract]]</f>
        <v>0</v>
      </c>
      <c r="K166" s="218"/>
      <c r="L166" s="217"/>
      <c r="M166" s="184"/>
      <c r="T166" s="165"/>
      <c r="U166" s="165"/>
      <c r="Y166" s="166"/>
      <c r="Z166" s="166"/>
    </row>
    <row r="167" spans="1:26" x14ac:dyDescent="0.35">
      <c r="A167" s="201">
        <v>3</v>
      </c>
      <c r="B167" s="202" t="s">
        <v>374</v>
      </c>
      <c r="C167" s="202" t="s">
        <v>375</v>
      </c>
      <c r="D167" s="203" t="s">
        <v>376</v>
      </c>
      <c r="E167" s="443">
        <v>0</v>
      </c>
      <c r="F167" s="443">
        <v>0</v>
      </c>
      <c r="G167" s="443">
        <v>0</v>
      </c>
      <c r="H167" s="204">
        <f>IF(ABS(BuildConcret[[#This Row],[Actual Buyout]])+ABS(BuildConcret[[#This Row],[Change Orders]])=0,BuildConcret[[#This Row],[Original Contract]],BuildConcret[[#This Row],[Actual Buyout]]+BuildConcret[[#This Row],[Change Orders]])</f>
        <v>0</v>
      </c>
      <c r="I167" s="443">
        <v>0</v>
      </c>
      <c r="J167" s="213">
        <f>BuildConcret[[#This Row],[Original Contract]]-BuildConcret[[#This Row],[Revised Contract]]</f>
        <v>0</v>
      </c>
      <c r="K167" s="218"/>
      <c r="L167" s="217"/>
      <c r="M167" s="184"/>
      <c r="T167" s="165"/>
      <c r="U167" s="165"/>
      <c r="Y167" s="166"/>
      <c r="Z167" s="166"/>
    </row>
    <row r="168" spans="1:26" x14ac:dyDescent="0.35">
      <c r="A168" s="201">
        <v>3</v>
      </c>
      <c r="B168" s="202" t="s">
        <v>374</v>
      </c>
      <c r="C168" s="202" t="s">
        <v>375</v>
      </c>
      <c r="D168" s="203" t="s">
        <v>377</v>
      </c>
      <c r="E168" s="443">
        <v>0</v>
      </c>
      <c r="F168" s="443">
        <v>0</v>
      </c>
      <c r="G168" s="443">
        <v>0</v>
      </c>
      <c r="H168" s="204">
        <f>IF(ABS(BuildConcret[[#This Row],[Actual Buyout]])+ABS(BuildConcret[[#This Row],[Change Orders]])=0,BuildConcret[[#This Row],[Original Contract]],BuildConcret[[#This Row],[Actual Buyout]]+BuildConcret[[#This Row],[Change Orders]])</f>
        <v>0</v>
      </c>
      <c r="I168" s="443">
        <v>0</v>
      </c>
      <c r="J168" s="213">
        <f>BuildConcret[[#This Row],[Original Contract]]-BuildConcret[[#This Row],[Revised Contract]]</f>
        <v>0</v>
      </c>
      <c r="K168" s="218"/>
      <c r="L168" s="217"/>
      <c r="M168" s="184"/>
      <c r="T168" s="165"/>
      <c r="U168" s="165"/>
      <c r="Y168" s="166"/>
      <c r="Z168" s="166"/>
    </row>
    <row r="169" spans="1:26" x14ac:dyDescent="0.35">
      <c r="A169" s="201">
        <v>3</v>
      </c>
      <c r="B169" s="202" t="s">
        <v>378</v>
      </c>
      <c r="C169" s="202" t="s">
        <v>364</v>
      </c>
      <c r="D169" s="203" t="s">
        <v>379</v>
      </c>
      <c r="E169" s="443">
        <v>0</v>
      </c>
      <c r="F169" s="443">
        <v>0</v>
      </c>
      <c r="G169" s="443">
        <v>0</v>
      </c>
      <c r="H169" s="204">
        <f>IF(ABS(BuildConcret[[#This Row],[Actual Buyout]])+ABS(BuildConcret[[#This Row],[Change Orders]])=0,BuildConcret[[#This Row],[Original Contract]],BuildConcret[[#This Row],[Actual Buyout]]+BuildConcret[[#This Row],[Change Orders]])</f>
        <v>0</v>
      </c>
      <c r="I169" s="443">
        <v>0</v>
      </c>
      <c r="J169" s="213">
        <f>BuildConcret[[#This Row],[Original Contract]]-BuildConcret[[#This Row],[Revised Contract]]</f>
        <v>0</v>
      </c>
      <c r="K169" s="218"/>
      <c r="L169" s="217"/>
      <c r="M169" s="184"/>
      <c r="T169" s="165"/>
      <c r="U169" s="165"/>
      <c r="Y169" s="166"/>
      <c r="Z169" s="166"/>
    </row>
    <row r="170" spans="1:26" x14ac:dyDescent="0.35">
      <c r="A170" s="201">
        <v>3</v>
      </c>
      <c r="B170" s="202" t="s">
        <v>378</v>
      </c>
      <c r="C170" s="202" t="s">
        <v>364</v>
      </c>
      <c r="D170" s="203" t="s">
        <v>380</v>
      </c>
      <c r="E170" s="443">
        <v>0</v>
      </c>
      <c r="F170" s="443">
        <v>0</v>
      </c>
      <c r="G170" s="443">
        <v>0</v>
      </c>
      <c r="H170" s="204">
        <f>IF(ABS(BuildConcret[[#This Row],[Actual Buyout]])+ABS(BuildConcret[[#This Row],[Change Orders]])=0,BuildConcret[[#This Row],[Original Contract]],BuildConcret[[#This Row],[Actual Buyout]]+BuildConcret[[#This Row],[Change Orders]])</f>
        <v>0</v>
      </c>
      <c r="I170" s="443">
        <v>0</v>
      </c>
      <c r="J170" s="213">
        <f>BuildConcret[[#This Row],[Original Contract]]-BuildConcret[[#This Row],[Revised Contract]]</f>
        <v>0</v>
      </c>
      <c r="K170" s="218"/>
      <c r="L170" s="217"/>
      <c r="M170" s="184"/>
      <c r="T170" s="165"/>
      <c r="U170" s="165"/>
      <c r="Y170" s="166"/>
      <c r="Z170" s="166"/>
    </row>
    <row r="171" spans="1:26" x14ac:dyDescent="0.35">
      <c r="A171" s="201">
        <v>3</v>
      </c>
      <c r="B171" s="202"/>
      <c r="C171" s="202"/>
      <c r="D171" s="580" t="s">
        <v>258</v>
      </c>
      <c r="E171" s="443">
        <v>0</v>
      </c>
      <c r="F171" s="443">
        <v>0</v>
      </c>
      <c r="G171" s="443">
        <v>0</v>
      </c>
      <c r="H171" s="204">
        <f>IF(ABS(BuildConcret[[#This Row],[Actual Buyout]])+ABS(BuildConcret[[#This Row],[Change Orders]])=0,BuildConcret[[#This Row],[Original Contract]],BuildConcret[[#This Row],[Actual Buyout]]+BuildConcret[[#This Row],[Change Orders]])</f>
        <v>0</v>
      </c>
      <c r="I171" s="443">
        <v>0</v>
      </c>
      <c r="J171" s="213">
        <f>BuildConcret[[#This Row],[Original Contract]]-BuildConcret[[#This Row],[Revised Contract]]</f>
        <v>0</v>
      </c>
      <c r="K171" s="218"/>
      <c r="L171" s="217"/>
      <c r="M171" s="184"/>
      <c r="T171" s="165"/>
      <c r="U171" s="165"/>
      <c r="Y171" s="166"/>
      <c r="Z171" s="166"/>
    </row>
    <row r="172" spans="1:26" x14ac:dyDescent="0.35">
      <c r="A172" s="201">
        <v>3</v>
      </c>
      <c r="B172" s="202"/>
      <c r="C172" s="202"/>
      <c r="D172" s="580" t="s">
        <v>258</v>
      </c>
      <c r="E172" s="443">
        <v>0</v>
      </c>
      <c r="F172" s="443">
        <v>0</v>
      </c>
      <c r="G172" s="443">
        <v>0</v>
      </c>
      <c r="H172" s="204">
        <f>IF(ABS(BuildConcret[[#This Row],[Actual Buyout]])+ABS(BuildConcret[[#This Row],[Change Orders]])=0,BuildConcret[[#This Row],[Original Contract]],BuildConcret[[#This Row],[Actual Buyout]]+BuildConcret[[#This Row],[Change Orders]])</f>
        <v>0</v>
      </c>
      <c r="I172" s="443">
        <v>0</v>
      </c>
      <c r="J172" s="213">
        <f>BuildConcret[[#This Row],[Original Contract]]-BuildConcret[[#This Row],[Revised Contract]]</f>
        <v>0</v>
      </c>
      <c r="K172" s="218"/>
      <c r="L172" s="217"/>
      <c r="M172" s="184"/>
      <c r="T172" s="165"/>
      <c r="U172" s="165"/>
      <c r="Y172" s="166"/>
      <c r="Z172" s="166"/>
    </row>
    <row r="173" spans="1:26" x14ac:dyDescent="0.35">
      <c r="A173" s="201">
        <v>3</v>
      </c>
      <c r="B173" s="202"/>
      <c r="C173" s="202"/>
      <c r="D173" s="580" t="s">
        <v>258</v>
      </c>
      <c r="E173" s="443">
        <v>0</v>
      </c>
      <c r="F173" s="443">
        <v>0</v>
      </c>
      <c r="G173" s="443">
        <v>0</v>
      </c>
      <c r="H173" s="204">
        <f>IF(ABS(BuildConcret[[#This Row],[Actual Buyout]])+ABS(BuildConcret[[#This Row],[Change Orders]])=0,BuildConcret[[#This Row],[Original Contract]],BuildConcret[[#This Row],[Actual Buyout]]+BuildConcret[[#This Row],[Change Orders]])</f>
        <v>0</v>
      </c>
      <c r="I173" s="443">
        <v>0</v>
      </c>
      <c r="J173" s="213">
        <f>BuildConcret[[#This Row],[Original Contract]]-BuildConcret[[#This Row],[Revised Contract]]</f>
        <v>0</v>
      </c>
      <c r="K173" s="218"/>
      <c r="L173" s="217"/>
      <c r="M173" s="184"/>
      <c r="T173" s="165"/>
      <c r="U173" s="165"/>
      <c r="Y173" s="166"/>
      <c r="Z173" s="166"/>
    </row>
    <row r="174" spans="1:26" x14ac:dyDescent="0.35">
      <c r="A174" s="201">
        <v>3</v>
      </c>
      <c r="B174" s="202"/>
      <c r="C174" s="202"/>
      <c r="D174" s="580" t="s">
        <v>258</v>
      </c>
      <c r="E174" s="443">
        <v>0</v>
      </c>
      <c r="F174" s="443">
        <v>0</v>
      </c>
      <c r="G174" s="443">
        <v>0</v>
      </c>
      <c r="H174" s="204">
        <f>IF(ABS(BuildConcret[[#This Row],[Actual Buyout]])+ABS(BuildConcret[[#This Row],[Change Orders]])=0,BuildConcret[[#This Row],[Original Contract]],BuildConcret[[#This Row],[Actual Buyout]]+BuildConcret[[#This Row],[Change Orders]])</f>
        <v>0</v>
      </c>
      <c r="I174" s="443">
        <v>0</v>
      </c>
      <c r="J174" s="213">
        <f>BuildConcret[[#This Row],[Original Contract]]-BuildConcret[[#This Row],[Revised Contract]]</f>
        <v>0</v>
      </c>
      <c r="K174" s="218"/>
      <c r="L174" s="217"/>
      <c r="M174" s="184"/>
      <c r="T174" s="165"/>
      <c r="U174" s="165"/>
      <c r="Y174" s="166"/>
      <c r="Z174" s="166"/>
    </row>
    <row r="175" spans="1:26" x14ac:dyDescent="0.35">
      <c r="A175" s="201">
        <v>3</v>
      </c>
      <c r="B175" s="202"/>
      <c r="C175" s="202"/>
      <c r="D175" s="580" t="s">
        <v>258</v>
      </c>
      <c r="E175" s="443">
        <v>0</v>
      </c>
      <c r="F175" s="443">
        <v>0</v>
      </c>
      <c r="G175" s="443">
        <v>0</v>
      </c>
      <c r="H175" s="204">
        <f>IF(ABS(BuildConcret[[#This Row],[Actual Buyout]])+ABS(BuildConcret[[#This Row],[Change Orders]])=0,BuildConcret[[#This Row],[Original Contract]],BuildConcret[[#This Row],[Actual Buyout]]+BuildConcret[[#This Row],[Change Orders]])</f>
        <v>0</v>
      </c>
      <c r="I175" s="443">
        <v>0</v>
      </c>
      <c r="J175" s="213">
        <f>BuildConcret[[#This Row],[Original Contract]]-BuildConcret[[#This Row],[Revised Contract]]</f>
        <v>0</v>
      </c>
      <c r="K175" s="218"/>
      <c r="L175" s="217"/>
      <c r="M175" s="184"/>
      <c r="T175" s="165"/>
      <c r="U175" s="165"/>
      <c r="Y175" s="166"/>
      <c r="Z175" s="166"/>
    </row>
    <row r="176" spans="1:26" x14ac:dyDescent="0.35">
      <c r="A176" s="201">
        <v>3</v>
      </c>
      <c r="B176" s="223"/>
      <c r="C176" s="223"/>
      <c r="D176" s="581" t="s">
        <v>258</v>
      </c>
      <c r="E176" s="443">
        <v>0</v>
      </c>
      <c r="F176" s="443">
        <v>0</v>
      </c>
      <c r="G176" s="444">
        <f>0</f>
        <v>0</v>
      </c>
      <c r="H176" s="204">
        <f>IF(ABS(BuildConcret[[#This Row],[Actual Buyout]])+ABS(BuildConcret[[#This Row],[Change Orders]])=0,BuildConcret[[#This Row],[Original Contract]],BuildConcret[[#This Row],[Actual Buyout]]+BuildConcret[[#This Row],[Change Orders]])</f>
        <v>0</v>
      </c>
      <c r="I176" s="443">
        <v>0</v>
      </c>
      <c r="J176" s="213">
        <f>BuildConcret[[#This Row],[Original Contract]]-BuildConcret[[#This Row],[Revised Contract]]</f>
        <v>0</v>
      </c>
      <c r="K176" s="218"/>
      <c r="L176" s="217"/>
      <c r="M176" s="184"/>
      <c r="T176" s="165"/>
      <c r="U176" s="165"/>
      <c r="Y176" s="166"/>
      <c r="Z176" s="166"/>
    </row>
    <row r="177" spans="1:26" x14ac:dyDescent="0.35">
      <c r="A177" s="219"/>
      <c r="B177" s="220"/>
      <c r="C177" s="220"/>
      <c r="D177" s="208" t="s">
        <v>259</v>
      </c>
      <c r="E177" s="209">
        <f>SUM(BuildConcret[Original Contract])</f>
        <v>0</v>
      </c>
      <c r="F177" s="209">
        <f>SUM(BuildConcret[Actual Buyout])</f>
        <v>0</v>
      </c>
      <c r="G177" s="209">
        <f>SUM(BuildConcret[Change Orders])</f>
        <v>0</v>
      </c>
      <c r="H177" s="209">
        <f>SUM(BuildConcret[Revised Contract])</f>
        <v>0</v>
      </c>
      <c r="I177" s="209">
        <f>SUM(BuildConcret[Total completed and Stored])</f>
        <v>0</v>
      </c>
      <c r="J177" s="209">
        <f>SUM(BuildConcret[Delta])</f>
        <v>0</v>
      </c>
      <c r="K177" s="221"/>
      <c r="L177" s="184"/>
      <c r="M177" s="184"/>
    </row>
    <row r="178" spans="1:26" x14ac:dyDescent="0.35">
      <c r="A178" s="164" t="s">
        <v>125</v>
      </c>
      <c r="B178" s="164" t="s">
        <v>126</v>
      </c>
      <c r="C178" s="164" t="s">
        <v>242</v>
      </c>
      <c r="D178" s="164" t="s">
        <v>243</v>
      </c>
      <c r="E178" s="164" t="s">
        <v>244</v>
      </c>
      <c r="F178" s="198" t="s">
        <v>245</v>
      </c>
      <c r="G178" s="198" t="s">
        <v>246</v>
      </c>
      <c r="H178" s="198" t="s">
        <v>247</v>
      </c>
      <c r="I178" s="211" t="s">
        <v>250</v>
      </c>
      <c r="J178" s="222" t="s">
        <v>249</v>
      </c>
      <c r="K178" s="218"/>
      <c r="L178" s="216"/>
      <c r="M178" s="184"/>
      <c r="T178" s="165"/>
      <c r="U178" s="165"/>
      <c r="Y178" s="166"/>
      <c r="Z178" s="166"/>
    </row>
    <row r="179" spans="1:26" x14ac:dyDescent="0.35">
      <c r="A179" s="201">
        <v>4</v>
      </c>
      <c r="B179" s="202" t="s">
        <v>126</v>
      </c>
      <c r="C179" s="202" t="s">
        <v>381</v>
      </c>
      <c r="D179" s="203" t="s">
        <v>126</v>
      </c>
      <c r="E179" s="443">
        <v>0</v>
      </c>
      <c r="F179" s="443">
        <v>0</v>
      </c>
      <c r="G179" s="443">
        <v>0</v>
      </c>
      <c r="H179" s="204">
        <f>IF(ABS(Masonry1521925728[[#This Row],[Actual Buyout]])+ABS(Masonry1521925728[[#This Row],[Change Orders]])=0,Masonry1521925728[[#This Row],[Original Contract]],Masonry1521925728[[#This Row],[Actual Buyout]]+Masonry1521925728[[#This Row],[Change Orders]])</f>
        <v>0</v>
      </c>
      <c r="I179" s="443">
        <v>0</v>
      </c>
      <c r="J179" s="213">
        <f>Masonry1521925728[[#This Row],[Original Contract]]-Masonry1521925728[[#This Row],[Revised Contract]]</f>
        <v>0</v>
      </c>
      <c r="K179" s="218"/>
      <c r="L179" s="217"/>
      <c r="M179" s="184"/>
      <c r="T179" s="165"/>
      <c r="U179" s="165"/>
      <c r="Y179" s="166"/>
      <c r="Z179" s="166"/>
    </row>
    <row r="180" spans="1:26" x14ac:dyDescent="0.35">
      <c r="A180" s="201">
        <v>4</v>
      </c>
      <c r="B180" s="202"/>
      <c r="C180" s="202"/>
      <c r="D180" s="580" t="s">
        <v>258</v>
      </c>
      <c r="E180" s="443">
        <v>0</v>
      </c>
      <c r="F180" s="443">
        <v>0</v>
      </c>
      <c r="G180" s="443">
        <v>0</v>
      </c>
      <c r="H180" s="204">
        <f>IF(ABS(Masonry1521925728[[#This Row],[Actual Buyout]])+ABS(Masonry1521925728[[#This Row],[Change Orders]])=0,Masonry1521925728[[#This Row],[Original Contract]],Masonry1521925728[[#This Row],[Actual Buyout]]+Masonry1521925728[[#This Row],[Change Orders]])</f>
        <v>0</v>
      </c>
      <c r="I180" s="443">
        <v>0</v>
      </c>
      <c r="J180" s="213">
        <f>Masonry1521925728[[#This Row],[Original Contract]]-Masonry1521925728[[#This Row],[Revised Contract]]</f>
        <v>0</v>
      </c>
      <c r="K180" s="218"/>
      <c r="L180" s="217"/>
      <c r="M180" s="184"/>
      <c r="T180" s="165"/>
      <c r="U180" s="165"/>
      <c r="Y180" s="166"/>
      <c r="Z180" s="166"/>
    </row>
    <row r="181" spans="1:26" x14ac:dyDescent="0.35">
      <c r="A181" s="201">
        <v>4</v>
      </c>
      <c r="B181" s="202"/>
      <c r="C181" s="202"/>
      <c r="D181" s="580" t="s">
        <v>258</v>
      </c>
      <c r="E181" s="443">
        <v>0</v>
      </c>
      <c r="F181" s="443">
        <v>0</v>
      </c>
      <c r="G181" s="443">
        <v>0</v>
      </c>
      <c r="H181" s="204">
        <f>IF(ABS(Masonry1521925728[[#This Row],[Actual Buyout]])+ABS(Masonry1521925728[[#This Row],[Change Orders]])=0,Masonry1521925728[[#This Row],[Original Contract]],Masonry1521925728[[#This Row],[Actual Buyout]]+Masonry1521925728[[#This Row],[Change Orders]])</f>
        <v>0</v>
      </c>
      <c r="I181" s="443">
        <v>0</v>
      </c>
      <c r="J181" s="213">
        <f>Masonry1521925728[[#This Row],[Original Contract]]-Masonry1521925728[[#This Row],[Revised Contract]]</f>
        <v>0</v>
      </c>
      <c r="K181" s="218"/>
      <c r="L181" s="217"/>
      <c r="M181" s="184"/>
      <c r="T181" s="165"/>
      <c r="U181" s="165"/>
      <c r="Y181" s="166"/>
      <c r="Z181" s="166"/>
    </row>
    <row r="182" spans="1:26" x14ac:dyDescent="0.35">
      <c r="A182" s="201">
        <v>4</v>
      </c>
      <c r="B182" s="202"/>
      <c r="C182" s="202"/>
      <c r="D182" s="580" t="s">
        <v>258</v>
      </c>
      <c r="E182" s="443">
        <v>0</v>
      </c>
      <c r="F182" s="443">
        <v>0</v>
      </c>
      <c r="G182" s="443">
        <v>0</v>
      </c>
      <c r="H182" s="204">
        <f>IF(ABS(Masonry1521925728[[#This Row],[Actual Buyout]])+ABS(Masonry1521925728[[#This Row],[Change Orders]])=0,Masonry1521925728[[#This Row],[Original Contract]],Masonry1521925728[[#This Row],[Actual Buyout]]+Masonry1521925728[[#This Row],[Change Orders]])</f>
        <v>0</v>
      </c>
      <c r="I182" s="443">
        <v>0</v>
      </c>
      <c r="J182" s="213">
        <f>Masonry1521925728[[#This Row],[Original Contract]]-Masonry1521925728[[#This Row],[Revised Contract]]</f>
        <v>0</v>
      </c>
      <c r="K182" s="218"/>
      <c r="L182" s="217"/>
      <c r="M182" s="184"/>
      <c r="T182" s="165"/>
      <c r="U182" s="165"/>
      <c r="Y182" s="166"/>
      <c r="Z182" s="166"/>
    </row>
    <row r="183" spans="1:26" x14ac:dyDescent="0.35">
      <c r="A183" s="201">
        <v>4</v>
      </c>
      <c r="B183" s="202"/>
      <c r="C183" s="202"/>
      <c r="D183" s="580" t="s">
        <v>258</v>
      </c>
      <c r="E183" s="443">
        <v>0</v>
      </c>
      <c r="F183" s="443">
        <v>0</v>
      </c>
      <c r="G183" s="443">
        <v>0</v>
      </c>
      <c r="H183" s="204">
        <f>IF(ABS(Masonry1521925728[[#This Row],[Actual Buyout]])+ABS(Masonry1521925728[[#This Row],[Change Orders]])=0,Masonry1521925728[[#This Row],[Original Contract]],Masonry1521925728[[#This Row],[Actual Buyout]]+Masonry1521925728[[#This Row],[Change Orders]])</f>
        <v>0</v>
      </c>
      <c r="I183" s="443">
        <v>0</v>
      </c>
      <c r="J183" s="213">
        <f>Masonry1521925728[[#This Row],[Original Contract]]-Masonry1521925728[[#This Row],[Revised Contract]]</f>
        <v>0</v>
      </c>
      <c r="K183" s="218"/>
      <c r="L183" s="217"/>
      <c r="M183" s="184"/>
      <c r="T183" s="165"/>
      <c r="U183" s="165"/>
      <c r="Y183" s="166"/>
      <c r="Z183" s="166"/>
    </row>
    <row r="184" spans="1:26" x14ac:dyDescent="0.35">
      <c r="A184" s="201">
        <v>4</v>
      </c>
      <c r="B184" s="202"/>
      <c r="C184" s="202"/>
      <c r="D184" s="580" t="s">
        <v>258</v>
      </c>
      <c r="E184" s="443">
        <v>0</v>
      </c>
      <c r="F184" s="443">
        <v>0</v>
      </c>
      <c r="G184" s="443">
        <v>0</v>
      </c>
      <c r="H184" s="204">
        <f>IF(ABS(Masonry1521925728[[#This Row],[Actual Buyout]])+ABS(Masonry1521925728[[#This Row],[Change Orders]])=0,Masonry1521925728[[#This Row],[Original Contract]],Masonry1521925728[[#This Row],[Actual Buyout]]+Masonry1521925728[[#This Row],[Change Orders]])</f>
        <v>0</v>
      </c>
      <c r="I184" s="443">
        <v>0</v>
      </c>
      <c r="J184" s="213">
        <f>Masonry1521925728[[#This Row],[Original Contract]]-Masonry1521925728[[#This Row],[Revised Contract]]</f>
        <v>0</v>
      </c>
      <c r="K184" s="218"/>
      <c r="L184" s="217"/>
      <c r="M184" s="184"/>
      <c r="T184" s="165"/>
      <c r="U184" s="165"/>
      <c r="Y184" s="166"/>
      <c r="Z184" s="166"/>
    </row>
    <row r="185" spans="1:26" x14ac:dyDescent="0.35">
      <c r="A185" s="219"/>
      <c r="B185" s="220"/>
      <c r="C185" s="220"/>
      <c r="D185" s="208" t="s">
        <v>259</v>
      </c>
      <c r="E185" s="209">
        <f>SUM(Masonry1521925728[Original Contract])</f>
        <v>0</v>
      </c>
      <c r="F185" s="209">
        <f>SUM(Masonry1521925728[Actual Buyout])</f>
        <v>0</v>
      </c>
      <c r="G185" s="209">
        <f>SUM(Masonry1521925728[Change Orders])</f>
        <v>0</v>
      </c>
      <c r="H185" s="209">
        <f>SUM(Masonry1521925728[Revised Contract])</f>
        <v>0</v>
      </c>
      <c r="I185" s="209">
        <f>SUM(Masonry1521925728[Total completed and Stored])</f>
        <v>0</v>
      </c>
      <c r="J185" s="209">
        <f>SUM(Masonry1521925728[Delta])</f>
        <v>0</v>
      </c>
      <c r="K185" s="221"/>
      <c r="L185" s="184"/>
      <c r="M185" s="184"/>
    </row>
    <row r="186" spans="1:26" x14ac:dyDescent="0.35">
      <c r="A186" s="164" t="s">
        <v>127</v>
      </c>
      <c r="B186" s="164" t="s">
        <v>382</v>
      </c>
      <c r="C186" s="164" t="s">
        <v>242</v>
      </c>
      <c r="D186" s="164" t="s">
        <v>243</v>
      </c>
      <c r="E186" s="164" t="s">
        <v>244</v>
      </c>
      <c r="F186" s="198" t="s">
        <v>245</v>
      </c>
      <c r="G186" s="198" t="s">
        <v>246</v>
      </c>
      <c r="H186" s="198" t="s">
        <v>247</v>
      </c>
      <c r="I186" s="211" t="s">
        <v>250</v>
      </c>
      <c r="J186" s="222" t="s">
        <v>249</v>
      </c>
      <c r="K186" s="218"/>
      <c r="L186" s="216"/>
      <c r="M186" s="184"/>
      <c r="T186" s="165"/>
      <c r="U186" s="165"/>
      <c r="Y186" s="166"/>
      <c r="Z186" s="166"/>
    </row>
    <row r="187" spans="1:26" x14ac:dyDescent="0.35">
      <c r="A187" s="201">
        <v>5</v>
      </c>
      <c r="B187" s="202" t="s">
        <v>383</v>
      </c>
      <c r="C187" s="202" t="s">
        <v>384</v>
      </c>
      <c r="D187" s="203" t="s">
        <v>385</v>
      </c>
      <c r="E187" s="443">
        <v>0</v>
      </c>
      <c r="F187" s="443">
        <v>0</v>
      </c>
      <c r="G187" s="443">
        <v>0</v>
      </c>
      <c r="H187" s="204">
        <f>IF(ABS(StrucSteel1622025829[[#This Row],[Actual Buyout]])+ABS(StrucSteel1622025829[[#This Row],[Change Orders]])=0,StrucSteel1622025829[[#This Row],[Original Contract]],StrucSteel1622025829[[#This Row],[Actual Buyout]]+StrucSteel1622025829[[#This Row],[Change Orders]])</f>
        <v>0</v>
      </c>
      <c r="I187" s="443">
        <v>0</v>
      </c>
      <c r="J187" s="213">
        <f>StrucSteel1622025829[[#This Row],[Original Contract]]-StrucSteel1622025829[[#This Row],[Revised Contract]]</f>
        <v>0</v>
      </c>
      <c r="K187" s="218"/>
      <c r="L187" s="217"/>
      <c r="M187" s="184"/>
      <c r="T187" s="165"/>
      <c r="U187" s="165"/>
      <c r="Y187" s="166"/>
      <c r="Z187" s="166"/>
    </row>
    <row r="188" spans="1:26" x14ac:dyDescent="0.35">
      <c r="A188" s="201">
        <v>5</v>
      </c>
      <c r="B188" s="202" t="s">
        <v>386</v>
      </c>
      <c r="C188" s="202" t="s">
        <v>387</v>
      </c>
      <c r="D188" s="203" t="s">
        <v>388</v>
      </c>
      <c r="E188" s="443">
        <v>0</v>
      </c>
      <c r="F188" s="443">
        <v>0</v>
      </c>
      <c r="G188" s="443">
        <v>0</v>
      </c>
      <c r="H188" s="204">
        <f>IF(ABS(StrucSteel1622025829[[#This Row],[Actual Buyout]])+ABS(StrucSteel1622025829[[#This Row],[Change Orders]])=0,StrucSteel1622025829[[#This Row],[Original Contract]],StrucSteel1622025829[[#This Row],[Actual Buyout]]+StrucSteel1622025829[[#This Row],[Change Orders]])</f>
        <v>0</v>
      </c>
      <c r="I188" s="443">
        <v>0</v>
      </c>
      <c r="J188" s="213">
        <f>StrucSteel1622025829[[#This Row],[Original Contract]]-StrucSteel1622025829[[#This Row],[Revised Contract]]</f>
        <v>0</v>
      </c>
      <c r="K188" s="218"/>
      <c r="L188" s="217"/>
      <c r="M188" s="184"/>
      <c r="T188" s="165"/>
      <c r="U188" s="165"/>
      <c r="Y188" s="166"/>
      <c r="Z188" s="166"/>
    </row>
    <row r="189" spans="1:26" x14ac:dyDescent="0.35">
      <c r="A189" s="201">
        <v>5</v>
      </c>
      <c r="B189" s="202" t="s">
        <v>389</v>
      </c>
      <c r="C189" s="202" t="s">
        <v>390</v>
      </c>
      <c r="D189" s="203" t="s">
        <v>391</v>
      </c>
      <c r="E189" s="443">
        <v>0</v>
      </c>
      <c r="F189" s="443">
        <v>0</v>
      </c>
      <c r="G189" s="443">
        <v>0</v>
      </c>
      <c r="H189" s="204">
        <f>IF(ABS(StrucSteel1622025829[[#This Row],[Actual Buyout]])+ABS(StrucSteel1622025829[[#This Row],[Change Orders]])=0,StrucSteel1622025829[[#This Row],[Original Contract]],StrucSteel1622025829[[#This Row],[Actual Buyout]]+StrucSteel1622025829[[#This Row],[Change Orders]])</f>
        <v>0</v>
      </c>
      <c r="I189" s="443">
        <v>0</v>
      </c>
      <c r="J189" s="213">
        <f>StrucSteel1622025829[[#This Row],[Original Contract]]-StrucSteel1622025829[[#This Row],[Revised Contract]]</f>
        <v>0</v>
      </c>
      <c r="K189" s="218"/>
      <c r="L189" s="217"/>
      <c r="M189" s="184"/>
      <c r="T189" s="165"/>
      <c r="U189" s="165"/>
      <c r="Y189" s="166"/>
      <c r="Z189" s="166"/>
    </row>
    <row r="190" spans="1:26" x14ac:dyDescent="0.35">
      <c r="A190" s="201">
        <v>5</v>
      </c>
      <c r="B190" s="202" t="s">
        <v>392</v>
      </c>
      <c r="C190" s="202" t="s">
        <v>393</v>
      </c>
      <c r="D190" s="203" t="s">
        <v>394</v>
      </c>
      <c r="E190" s="443">
        <v>0</v>
      </c>
      <c r="F190" s="443">
        <v>0</v>
      </c>
      <c r="G190" s="443">
        <v>0</v>
      </c>
      <c r="H190" s="204">
        <f>IF(ABS(StrucSteel1622025829[[#This Row],[Actual Buyout]])+ABS(StrucSteel1622025829[[#This Row],[Change Orders]])=0,StrucSteel1622025829[[#This Row],[Original Contract]],StrucSteel1622025829[[#This Row],[Actual Buyout]]+StrucSteel1622025829[[#This Row],[Change Orders]])</f>
        <v>0</v>
      </c>
      <c r="I190" s="443">
        <v>0</v>
      </c>
      <c r="J190" s="213">
        <f>StrucSteel1622025829[[#This Row],[Original Contract]]-StrucSteel1622025829[[#This Row],[Revised Contract]]</f>
        <v>0</v>
      </c>
      <c r="K190" s="218"/>
      <c r="L190" s="217"/>
      <c r="M190" s="184"/>
      <c r="T190" s="165"/>
      <c r="U190" s="165"/>
      <c r="Y190" s="166"/>
      <c r="Z190" s="166"/>
    </row>
    <row r="191" spans="1:26" x14ac:dyDescent="0.35">
      <c r="A191" s="201">
        <v>5</v>
      </c>
      <c r="B191" s="202" t="s">
        <v>383</v>
      </c>
      <c r="C191" s="202" t="s">
        <v>384</v>
      </c>
      <c r="D191" s="203" t="s">
        <v>395</v>
      </c>
      <c r="E191" s="443">
        <v>0</v>
      </c>
      <c r="F191" s="443">
        <v>0</v>
      </c>
      <c r="G191" s="443">
        <v>0</v>
      </c>
      <c r="H191" s="204">
        <f>IF(ABS(StrucSteel1622025829[[#This Row],[Actual Buyout]])+ABS(StrucSteel1622025829[[#This Row],[Change Orders]])=0,StrucSteel1622025829[[#This Row],[Original Contract]],StrucSteel1622025829[[#This Row],[Actual Buyout]]+StrucSteel1622025829[[#This Row],[Change Orders]])</f>
        <v>0</v>
      </c>
      <c r="I191" s="443">
        <v>0</v>
      </c>
      <c r="J191" s="213">
        <f>StrucSteel1622025829[[#This Row],[Original Contract]]-StrucSteel1622025829[[#This Row],[Revised Contract]]</f>
        <v>0</v>
      </c>
      <c r="K191" s="218"/>
      <c r="L191" s="217"/>
      <c r="M191" s="184"/>
      <c r="T191" s="165"/>
      <c r="U191" s="165"/>
      <c r="Y191" s="166"/>
      <c r="Z191" s="166"/>
    </row>
    <row r="192" spans="1:26" x14ac:dyDescent="0.35">
      <c r="A192" s="201">
        <v>5</v>
      </c>
      <c r="B192" s="202" t="s">
        <v>383</v>
      </c>
      <c r="C192" s="202" t="s">
        <v>384</v>
      </c>
      <c r="D192" s="203" t="s">
        <v>396</v>
      </c>
      <c r="E192" s="443">
        <v>0</v>
      </c>
      <c r="F192" s="443">
        <v>0</v>
      </c>
      <c r="G192" s="443">
        <v>0</v>
      </c>
      <c r="H192" s="204">
        <f>IF(ABS(StrucSteel1622025829[[#This Row],[Actual Buyout]])+ABS(StrucSteel1622025829[[#This Row],[Change Orders]])=0,StrucSteel1622025829[[#This Row],[Original Contract]],StrucSteel1622025829[[#This Row],[Actual Buyout]]+StrucSteel1622025829[[#This Row],[Change Orders]])</f>
        <v>0</v>
      </c>
      <c r="I192" s="443">
        <v>0</v>
      </c>
      <c r="J192" s="213">
        <f>StrucSteel1622025829[[#This Row],[Original Contract]]-StrucSteel1622025829[[#This Row],[Revised Contract]]</f>
        <v>0</v>
      </c>
      <c r="K192" s="218"/>
      <c r="L192" s="217"/>
      <c r="M192" s="184"/>
      <c r="T192" s="165"/>
      <c r="U192" s="165"/>
      <c r="Y192" s="166"/>
      <c r="Z192" s="166"/>
    </row>
    <row r="193" spans="1:26" x14ac:dyDescent="0.35">
      <c r="A193" s="201">
        <v>5</v>
      </c>
      <c r="B193" s="202" t="s">
        <v>383</v>
      </c>
      <c r="C193" s="202" t="s">
        <v>384</v>
      </c>
      <c r="D193" s="203" t="s">
        <v>397</v>
      </c>
      <c r="E193" s="443">
        <v>0</v>
      </c>
      <c r="F193" s="443">
        <v>0</v>
      </c>
      <c r="G193" s="443">
        <v>0</v>
      </c>
      <c r="H193" s="204">
        <f>IF(ABS(StrucSteel1622025829[[#This Row],[Actual Buyout]])+ABS(StrucSteel1622025829[[#This Row],[Change Orders]])=0,StrucSteel1622025829[[#This Row],[Original Contract]],StrucSteel1622025829[[#This Row],[Actual Buyout]]+StrucSteel1622025829[[#This Row],[Change Orders]])</f>
        <v>0</v>
      </c>
      <c r="I193" s="443">
        <v>0</v>
      </c>
      <c r="J193" s="213">
        <f>StrucSteel1622025829[[#This Row],[Original Contract]]-StrucSteel1622025829[[#This Row],[Revised Contract]]</f>
        <v>0</v>
      </c>
      <c r="K193" s="218"/>
      <c r="L193" s="217"/>
      <c r="M193" s="184"/>
      <c r="T193" s="165"/>
      <c r="U193" s="165"/>
      <c r="Y193" s="166"/>
      <c r="Z193" s="166"/>
    </row>
    <row r="194" spans="1:26" x14ac:dyDescent="0.35">
      <c r="A194" s="201">
        <v>5</v>
      </c>
      <c r="B194" s="202" t="s">
        <v>386</v>
      </c>
      <c r="C194" s="202" t="s">
        <v>387</v>
      </c>
      <c r="D194" s="203" t="s">
        <v>398</v>
      </c>
      <c r="E194" s="443">
        <v>0</v>
      </c>
      <c r="F194" s="443">
        <v>0</v>
      </c>
      <c r="G194" s="443">
        <v>0</v>
      </c>
      <c r="H194" s="204">
        <f>IF(ABS(StrucSteel1622025829[[#This Row],[Actual Buyout]])+ABS(StrucSteel1622025829[[#This Row],[Change Orders]])=0,StrucSteel1622025829[[#This Row],[Original Contract]],StrucSteel1622025829[[#This Row],[Actual Buyout]]+StrucSteel1622025829[[#This Row],[Change Orders]])</f>
        <v>0</v>
      </c>
      <c r="I194" s="443">
        <v>0</v>
      </c>
      <c r="J194" s="213">
        <f>StrucSteel1622025829[[#This Row],[Original Contract]]-StrucSteel1622025829[[#This Row],[Revised Contract]]</f>
        <v>0</v>
      </c>
      <c r="K194" s="218"/>
      <c r="L194" s="217"/>
      <c r="M194" s="184"/>
      <c r="T194" s="165"/>
      <c r="U194" s="165"/>
      <c r="Y194" s="166"/>
      <c r="Z194" s="166"/>
    </row>
    <row r="195" spans="1:26" x14ac:dyDescent="0.35">
      <c r="A195" s="201">
        <v>5</v>
      </c>
      <c r="B195" s="202" t="s">
        <v>389</v>
      </c>
      <c r="C195" s="202" t="s">
        <v>390</v>
      </c>
      <c r="D195" s="203" t="s">
        <v>399</v>
      </c>
      <c r="E195" s="443">
        <v>0</v>
      </c>
      <c r="F195" s="443">
        <v>0</v>
      </c>
      <c r="G195" s="443">
        <v>0</v>
      </c>
      <c r="H195" s="204">
        <f>IF(ABS(StrucSteel1622025829[[#This Row],[Actual Buyout]])+ABS(StrucSteel1622025829[[#This Row],[Change Orders]])=0,StrucSteel1622025829[[#This Row],[Original Contract]],StrucSteel1622025829[[#This Row],[Actual Buyout]]+StrucSteel1622025829[[#This Row],[Change Orders]])</f>
        <v>0</v>
      </c>
      <c r="I195" s="443">
        <v>0</v>
      </c>
      <c r="J195" s="213">
        <f>StrucSteel1622025829[[#This Row],[Original Contract]]-StrucSteel1622025829[[#This Row],[Revised Contract]]</f>
        <v>0</v>
      </c>
      <c r="K195" s="218"/>
      <c r="L195" s="217"/>
      <c r="M195" s="184"/>
      <c r="T195" s="165"/>
      <c r="U195" s="165"/>
      <c r="Y195" s="166"/>
      <c r="Z195" s="166"/>
    </row>
    <row r="196" spans="1:26" x14ac:dyDescent="0.35">
      <c r="A196" s="201">
        <v>5</v>
      </c>
      <c r="B196" s="202"/>
      <c r="C196" s="202"/>
      <c r="D196" s="580" t="s">
        <v>258</v>
      </c>
      <c r="E196" s="443">
        <v>0</v>
      </c>
      <c r="F196" s="443">
        <v>0</v>
      </c>
      <c r="G196" s="443">
        <v>0</v>
      </c>
      <c r="H196" s="204">
        <f>IF(ABS(StrucSteel1622025829[[#This Row],[Actual Buyout]])+ABS(StrucSteel1622025829[[#This Row],[Change Orders]])=0,StrucSteel1622025829[[#This Row],[Original Contract]],StrucSteel1622025829[[#This Row],[Actual Buyout]]+StrucSteel1622025829[[#This Row],[Change Orders]])</f>
        <v>0</v>
      </c>
      <c r="I196" s="443">
        <v>0</v>
      </c>
      <c r="J196" s="213">
        <f>StrucSteel1622025829[[#This Row],[Original Contract]]-StrucSteel1622025829[[#This Row],[Revised Contract]]</f>
        <v>0</v>
      </c>
      <c r="K196" s="218"/>
      <c r="L196" s="217"/>
      <c r="M196" s="184"/>
      <c r="T196" s="165"/>
      <c r="U196" s="165"/>
      <c r="Y196" s="166"/>
      <c r="Z196" s="166"/>
    </row>
    <row r="197" spans="1:26" x14ac:dyDescent="0.35">
      <c r="A197" s="201">
        <v>5</v>
      </c>
      <c r="B197" s="202"/>
      <c r="C197" s="202"/>
      <c r="D197" s="580" t="s">
        <v>258</v>
      </c>
      <c r="E197" s="443">
        <v>0</v>
      </c>
      <c r="F197" s="443">
        <v>0</v>
      </c>
      <c r="G197" s="443">
        <v>0</v>
      </c>
      <c r="H197" s="204">
        <f>IF(ABS(StrucSteel1622025829[[#This Row],[Actual Buyout]])+ABS(StrucSteel1622025829[[#This Row],[Change Orders]])=0,StrucSteel1622025829[[#This Row],[Original Contract]],StrucSteel1622025829[[#This Row],[Actual Buyout]]+StrucSteel1622025829[[#This Row],[Change Orders]])</f>
        <v>0</v>
      </c>
      <c r="I197" s="443">
        <v>0</v>
      </c>
      <c r="J197" s="213">
        <f>StrucSteel1622025829[[#This Row],[Original Contract]]-StrucSteel1622025829[[#This Row],[Revised Contract]]</f>
        <v>0</v>
      </c>
      <c r="K197" s="218"/>
      <c r="L197" s="217"/>
      <c r="M197" s="184"/>
      <c r="T197" s="165"/>
      <c r="U197" s="165"/>
      <c r="Y197" s="166"/>
      <c r="Z197" s="166"/>
    </row>
    <row r="198" spans="1:26" x14ac:dyDescent="0.35">
      <c r="A198" s="201">
        <v>5</v>
      </c>
      <c r="B198" s="202"/>
      <c r="C198" s="202"/>
      <c r="D198" s="580" t="s">
        <v>258</v>
      </c>
      <c r="E198" s="443">
        <v>0</v>
      </c>
      <c r="F198" s="443">
        <v>0</v>
      </c>
      <c r="G198" s="443">
        <v>0</v>
      </c>
      <c r="H198" s="204">
        <f>IF(ABS(StrucSteel1622025829[[#This Row],[Actual Buyout]])+ABS(StrucSteel1622025829[[#This Row],[Change Orders]])=0,StrucSteel1622025829[[#This Row],[Original Contract]],StrucSteel1622025829[[#This Row],[Actual Buyout]]+StrucSteel1622025829[[#This Row],[Change Orders]])</f>
        <v>0</v>
      </c>
      <c r="I198" s="443">
        <v>0</v>
      </c>
      <c r="J198" s="213">
        <f>StrucSteel1622025829[[#This Row],[Original Contract]]-StrucSteel1622025829[[#This Row],[Revised Contract]]</f>
        <v>0</v>
      </c>
      <c r="K198" s="218"/>
      <c r="L198" s="217"/>
      <c r="M198" s="184"/>
      <c r="T198" s="165"/>
      <c r="U198" s="165"/>
      <c r="Y198" s="166"/>
      <c r="Z198" s="166"/>
    </row>
    <row r="199" spans="1:26" x14ac:dyDescent="0.35">
      <c r="A199" s="201">
        <v>5</v>
      </c>
      <c r="B199" s="202"/>
      <c r="C199" s="202"/>
      <c r="D199" s="580" t="s">
        <v>258</v>
      </c>
      <c r="E199" s="443">
        <v>0</v>
      </c>
      <c r="F199" s="443">
        <v>0</v>
      </c>
      <c r="G199" s="443">
        <v>0</v>
      </c>
      <c r="H199" s="204">
        <f>IF(ABS(StrucSteel1622025829[[#This Row],[Actual Buyout]])+ABS(StrucSteel1622025829[[#This Row],[Change Orders]])=0,StrucSteel1622025829[[#This Row],[Original Contract]],StrucSteel1622025829[[#This Row],[Actual Buyout]]+StrucSteel1622025829[[#This Row],[Change Orders]])</f>
        <v>0</v>
      </c>
      <c r="I199" s="443">
        <v>0</v>
      </c>
      <c r="J199" s="213">
        <f>StrucSteel1622025829[[#This Row],[Original Contract]]-StrucSteel1622025829[[#This Row],[Revised Contract]]</f>
        <v>0</v>
      </c>
      <c r="K199" s="218"/>
      <c r="L199" s="217"/>
      <c r="M199" s="184"/>
      <c r="T199" s="165"/>
      <c r="U199" s="165"/>
      <c r="Y199" s="166"/>
      <c r="Z199" s="166"/>
    </row>
    <row r="200" spans="1:26" x14ac:dyDescent="0.35">
      <c r="A200" s="201">
        <v>5</v>
      </c>
      <c r="B200" s="202"/>
      <c r="C200" s="202"/>
      <c r="D200" s="580" t="s">
        <v>258</v>
      </c>
      <c r="E200" s="443">
        <v>0</v>
      </c>
      <c r="F200" s="443">
        <v>0</v>
      </c>
      <c r="G200" s="443">
        <v>0</v>
      </c>
      <c r="H200" s="204">
        <f>IF(ABS(StrucSteel1622025829[[#This Row],[Actual Buyout]])+ABS(StrucSteel1622025829[[#This Row],[Change Orders]])=0,StrucSteel1622025829[[#This Row],[Original Contract]],StrucSteel1622025829[[#This Row],[Actual Buyout]]+StrucSteel1622025829[[#This Row],[Change Orders]])</f>
        <v>0</v>
      </c>
      <c r="I200" s="443">
        <v>0</v>
      </c>
      <c r="J200" s="213">
        <f>StrucSteel1622025829[[#This Row],[Original Contract]]-StrucSteel1622025829[[#This Row],[Revised Contract]]</f>
        <v>0</v>
      </c>
      <c r="K200" s="218"/>
      <c r="L200" s="217"/>
      <c r="M200" s="184"/>
      <c r="T200" s="165"/>
      <c r="U200" s="165"/>
      <c r="Y200" s="166"/>
      <c r="Z200" s="166"/>
    </row>
    <row r="201" spans="1:26" x14ac:dyDescent="0.35">
      <c r="A201" s="201">
        <v>5</v>
      </c>
      <c r="B201" s="223"/>
      <c r="C201" s="223"/>
      <c r="D201" s="581" t="s">
        <v>258</v>
      </c>
      <c r="E201" s="443">
        <v>0</v>
      </c>
      <c r="F201" s="443">
        <v>0</v>
      </c>
      <c r="G201" s="443">
        <v>0</v>
      </c>
      <c r="H201" s="204">
        <f>IF(ABS(StrucSteel1622025829[[#This Row],[Actual Buyout]])+ABS(StrucSteel1622025829[[#This Row],[Change Orders]])=0,StrucSteel1622025829[[#This Row],[Original Contract]],StrucSteel1622025829[[#This Row],[Actual Buyout]]+StrucSteel1622025829[[#This Row],[Change Orders]])</f>
        <v>0</v>
      </c>
      <c r="I201" s="443">
        <v>0</v>
      </c>
      <c r="J201" s="213">
        <f>StrucSteel1622025829[[#This Row],[Original Contract]]-StrucSteel1622025829[[#This Row],[Revised Contract]]</f>
        <v>0</v>
      </c>
      <c r="K201" s="218"/>
      <c r="L201" s="217"/>
      <c r="M201" s="184"/>
      <c r="T201" s="165"/>
      <c r="U201" s="165"/>
      <c r="Y201" s="166"/>
      <c r="Z201" s="166"/>
    </row>
    <row r="202" spans="1:26" x14ac:dyDescent="0.35">
      <c r="A202" s="201">
        <v>5</v>
      </c>
      <c r="B202" s="223"/>
      <c r="C202" s="223"/>
      <c r="D202" s="581" t="s">
        <v>258</v>
      </c>
      <c r="E202" s="443">
        <v>0</v>
      </c>
      <c r="F202" s="443">
        <v>0</v>
      </c>
      <c r="G202" s="443">
        <v>0</v>
      </c>
      <c r="H202" s="204">
        <f>IF(ABS(StrucSteel1622025829[[#This Row],[Actual Buyout]])+ABS(StrucSteel1622025829[[#This Row],[Change Orders]])=0,StrucSteel1622025829[[#This Row],[Original Contract]],StrucSteel1622025829[[#This Row],[Actual Buyout]]+StrucSteel1622025829[[#This Row],[Change Orders]])</f>
        <v>0</v>
      </c>
      <c r="I202" s="443">
        <v>0</v>
      </c>
      <c r="J202" s="213">
        <f>StrucSteel1622025829[[#This Row],[Original Contract]]-StrucSteel1622025829[[#This Row],[Revised Contract]]</f>
        <v>0</v>
      </c>
      <c r="K202" s="218"/>
      <c r="L202" s="217"/>
      <c r="M202" s="184"/>
      <c r="T202" s="165"/>
      <c r="U202" s="165"/>
      <c r="Y202" s="166"/>
      <c r="Z202" s="166"/>
    </row>
    <row r="203" spans="1:26" x14ac:dyDescent="0.35">
      <c r="A203" s="201">
        <v>5</v>
      </c>
      <c r="B203" s="223"/>
      <c r="C203" s="223"/>
      <c r="D203" s="581" t="s">
        <v>258</v>
      </c>
      <c r="E203" s="443">
        <v>0</v>
      </c>
      <c r="F203" s="443">
        <v>0</v>
      </c>
      <c r="G203" s="443">
        <v>0</v>
      </c>
      <c r="H203" s="204">
        <f>IF(ABS(StrucSteel1622025829[[#This Row],[Actual Buyout]])+ABS(StrucSteel1622025829[[#This Row],[Change Orders]])=0,StrucSteel1622025829[[#This Row],[Original Contract]],StrucSteel1622025829[[#This Row],[Actual Buyout]]+StrucSteel1622025829[[#This Row],[Change Orders]])</f>
        <v>0</v>
      </c>
      <c r="I203" s="443">
        <v>0</v>
      </c>
      <c r="J203" s="213">
        <f>StrucSteel1622025829[[#This Row],[Original Contract]]-StrucSteel1622025829[[#This Row],[Revised Contract]]</f>
        <v>0</v>
      </c>
      <c r="K203" s="218"/>
      <c r="L203" s="217"/>
      <c r="M203" s="184"/>
      <c r="T203" s="165"/>
      <c r="U203" s="165"/>
      <c r="Y203" s="166"/>
      <c r="Z203" s="166"/>
    </row>
    <row r="204" spans="1:26" x14ac:dyDescent="0.35">
      <c r="A204" s="201">
        <v>5</v>
      </c>
      <c r="B204" s="223"/>
      <c r="C204" s="223"/>
      <c r="D204" s="581" t="s">
        <v>258</v>
      </c>
      <c r="E204" s="443">
        <v>0</v>
      </c>
      <c r="F204" s="443">
        <v>0</v>
      </c>
      <c r="G204" s="443">
        <v>0</v>
      </c>
      <c r="H204" s="204">
        <f>IF(ABS(StrucSteel1622025829[[#This Row],[Actual Buyout]])+ABS(StrucSteel1622025829[[#This Row],[Change Orders]])=0,StrucSteel1622025829[[#This Row],[Original Contract]],StrucSteel1622025829[[#This Row],[Actual Buyout]]+StrucSteel1622025829[[#This Row],[Change Orders]])</f>
        <v>0</v>
      </c>
      <c r="I204" s="443">
        <v>0</v>
      </c>
      <c r="J204" s="213">
        <f>StrucSteel1622025829[[#This Row],[Original Contract]]-StrucSteel1622025829[[#This Row],[Revised Contract]]</f>
        <v>0</v>
      </c>
      <c r="K204" s="218"/>
      <c r="L204" s="217"/>
      <c r="M204" s="184"/>
      <c r="T204" s="165"/>
      <c r="U204" s="165"/>
      <c r="Y204" s="166"/>
      <c r="Z204" s="166"/>
    </row>
    <row r="205" spans="1:26" x14ac:dyDescent="0.35">
      <c r="A205" s="201">
        <v>5</v>
      </c>
      <c r="B205" s="223"/>
      <c r="C205" s="223"/>
      <c r="D205" s="581" t="s">
        <v>258</v>
      </c>
      <c r="E205" s="443">
        <v>0</v>
      </c>
      <c r="F205" s="443">
        <v>0</v>
      </c>
      <c r="G205" s="443">
        <v>0</v>
      </c>
      <c r="H205" s="204">
        <f>IF(ABS(StrucSteel1622025829[[#This Row],[Actual Buyout]])+ABS(StrucSteel1622025829[[#This Row],[Change Orders]])=0,StrucSteel1622025829[[#This Row],[Original Contract]],StrucSteel1622025829[[#This Row],[Actual Buyout]]+StrucSteel1622025829[[#This Row],[Change Orders]])</f>
        <v>0</v>
      </c>
      <c r="I205" s="443">
        <v>0</v>
      </c>
      <c r="J205" s="213">
        <f>StrucSteel1622025829[[#This Row],[Original Contract]]-StrucSteel1622025829[[#This Row],[Revised Contract]]</f>
        <v>0</v>
      </c>
      <c r="K205" s="218"/>
      <c r="L205" s="217"/>
      <c r="M205" s="184"/>
      <c r="T205" s="165"/>
      <c r="U205" s="165"/>
      <c r="Y205" s="166"/>
      <c r="Z205" s="166"/>
    </row>
    <row r="206" spans="1:26" x14ac:dyDescent="0.35">
      <c r="A206" s="201">
        <v>5</v>
      </c>
      <c r="B206" s="223"/>
      <c r="C206" s="223"/>
      <c r="D206" s="581" t="s">
        <v>258</v>
      </c>
      <c r="E206" s="443">
        <v>0</v>
      </c>
      <c r="F206" s="443">
        <v>0</v>
      </c>
      <c r="G206" s="443">
        <v>0</v>
      </c>
      <c r="H206" s="204">
        <f>IF(ABS(StrucSteel1622025829[[#This Row],[Actual Buyout]])+ABS(StrucSteel1622025829[[#This Row],[Change Orders]])=0,StrucSteel1622025829[[#This Row],[Original Contract]],StrucSteel1622025829[[#This Row],[Actual Buyout]]+StrucSteel1622025829[[#This Row],[Change Orders]])</f>
        <v>0</v>
      </c>
      <c r="I206" s="443">
        <v>0</v>
      </c>
      <c r="J206" s="213">
        <f>StrucSteel1622025829[[#This Row],[Original Contract]]-StrucSteel1622025829[[#This Row],[Revised Contract]]</f>
        <v>0</v>
      </c>
      <c r="K206" s="218"/>
      <c r="L206" s="217"/>
      <c r="M206" s="184"/>
      <c r="T206" s="165"/>
      <c r="U206" s="165"/>
      <c r="Y206" s="166"/>
      <c r="Z206" s="166"/>
    </row>
    <row r="207" spans="1:26" x14ac:dyDescent="0.35">
      <c r="A207" s="219"/>
      <c r="B207" s="220"/>
      <c r="C207" s="220"/>
      <c r="D207" s="208" t="s">
        <v>259</v>
      </c>
      <c r="E207" s="209">
        <f>SUM(StrucSteel1622025829[Original Contract])</f>
        <v>0</v>
      </c>
      <c r="F207" s="209">
        <f>SUM(StrucSteel1622025829[Actual Buyout])</f>
        <v>0</v>
      </c>
      <c r="G207" s="209">
        <f>SUM(StrucSteel1622025829[Change Orders])</f>
        <v>0</v>
      </c>
      <c r="H207" s="209">
        <f>SUM(StrucSteel1622025829[Revised Contract])</f>
        <v>0</v>
      </c>
      <c r="I207" s="209">
        <f>SUM(StrucSteel1622025829[Total completed and Stored])</f>
        <v>0</v>
      </c>
      <c r="J207" s="209">
        <f>SUM(StrucSteel1622025829[Delta])</f>
        <v>0</v>
      </c>
      <c r="K207" s="221"/>
      <c r="L207" s="184"/>
      <c r="M207" s="184"/>
    </row>
    <row r="208" spans="1:26" x14ac:dyDescent="0.35">
      <c r="A208" s="164" t="s">
        <v>127</v>
      </c>
      <c r="B208" s="164" t="s">
        <v>400</v>
      </c>
      <c r="C208" s="164" t="s">
        <v>242</v>
      </c>
      <c r="D208" s="164" t="s">
        <v>243</v>
      </c>
      <c r="E208" s="164" t="s">
        <v>244</v>
      </c>
      <c r="F208" s="198" t="s">
        <v>245</v>
      </c>
      <c r="G208" s="198" t="s">
        <v>246</v>
      </c>
      <c r="H208" s="198" t="s">
        <v>247</v>
      </c>
      <c r="I208" s="211" t="s">
        <v>250</v>
      </c>
      <c r="J208" s="222" t="s">
        <v>249</v>
      </c>
      <c r="K208" s="218"/>
      <c r="L208" s="216"/>
      <c r="M208" s="184"/>
      <c r="T208" s="165"/>
      <c r="U208" s="165"/>
      <c r="Y208" s="166"/>
      <c r="Z208" s="166"/>
    </row>
    <row r="209" spans="1:26" x14ac:dyDescent="0.35">
      <c r="A209" s="201">
        <v>5</v>
      </c>
      <c r="B209" s="202" t="s">
        <v>383</v>
      </c>
      <c r="C209" s="202" t="s">
        <v>384</v>
      </c>
      <c r="D209" s="203" t="s">
        <v>401</v>
      </c>
      <c r="E209" s="443">
        <v>0</v>
      </c>
      <c r="F209" s="443">
        <v>0</v>
      </c>
      <c r="G209" s="443">
        <v>0</v>
      </c>
      <c r="H209" s="204">
        <f>IF(ABS(Steel1722125930[[#This Row],[Actual Buyout]])+ABS(Steel1722125930[[#This Row],[Change Orders]])=0,Steel1722125930[[#This Row],[Original Contract]],Steel1722125930[[#This Row],[Actual Buyout]]+Steel1722125930[[#This Row],[Change Orders]])</f>
        <v>0</v>
      </c>
      <c r="I209" s="443">
        <v>0</v>
      </c>
      <c r="J209" s="213">
        <f>Steel1722125930[[#This Row],[Original Contract]]-Steel1722125930[[#This Row],[Revised Contract]]</f>
        <v>0</v>
      </c>
      <c r="K209" s="218"/>
      <c r="L209" s="217"/>
      <c r="M209" s="184"/>
      <c r="T209" s="165"/>
      <c r="U209" s="165"/>
      <c r="Y209" s="166"/>
      <c r="Z209" s="166"/>
    </row>
    <row r="210" spans="1:26" x14ac:dyDescent="0.35">
      <c r="A210" s="201">
        <v>5</v>
      </c>
      <c r="B210" s="202" t="s">
        <v>383</v>
      </c>
      <c r="C210" s="202" t="s">
        <v>387</v>
      </c>
      <c r="D210" s="203" t="s">
        <v>402</v>
      </c>
      <c r="E210" s="443">
        <v>0</v>
      </c>
      <c r="F210" s="443">
        <v>0</v>
      </c>
      <c r="G210" s="443">
        <v>0</v>
      </c>
      <c r="H210" s="204">
        <f>IF(ABS(Steel1722125930[[#This Row],[Actual Buyout]])+ABS(Steel1722125930[[#This Row],[Change Orders]])=0,Steel1722125930[[#This Row],[Original Contract]],Steel1722125930[[#This Row],[Actual Buyout]]+Steel1722125930[[#This Row],[Change Orders]])</f>
        <v>0</v>
      </c>
      <c r="I210" s="443">
        <v>0</v>
      </c>
      <c r="J210" s="213">
        <f>Steel1722125930[[#This Row],[Original Contract]]-Steel1722125930[[#This Row],[Revised Contract]]</f>
        <v>0</v>
      </c>
      <c r="K210" s="218"/>
      <c r="L210" s="217"/>
      <c r="M210" s="184"/>
      <c r="T210" s="165"/>
      <c r="U210" s="165"/>
      <c r="Y210" s="166"/>
      <c r="Z210" s="166"/>
    </row>
    <row r="211" spans="1:26" x14ac:dyDescent="0.35">
      <c r="A211" s="201">
        <v>5</v>
      </c>
      <c r="B211" s="202" t="s">
        <v>383</v>
      </c>
      <c r="C211" s="202" t="s">
        <v>393</v>
      </c>
      <c r="D211" s="203" t="s">
        <v>403</v>
      </c>
      <c r="E211" s="443">
        <v>0</v>
      </c>
      <c r="F211" s="443">
        <v>0</v>
      </c>
      <c r="G211" s="443">
        <v>0</v>
      </c>
      <c r="H211" s="204">
        <f>IF(ABS(Steel1722125930[[#This Row],[Actual Buyout]])+ABS(Steel1722125930[[#This Row],[Change Orders]])=0,Steel1722125930[[#This Row],[Original Contract]],Steel1722125930[[#This Row],[Actual Buyout]]+Steel1722125930[[#This Row],[Change Orders]])</f>
        <v>0</v>
      </c>
      <c r="I211" s="443">
        <v>0</v>
      </c>
      <c r="J211" s="213">
        <f>Steel1722125930[[#This Row],[Original Contract]]-Steel1722125930[[#This Row],[Revised Contract]]</f>
        <v>0</v>
      </c>
      <c r="K211" s="218"/>
      <c r="L211" s="217"/>
      <c r="M211" s="184"/>
      <c r="T211" s="165"/>
      <c r="U211" s="165"/>
      <c r="Y211" s="166"/>
      <c r="Z211" s="166"/>
    </row>
    <row r="212" spans="1:26" x14ac:dyDescent="0.35">
      <c r="A212" s="201">
        <v>5</v>
      </c>
      <c r="B212" s="202" t="s">
        <v>383</v>
      </c>
      <c r="C212" s="202" t="s">
        <v>384</v>
      </c>
      <c r="D212" s="203" t="s">
        <v>404</v>
      </c>
      <c r="E212" s="443">
        <v>0</v>
      </c>
      <c r="F212" s="443">
        <v>0</v>
      </c>
      <c r="G212" s="443">
        <v>0</v>
      </c>
      <c r="H212" s="204">
        <f>IF(ABS(Steel1722125930[[#This Row],[Actual Buyout]])+ABS(Steel1722125930[[#This Row],[Change Orders]])=0,Steel1722125930[[#This Row],[Original Contract]],Steel1722125930[[#This Row],[Actual Buyout]]+Steel1722125930[[#This Row],[Change Orders]])</f>
        <v>0</v>
      </c>
      <c r="I212" s="443">
        <v>0</v>
      </c>
      <c r="J212" s="213">
        <f>Steel1722125930[[#This Row],[Original Contract]]-Steel1722125930[[#This Row],[Revised Contract]]</f>
        <v>0</v>
      </c>
      <c r="K212" s="218"/>
      <c r="L212" s="217"/>
      <c r="M212" s="184"/>
      <c r="T212" s="165"/>
      <c r="U212" s="165"/>
      <c r="Y212" s="166"/>
      <c r="Z212" s="166"/>
    </row>
    <row r="213" spans="1:26" x14ac:dyDescent="0.35">
      <c r="A213" s="201">
        <v>5</v>
      </c>
      <c r="B213" s="202" t="s">
        <v>383</v>
      </c>
      <c r="C213" s="202" t="s">
        <v>384</v>
      </c>
      <c r="D213" s="203" t="s">
        <v>405</v>
      </c>
      <c r="E213" s="443">
        <v>0</v>
      </c>
      <c r="F213" s="443">
        <v>0</v>
      </c>
      <c r="G213" s="443">
        <v>0</v>
      </c>
      <c r="H213" s="204">
        <f>IF(ABS(Steel1722125930[[#This Row],[Actual Buyout]])+ABS(Steel1722125930[[#This Row],[Change Orders]])=0,Steel1722125930[[#This Row],[Original Contract]],Steel1722125930[[#This Row],[Actual Buyout]]+Steel1722125930[[#This Row],[Change Orders]])</f>
        <v>0</v>
      </c>
      <c r="I213" s="443">
        <v>0</v>
      </c>
      <c r="J213" s="213">
        <f>Steel1722125930[[#This Row],[Original Contract]]-Steel1722125930[[#This Row],[Revised Contract]]</f>
        <v>0</v>
      </c>
      <c r="K213" s="218"/>
      <c r="L213" s="217"/>
      <c r="M213" s="184"/>
      <c r="T213" s="165"/>
      <c r="U213" s="165"/>
      <c r="Y213" s="166"/>
      <c r="Z213" s="166"/>
    </row>
    <row r="214" spans="1:26" x14ac:dyDescent="0.35">
      <c r="A214" s="201">
        <v>5</v>
      </c>
      <c r="B214" s="202"/>
      <c r="C214" s="202"/>
      <c r="D214" s="580" t="s">
        <v>258</v>
      </c>
      <c r="E214" s="443">
        <v>0</v>
      </c>
      <c r="F214" s="443">
        <v>0</v>
      </c>
      <c r="G214" s="443">
        <v>0</v>
      </c>
      <c r="H214" s="204">
        <f>IF(ABS(Steel1722125930[[#This Row],[Actual Buyout]])+ABS(Steel1722125930[[#This Row],[Change Orders]])=0,Steel1722125930[[#This Row],[Original Contract]],Steel1722125930[[#This Row],[Actual Buyout]]+Steel1722125930[[#This Row],[Change Orders]])</f>
        <v>0</v>
      </c>
      <c r="I214" s="443">
        <v>0</v>
      </c>
      <c r="J214" s="213">
        <f>Steel1722125930[[#This Row],[Original Contract]]-Steel1722125930[[#This Row],[Revised Contract]]</f>
        <v>0</v>
      </c>
      <c r="K214" s="218"/>
      <c r="L214" s="217"/>
      <c r="M214" s="184"/>
      <c r="T214" s="165"/>
      <c r="U214" s="165"/>
      <c r="Y214" s="166"/>
      <c r="Z214" s="166"/>
    </row>
    <row r="215" spans="1:26" x14ac:dyDescent="0.35">
      <c r="A215" s="201">
        <v>5</v>
      </c>
      <c r="B215" s="202"/>
      <c r="C215" s="202"/>
      <c r="D215" s="580" t="s">
        <v>258</v>
      </c>
      <c r="E215" s="443">
        <v>0</v>
      </c>
      <c r="F215" s="443">
        <v>0</v>
      </c>
      <c r="G215" s="443">
        <v>0</v>
      </c>
      <c r="H215" s="204">
        <f>IF(ABS(Steel1722125930[[#This Row],[Actual Buyout]])+ABS(Steel1722125930[[#This Row],[Change Orders]])=0,Steel1722125930[[#This Row],[Original Contract]],Steel1722125930[[#This Row],[Actual Buyout]]+Steel1722125930[[#This Row],[Change Orders]])</f>
        <v>0</v>
      </c>
      <c r="I215" s="443">
        <v>0</v>
      </c>
      <c r="J215" s="213">
        <f>Steel1722125930[[#This Row],[Original Contract]]-Steel1722125930[[#This Row],[Revised Contract]]</f>
        <v>0</v>
      </c>
      <c r="K215" s="218"/>
      <c r="L215" s="217"/>
      <c r="M215" s="184"/>
      <c r="T215" s="165"/>
      <c r="U215" s="165"/>
      <c r="Y215" s="166"/>
      <c r="Z215" s="166"/>
    </row>
    <row r="216" spans="1:26" x14ac:dyDescent="0.35">
      <c r="A216" s="201">
        <v>5</v>
      </c>
      <c r="B216" s="202"/>
      <c r="C216" s="202"/>
      <c r="D216" s="580" t="s">
        <v>258</v>
      </c>
      <c r="E216" s="443">
        <v>0</v>
      </c>
      <c r="F216" s="443">
        <v>0</v>
      </c>
      <c r="G216" s="443">
        <v>0</v>
      </c>
      <c r="H216" s="204">
        <f>IF(ABS(Steel1722125930[[#This Row],[Actual Buyout]])+ABS(Steel1722125930[[#This Row],[Change Orders]])=0,Steel1722125930[[#This Row],[Original Contract]],Steel1722125930[[#This Row],[Actual Buyout]]+Steel1722125930[[#This Row],[Change Orders]])</f>
        <v>0</v>
      </c>
      <c r="I216" s="443">
        <v>0</v>
      </c>
      <c r="J216" s="213">
        <f>Steel1722125930[[#This Row],[Original Contract]]-Steel1722125930[[#This Row],[Revised Contract]]</f>
        <v>0</v>
      </c>
      <c r="K216" s="218"/>
      <c r="L216" s="217"/>
      <c r="M216" s="184"/>
      <c r="T216" s="165"/>
      <c r="U216" s="165"/>
      <c r="Y216" s="166"/>
      <c r="Z216" s="166"/>
    </row>
    <row r="217" spans="1:26" x14ac:dyDescent="0.35">
      <c r="A217" s="201">
        <v>5</v>
      </c>
      <c r="B217" s="202"/>
      <c r="C217" s="202"/>
      <c r="D217" s="580" t="s">
        <v>258</v>
      </c>
      <c r="E217" s="443">
        <v>0</v>
      </c>
      <c r="F217" s="443">
        <v>0</v>
      </c>
      <c r="G217" s="443">
        <v>0</v>
      </c>
      <c r="H217" s="204">
        <f>IF(ABS(Steel1722125930[[#This Row],[Actual Buyout]])+ABS(Steel1722125930[[#This Row],[Change Orders]])=0,Steel1722125930[[#This Row],[Original Contract]],Steel1722125930[[#This Row],[Actual Buyout]]+Steel1722125930[[#This Row],[Change Orders]])</f>
        <v>0</v>
      </c>
      <c r="I217" s="443">
        <v>0</v>
      </c>
      <c r="J217" s="213">
        <f>Steel1722125930[[#This Row],[Original Contract]]-Steel1722125930[[#This Row],[Revised Contract]]</f>
        <v>0</v>
      </c>
      <c r="K217" s="218"/>
      <c r="L217" s="217"/>
      <c r="M217" s="184"/>
      <c r="T217" s="165"/>
      <c r="U217" s="165"/>
      <c r="Y217" s="166"/>
      <c r="Z217" s="166"/>
    </row>
    <row r="218" spans="1:26" x14ac:dyDescent="0.35">
      <c r="A218" s="201">
        <v>5</v>
      </c>
      <c r="B218" s="202"/>
      <c r="C218" s="202"/>
      <c r="D218" s="580" t="s">
        <v>258</v>
      </c>
      <c r="E218" s="443">
        <v>0</v>
      </c>
      <c r="F218" s="443">
        <v>0</v>
      </c>
      <c r="G218" s="443">
        <v>0</v>
      </c>
      <c r="H218" s="204">
        <f>IF(ABS(Steel1722125930[[#This Row],[Actual Buyout]])+ABS(Steel1722125930[[#This Row],[Change Orders]])=0,Steel1722125930[[#This Row],[Original Contract]],Steel1722125930[[#This Row],[Actual Buyout]]+Steel1722125930[[#This Row],[Change Orders]])</f>
        <v>0</v>
      </c>
      <c r="I218" s="443">
        <v>0</v>
      </c>
      <c r="J218" s="213">
        <f>Steel1722125930[[#This Row],[Original Contract]]-Steel1722125930[[#This Row],[Revised Contract]]</f>
        <v>0</v>
      </c>
      <c r="K218" s="218"/>
      <c r="L218" s="217"/>
      <c r="M218" s="184"/>
      <c r="T218" s="165"/>
      <c r="U218" s="165"/>
      <c r="Y218" s="166"/>
      <c r="Z218" s="166"/>
    </row>
    <row r="219" spans="1:26" x14ac:dyDescent="0.35">
      <c r="A219" s="201">
        <v>5</v>
      </c>
      <c r="B219" s="223"/>
      <c r="C219" s="223"/>
      <c r="D219" s="581" t="s">
        <v>258</v>
      </c>
      <c r="E219" s="443">
        <v>0</v>
      </c>
      <c r="F219" s="443">
        <v>0</v>
      </c>
      <c r="G219" s="443">
        <v>0</v>
      </c>
      <c r="H219" s="204">
        <f>IF(ABS(Steel1722125930[[#This Row],[Actual Buyout]])+ABS(Steel1722125930[[#This Row],[Change Orders]])=0,Steel1722125930[[#This Row],[Original Contract]],Steel1722125930[[#This Row],[Actual Buyout]]+Steel1722125930[[#This Row],[Change Orders]])</f>
        <v>0</v>
      </c>
      <c r="I219" s="443">
        <v>0</v>
      </c>
      <c r="J219" s="213">
        <f>Steel1722125930[[#This Row],[Original Contract]]-Steel1722125930[[#This Row],[Revised Contract]]</f>
        <v>0</v>
      </c>
      <c r="K219" s="218"/>
      <c r="L219" s="217"/>
      <c r="M219" s="184"/>
      <c r="T219" s="165"/>
      <c r="U219" s="165"/>
      <c r="Y219" s="166"/>
      <c r="Z219" s="166"/>
    </row>
    <row r="220" spans="1:26" x14ac:dyDescent="0.35">
      <c r="A220" s="201">
        <v>5</v>
      </c>
      <c r="B220" s="223"/>
      <c r="C220" s="223"/>
      <c r="D220" s="581" t="s">
        <v>258</v>
      </c>
      <c r="E220" s="443">
        <v>0</v>
      </c>
      <c r="F220" s="443">
        <v>0</v>
      </c>
      <c r="G220" s="443">
        <v>0</v>
      </c>
      <c r="H220" s="204">
        <f>IF(ABS(Steel1722125930[[#This Row],[Actual Buyout]])+ABS(Steel1722125930[[#This Row],[Change Orders]])=0,Steel1722125930[[#This Row],[Original Contract]],Steel1722125930[[#This Row],[Actual Buyout]]+Steel1722125930[[#This Row],[Change Orders]])</f>
        <v>0</v>
      </c>
      <c r="I220" s="443">
        <v>0</v>
      </c>
      <c r="J220" s="213">
        <f>Steel1722125930[[#This Row],[Original Contract]]-Steel1722125930[[#This Row],[Revised Contract]]</f>
        <v>0</v>
      </c>
      <c r="K220" s="218"/>
      <c r="L220" s="217"/>
      <c r="M220" s="184"/>
      <c r="T220" s="165"/>
      <c r="U220" s="165"/>
      <c r="Y220" s="166"/>
      <c r="Z220" s="166"/>
    </row>
    <row r="221" spans="1:26" x14ac:dyDescent="0.35">
      <c r="A221" s="201">
        <v>5</v>
      </c>
      <c r="B221" s="223"/>
      <c r="C221" s="223"/>
      <c r="D221" s="581" t="s">
        <v>258</v>
      </c>
      <c r="E221" s="443">
        <v>0</v>
      </c>
      <c r="F221" s="443">
        <v>0</v>
      </c>
      <c r="G221" s="443">
        <v>0</v>
      </c>
      <c r="H221" s="204">
        <f>IF(ABS(Steel1722125930[[#This Row],[Actual Buyout]])+ABS(Steel1722125930[[#This Row],[Change Orders]])=0,Steel1722125930[[#This Row],[Original Contract]],Steel1722125930[[#This Row],[Actual Buyout]]+Steel1722125930[[#This Row],[Change Orders]])</f>
        <v>0</v>
      </c>
      <c r="I221" s="443">
        <v>0</v>
      </c>
      <c r="J221" s="213">
        <f>Steel1722125930[[#This Row],[Original Contract]]-Steel1722125930[[#This Row],[Revised Contract]]</f>
        <v>0</v>
      </c>
      <c r="K221" s="218"/>
      <c r="L221" s="217"/>
      <c r="M221" s="184"/>
      <c r="T221" s="165"/>
      <c r="U221" s="165"/>
      <c r="Y221" s="166"/>
      <c r="Z221" s="166"/>
    </row>
    <row r="222" spans="1:26" x14ac:dyDescent="0.35">
      <c r="A222" s="201">
        <v>5</v>
      </c>
      <c r="B222" s="223"/>
      <c r="C222" s="223"/>
      <c r="D222" s="581" t="s">
        <v>258</v>
      </c>
      <c r="E222" s="443">
        <v>0</v>
      </c>
      <c r="F222" s="443">
        <v>0</v>
      </c>
      <c r="G222" s="443">
        <v>0</v>
      </c>
      <c r="H222" s="204">
        <f>IF(ABS(Steel1722125930[[#This Row],[Actual Buyout]])+ABS(Steel1722125930[[#This Row],[Change Orders]])=0,Steel1722125930[[#This Row],[Original Contract]],Steel1722125930[[#This Row],[Actual Buyout]]+Steel1722125930[[#This Row],[Change Orders]])</f>
        <v>0</v>
      </c>
      <c r="I222" s="443">
        <v>0</v>
      </c>
      <c r="J222" s="213">
        <f>Steel1722125930[[#This Row],[Original Contract]]-Steel1722125930[[#This Row],[Revised Contract]]</f>
        <v>0</v>
      </c>
      <c r="K222" s="218"/>
      <c r="L222" s="217"/>
      <c r="M222" s="184"/>
      <c r="T222" s="165"/>
      <c r="U222" s="165"/>
      <c r="Y222" s="166"/>
      <c r="Z222" s="166"/>
    </row>
    <row r="223" spans="1:26" x14ac:dyDescent="0.35">
      <c r="A223" s="219"/>
      <c r="B223" s="220"/>
      <c r="C223" s="220"/>
      <c r="D223" s="208" t="s">
        <v>259</v>
      </c>
      <c r="E223" s="209">
        <f>SUM(Steel1722125930[Original Contract])</f>
        <v>0</v>
      </c>
      <c r="F223" s="209">
        <f>SUM(Steel1722125930[Actual Buyout])</f>
        <v>0</v>
      </c>
      <c r="G223" s="209">
        <f>SUM(Steel1722125930[Change Orders])</f>
        <v>0</v>
      </c>
      <c r="H223" s="209">
        <f>SUM(Steel1722125930[Revised Contract])</f>
        <v>0</v>
      </c>
      <c r="I223" s="209">
        <f>SUM(Steel1722125930[Total completed and Stored])</f>
        <v>0</v>
      </c>
      <c r="J223" s="209">
        <f>SUM(Steel1722125930[Delta])</f>
        <v>0</v>
      </c>
      <c r="K223" s="221"/>
      <c r="L223" s="184"/>
      <c r="M223" s="184"/>
    </row>
    <row r="224" spans="1:26" x14ac:dyDescent="0.35">
      <c r="A224" s="164" t="s">
        <v>129</v>
      </c>
      <c r="B224" s="164" t="s">
        <v>406</v>
      </c>
      <c r="C224" s="164" t="s">
        <v>242</v>
      </c>
      <c r="D224" s="164" t="s">
        <v>243</v>
      </c>
      <c r="E224" s="164" t="s">
        <v>244</v>
      </c>
      <c r="F224" s="198" t="s">
        <v>245</v>
      </c>
      <c r="G224" s="198" t="s">
        <v>246</v>
      </c>
      <c r="H224" s="198" t="s">
        <v>247</v>
      </c>
      <c r="I224" s="211" t="s">
        <v>250</v>
      </c>
      <c r="J224" s="222" t="s">
        <v>249</v>
      </c>
      <c r="K224" s="218"/>
      <c r="L224" s="216"/>
      <c r="M224" s="184"/>
      <c r="T224" s="165"/>
      <c r="U224" s="165"/>
      <c r="Y224" s="166"/>
      <c r="Z224" s="166"/>
    </row>
    <row r="225" spans="1:26" x14ac:dyDescent="0.35">
      <c r="A225" s="201">
        <v>6</v>
      </c>
      <c r="B225" s="202" t="s">
        <v>407</v>
      </c>
      <c r="C225" s="202" t="s">
        <v>408</v>
      </c>
      <c r="D225" s="203" t="s">
        <v>409</v>
      </c>
      <c r="E225" s="443">
        <v>0</v>
      </c>
      <c r="F225" s="443">
        <v>0</v>
      </c>
      <c r="G225" s="443">
        <v>0</v>
      </c>
      <c r="H225" s="204">
        <f>IF(ABS(Carpentry1822226031[[#This Row],[Actual Buyout]])+ABS(Carpentry1822226031[[#This Row],[Change Orders]])=0,Carpentry1822226031[[#This Row],[Original Contract]],Carpentry1822226031[[#This Row],[Actual Buyout]]+Carpentry1822226031[[#This Row],[Change Orders]])</f>
        <v>0</v>
      </c>
      <c r="I225" s="443">
        <v>0</v>
      </c>
      <c r="J225" s="213">
        <f>Carpentry1822226031[[#This Row],[Original Contract]]-Carpentry1822226031[[#This Row],[Revised Contract]]</f>
        <v>0</v>
      </c>
      <c r="K225" s="218"/>
      <c r="L225" s="217"/>
      <c r="M225" s="184"/>
      <c r="T225" s="165"/>
      <c r="U225" s="165"/>
      <c r="Y225" s="166"/>
      <c r="Z225" s="166"/>
    </row>
    <row r="226" spans="1:26" x14ac:dyDescent="0.35">
      <c r="A226" s="201">
        <v>6</v>
      </c>
      <c r="B226" s="202" t="s">
        <v>407</v>
      </c>
      <c r="C226" s="202" t="s">
        <v>408</v>
      </c>
      <c r="D226" s="203" t="s">
        <v>410</v>
      </c>
      <c r="E226" s="443">
        <v>0</v>
      </c>
      <c r="F226" s="443">
        <v>0</v>
      </c>
      <c r="G226" s="443">
        <v>0</v>
      </c>
      <c r="H226" s="204">
        <f>IF(ABS(Carpentry1822226031[[#This Row],[Actual Buyout]])+ABS(Carpentry1822226031[[#This Row],[Change Orders]])=0,Carpentry1822226031[[#This Row],[Original Contract]],Carpentry1822226031[[#This Row],[Actual Buyout]]+Carpentry1822226031[[#This Row],[Change Orders]])</f>
        <v>0</v>
      </c>
      <c r="I226" s="443">
        <v>0</v>
      </c>
      <c r="J226" s="213">
        <f>Carpentry1822226031[[#This Row],[Original Contract]]-Carpentry1822226031[[#This Row],[Revised Contract]]</f>
        <v>0</v>
      </c>
      <c r="K226" s="218"/>
      <c r="L226" s="217"/>
      <c r="M226" s="184"/>
      <c r="T226" s="165"/>
      <c r="U226" s="165"/>
      <c r="Y226" s="166"/>
      <c r="Z226" s="166"/>
    </row>
    <row r="227" spans="1:26" x14ac:dyDescent="0.35">
      <c r="A227" s="201">
        <v>6</v>
      </c>
      <c r="B227" s="202" t="s">
        <v>411</v>
      </c>
      <c r="C227" s="202" t="s">
        <v>412</v>
      </c>
      <c r="D227" s="203" t="s">
        <v>413</v>
      </c>
      <c r="E227" s="443">
        <v>0</v>
      </c>
      <c r="F227" s="443">
        <v>0</v>
      </c>
      <c r="G227" s="443">
        <v>0</v>
      </c>
      <c r="H227" s="204">
        <f>IF(ABS(Carpentry1822226031[[#This Row],[Actual Buyout]])+ABS(Carpentry1822226031[[#This Row],[Change Orders]])=0,Carpentry1822226031[[#This Row],[Original Contract]],Carpentry1822226031[[#This Row],[Actual Buyout]]+Carpentry1822226031[[#This Row],[Change Orders]])</f>
        <v>0</v>
      </c>
      <c r="I227" s="443">
        <v>0</v>
      </c>
      <c r="J227" s="213">
        <f>Carpentry1822226031[[#This Row],[Original Contract]]-Carpentry1822226031[[#This Row],[Revised Contract]]</f>
        <v>0</v>
      </c>
      <c r="K227" s="218"/>
      <c r="L227" s="217"/>
      <c r="M227" s="184"/>
      <c r="T227" s="165"/>
      <c r="U227" s="165"/>
      <c r="Y227" s="166"/>
      <c r="Z227" s="166"/>
    </row>
    <row r="228" spans="1:26" x14ac:dyDescent="0.35">
      <c r="A228" s="201">
        <v>6</v>
      </c>
      <c r="B228" s="202" t="s">
        <v>414</v>
      </c>
      <c r="C228" s="202" t="s">
        <v>415</v>
      </c>
      <c r="D228" s="203" t="s">
        <v>416</v>
      </c>
      <c r="E228" s="443">
        <v>0</v>
      </c>
      <c r="F228" s="443">
        <v>0</v>
      </c>
      <c r="G228" s="443">
        <v>0</v>
      </c>
      <c r="H228" s="204">
        <f>IF(ABS(Carpentry1822226031[[#This Row],[Actual Buyout]])+ABS(Carpentry1822226031[[#This Row],[Change Orders]])=0,Carpentry1822226031[[#This Row],[Original Contract]],Carpentry1822226031[[#This Row],[Actual Buyout]]+Carpentry1822226031[[#This Row],[Change Orders]])</f>
        <v>0</v>
      </c>
      <c r="I228" s="443">
        <v>0</v>
      </c>
      <c r="J228" s="213">
        <f>Carpentry1822226031[[#This Row],[Original Contract]]-Carpentry1822226031[[#This Row],[Revised Contract]]</f>
        <v>0</v>
      </c>
      <c r="K228" s="218"/>
      <c r="L228" s="217"/>
      <c r="M228" s="184"/>
      <c r="T228" s="165"/>
      <c r="U228" s="165"/>
      <c r="Y228" s="166"/>
      <c r="Z228" s="166"/>
    </row>
    <row r="229" spans="1:26" x14ac:dyDescent="0.35">
      <c r="A229" s="201">
        <v>6</v>
      </c>
      <c r="B229" s="202"/>
      <c r="C229" s="202"/>
      <c r="D229" s="580" t="s">
        <v>258</v>
      </c>
      <c r="E229" s="443">
        <v>0</v>
      </c>
      <c r="F229" s="443">
        <v>0</v>
      </c>
      <c r="G229" s="443">
        <v>0</v>
      </c>
      <c r="H229" s="204">
        <f>IF(ABS(Carpentry1822226031[[#This Row],[Actual Buyout]])+ABS(Carpentry1822226031[[#This Row],[Change Orders]])=0,Carpentry1822226031[[#This Row],[Original Contract]],Carpentry1822226031[[#This Row],[Actual Buyout]]+Carpentry1822226031[[#This Row],[Change Orders]])</f>
        <v>0</v>
      </c>
      <c r="I229" s="443">
        <v>0</v>
      </c>
      <c r="J229" s="213">
        <f>Carpentry1822226031[[#This Row],[Original Contract]]-Carpentry1822226031[[#This Row],[Revised Contract]]</f>
        <v>0</v>
      </c>
      <c r="K229" s="218"/>
      <c r="L229" s="217"/>
      <c r="M229" s="184"/>
      <c r="T229" s="165"/>
      <c r="U229" s="165"/>
      <c r="Y229" s="166"/>
      <c r="Z229" s="166"/>
    </row>
    <row r="230" spans="1:26" x14ac:dyDescent="0.35">
      <c r="A230" s="201">
        <v>6</v>
      </c>
      <c r="B230" s="202"/>
      <c r="C230" s="202"/>
      <c r="D230" s="580" t="s">
        <v>258</v>
      </c>
      <c r="E230" s="443">
        <v>0</v>
      </c>
      <c r="F230" s="443">
        <v>0</v>
      </c>
      <c r="G230" s="443">
        <v>0</v>
      </c>
      <c r="H230" s="204">
        <f>IF(ABS(Carpentry1822226031[[#This Row],[Actual Buyout]])+ABS(Carpentry1822226031[[#This Row],[Change Orders]])=0,Carpentry1822226031[[#This Row],[Original Contract]],Carpentry1822226031[[#This Row],[Actual Buyout]]+Carpentry1822226031[[#This Row],[Change Orders]])</f>
        <v>0</v>
      </c>
      <c r="I230" s="443">
        <v>0</v>
      </c>
      <c r="J230" s="213">
        <f>Carpentry1822226031[[#This Row],[Original Contract]]-Carpentry1822226031[[#This Row],[Revised Contract]]</f>
        <v>0</v>
      </c>
      <c r="K230" s="218"/>
      <c r="L230" s="217"/>
      <c r="M230" s="184"/>
      <c r="T230" s="165"/>
      <c r="U230" s="165"/>
      <c r="Y230" s="166"/>
      <c r="Z230" s="166"/>
    </row>
    <row r="231" spans="1:26" x14ac:dyDescent="0.35">
      <c r="A231" s="201">
        <v>6</v>
      </c>
      <c r="B231" s="202"/>
      <c r="C231" s="202"/>
      <c r="D231" s="580" t="s">
        <v>258</v>
      </c>
      <c r="E231" s="443">
        <v>0</v>
      </c>
      <c r="F231" s="443">
        <v>0</v>
      </c>
      <c r="G231" s="443">
        <v>0</v>
      </c>
      <c r="H231" s="204">
        <f>IF(ABS(Carpentry1822226031[[#This Row],[Actual Buyout]])+ABS(Carpentry1822226031[[#This Row],[Change Orders]])=0,Carpentry1822226031[[#This Row],[Original Contract]],Carpentry1822226031[[#This Row],[Actual Buyout]]+Carpentry1822226031[[#This Row],[Change Orders]])</f>
        <v>0</v>
      </c>
      <c r="I231" s="443">
        <v>0</v>
      </c>
      <c r="J231" s="213">
        <f>Carpentry1822226031[[#This Row],[Original Contract]]-Carpentry1822226031[[#This Row],[Revised Contract]]</f>
        <v>0</v>
      </c>
      <c r="K231" s="218"/>
      <c r="L231" s="217"/>
      <c r="M231" s="184"/>
      <c r="T231" s="165"/>
      <c r="U231" s="165"/>
      <c r="Y231" s="166"/>
      <c r="Z231" s="166"/>
    </row>
    <row r="232" spans="1:26" x14ac:dyDescent="0.35">
      <c r="A232" s="201">
        <v>6</v>
      </c>
      <c r="B232" s="202"/>
      <c r="C232" s="202"/>
      <c r="D232" s="580" t="s">
        <v>258</v>
      </c>
      <c r="E232" s="443">
        <v>0</v>
      </c>
      <c r="F232" s="443">
        <v>0</v>
      </c>
      <c r="G232" s="443">
        <v>0</v>
      </c>
      <c r="H232" s="204">
        <f>IF(ABS(Carpentry1822226031[[#This Row],[Actual Buyout]])+ABS(Carpentry1822226031[[#This Row],[Change Orders]])=0,Carpentry1822226031[[#This Row],[Original Contract]],Carpentry1822226031[[#This Row],[Actual Buyout]]+Carpentry1822226031[[#This Row],[Change Orders]])</f>
        <v>0</v>
      </c>
      <c r="I232" s="443">
        <v>0</v>
      </c>
      <c r="J232" s="213">
        <f>Carpentry1822226031[[#This Row],[Original Contract]]-Carpentry1822226031[[#This Row],[Revised Contract]]</f>
        <v>0</v>
      </c>
      <c r="K232" s="218"/>
      <c r="L232" s="217"/>
      <c r="M232" s="184"/>
      <c r="T232" s="165"/>
      <c r="U232" s="165"/>
      <c r="Y232" s="166"/>
      <c r="Z232" s="166"/>
    </row>
    <row r="233" spans="1:26" x14ac:dyDescent="0.35">
      <c r="A233" s="201">
        <v>6</v>
      </c>
      <c r="B233" s="202"/>
      <c r="C233" s="202"/>
      <c r="D233" s="580" t="s">
        <v>258</v>
      </c>
      <c r="E233" s="443">
        <v>0</v>
      </c>
      <c r="F233" s="443">
        <v>0</v>
      </c>
      <c r="G233" s="443">
        <v>0</v>
      </c>
      <c r="H233" s="204">
        <f>IF(ABS(Carpentry1822226031[[#This Row],[Actual Buyout]])+ABS(Carpentry1822226031[[#This Row],[Change Orders]])=0,Carpentry1822226031[[#This Row],[Original Contract]],Carpentry1822226031[[#This Row],[Actual Buyout]]+Carpentry1822226031[[#This Row],[Change Orders]])</f>
        <v>0</v>
      </c>
      <c r="I233" s="443">
        <v>0</v>
      </c>
      <c r="J233" s="213">
        <f>Carpentry1822226031[[#This Row],[Original Contract]]-Carpentry1822226031[[#This Row],[Revised Contract]]</f>
        <v>0</v>
      </c>
      <c r="K233" s="218"/>
      <c r="L233" s="217"/>
      <c r="M233" s="184"/>
      <c r="T233" s="165"/>
      <c r="U233" s="165"/>
      <c r="Y233" s="166"/>
      <c r="Z233" s="166"/>
    </row>
    <row r="234" spans="1:26" x14ac:dyDescent="0.35">
      <c r="A234" s="219"/>
      <c r="B234" s="220"/>
      <c r="C234" s="220"/>
      <c r="D234" s="208" t="s">
        <v>259</v>
      </c>
      <c r="E234" s="209">
        <f>SUM(Carpentry1822226031[Original Contract])</f>
        <v>0</v>
      </c>
      <c r="F234" s="209">
        <f>SUM(Carpentry1822226031[Actual Buyout])</f>
        <v>0</v>
      </c>
      <c r="G234" s="209">
        <f>SUM(Carpentry1822226031[Change Orders])</f>
        <v>0</v>
      </c>
      <c r="H234" s="209">
        <f>SUM(Carpentry1822226031[Revised Contract])</f>
        <v>0</v>
      </c>
      <c r="I234" s="209">
        <f>SUM(Carpentry1822226031[Total completed and Stored])</f>
        <v>0</v>
      </c>
      <c r="J234" s="209">
        <f>SUM(Carpentry1822226031[Delta])</f>
        <v>0</v>
      </c>
      <c r="K234" s="221"/>
      <c r="L234" s="184"/>
      <c r="M234" s="184"/>
    </row>
    <row r="235" spans="1:26" x14ac:dyDescent="0.35">
      <c r="A235" s="164" t="s">
        <v>131</v>
      </c>
      <c r="B235" s="164" t="s">
        <v>132</v>
      </c>
      <c r="C235" s="164" t="s">
        <v>242</v>
      </c>
      <c r="D235" s="164" t="s">
        <v>243</v>
      </c>
      <c r="E235" s="164" t="s">
        <v>244</v>
      </c>
      <c r="F235" s="198" t="s">
        <v>245</v>
      </c>
      <c r="G235" s="198" t="s">
        <v>246</v>
      </c>
      <c r="H235" s="198" t="s">
        <v>247</v>
      </c>
      <c r="I235" s="211" t="s">
        <v>250</v>
      </c>
      <c r="J235" s="222" t="s">
        <v>249</v>
      </c>
      <c r="K235" s="218"/>
      <c r="L235" s="216"/>
      <c r="M235" s="184"/>
      <c r="T235" s="165"/>
      <c r="U235" s="165"/>
      <c r="Y235" s="166"/>
      <c r="Z235" s="166"/>
    </row>
    <row r="236" spans="1:26" x14ac:dyDescent="0.35">
      <c r="A236" s="201">
        <v>7</v>
      </c>
      <c r="B236" s="202" t="s">
        <v>417</v>
      </c>
      <c r="C236" s="202" t="s">
        <v>418</v>
      </c>
      <c r="D236" s="203" t="s">
        <v>419</v>
      </c>
      <c r="E236" s="443">
        <v>0</v>
      </c>
      <c r="F236" s="443">
        <v>0</v>
      </c>
      <c r="G236" s="443">
        <v>0</v>
      </c>
      <c r="H236" s="204">
        <f>IF(ABS(Thermal1922326132[[#This Row],[Actual Buyout]])+ABS(Thermal1922326132[[#This Row],[Change Orders]])=0,Thermal1922326132[[#This Row],[Original Contract]],Thermal1922326132[[#This Row],[Actual Buyout]]+Thermal1922326132[[#This Row],[Change Orders]])</f>
        <v>0</v>
      </c>
      <c r="I236" s="443">
        <v>0</v>
      </c>
      <c r="J236" s="213">
        <f>Thermal1922326132[[#This Row],[Original Contract]]-Thermal1922326132[[#This Row],[Revised Contract]]</f>
        <v>0</v>
      </c>
      <c r="K236" s="218"/>
      <c r="L236" s="217"/>
      <c r="M236" s="184"/>
      <c r="T236" s="165"/>
      <c r="U236" s="165"/>
      <c r="Y236" s="166"/>
      <c r="Z236" s="166"/>
    </row>
    <row r="237" spans="1:26" x14ac:dyDescent="0.35">
      <c r="A237" s="201">
        <v>7</v>
      </c>
      <c r="B237" s="202" t="s">
        <v>417</v>
      </c>
      <c r="C237" s="202" t="s">
        <v>418</v>
      </c>
      <c r="D237" s="203" t="s">
        <v>420</v>
      </c>
      <c r="E237" s="443">
        <v>0</v>
      </c>
      <c r="F237" s="443">
        <v>0</v>
      </c>
      <c r="G237" s="443">
        <v>0</v>
      </c>
      <c r="H237" s="204">
        <f>IF(ABS(Thermal1922326132[[#This Row],[Actual Buyout]])+ABS(Thermal1922326132[[#This Row],[Change Orders]])=0,Thermal1922326132[[#This Row],[Original Contract]],Thermal1922326132[[#This Row],[Actual Buyout]]+Thermal1922326132[[#This Row],[Change Orders]])</f>
        <v>0</v>
      </c>
      <c r="I237" s="443">
        <v>0</v>
      </c>
      <c r="J237" s="213">
        <f>Thermal1922326132[[#This Row],[Original Contract]]-Thermal1922326132[[#This Row],[Revised Contract]]</f>
        <v>0</v>
      </c>
      <c r="K237" s="218"/>
      <c r="L237" s="217"/>
      <c r="M237" s="184"/>
      <c r="T237" s="165"/>
      <c r="U237" s="165"/>
      <c r="Y237" s="166"/>
      <c r="Z237" s="166"/>
    </row>
    <row r="238" spans="1:26" x14ac:dyDescent="0.35">
      <c r="A238" s="201">
        <v>7</v>
      </c>
      <c r="B238" s="202" t="s">
        <v>417</v>
      </c>
      <c r="C238" s="202" t="s">
        <v>418</v>
      </c>
      <c r="D238" s="203" t="s">
        <v>421</v>
      </c>
      <c r="E238" s="443">
        <v>0</v>
      </c>
      <c r="F238" s="443">
        <v>0</v>
      </c>
      <c r="G238" s="443">
        <v>0</v>
      </c>
      <c r="H238" s="204">
        <f>IF(ABS(Thermal1922326132[[#This Row],[Actual Buyout]])+ABS(Thermal1922326132[[#This Row],[Change Orders]])=0,Thermal1922326132[[#This Row],[Original Contract]],Thermal1922326132[[#This Row],[Actual Buyout]]+Thermal1922326132[[#This Row],[Change Orders]])</f>
        <v>0</v>
      </c>
      <c r="I238" s="443">
        <v>0</v>
      </c>
      <c r="J238" s="213">
        <f>Thermal1922326132[[#This Row],[Original Contract]]-Thermal1922326132[[#This Row],[Revised Contract]]</f>
        <v>0</v>
      </c>
      <c r="K238" s="218"/>
      <c r="L238" s="217"/>
      <c r="M238" s="184"/>
      <c r="T238" s="165"/>
      <c r="U238" s="165"/>
      <c r="Y238" s="166"/>
      <c r="Z238" s="166"/>
    </row>
    <row r="239" spans="1:26" x14ac:dyDescent="0.35">
      <c r="A239" s="201">
        <v>7</v>
      </c>
      <c r="B239" s="202" t="s">
        <v>417</v>
      </c>
      <c r="C239" s="202" t="s">
        <v>418</v>
      </c>
      <c r="D239" s="203" t="s">
        <v>422</v>
      </c>
      <c r="E239" s="443">
        <v>0</v>
      </c>
      <c r="F239" s="443">
        <v>0</v>
      </c>
      <c r="G239" s="443">
        <v>0</v>
      </c>
      <c r="H239" s="204">
        <f>IF(ABS(Thermal1922326132[[#This Row],[Actual Buyout]])+ABS(Thermal1922326132[[#This Row],[Change Orders]])=0,Thermal1922326132[[#This Row],[Original Contract]],Thermal1922326132[[#This Row],[Actual Buyout]]+Thermal1922326132[[#This Row],[Change Orders]])</f>
        <v>0</v>
      </c>
      <c r="I239" s="443">
        <v>0</v>
      </c>
      <c r="J239" s="213">
        <f>Thermal1922326132[[#This Row],[Original Contract]]-Thermal1922326132[[#This Row],[Revised Contract]]</f>
        <v>0</v>
      </c>
      <c r="K239" s="218"/>
      <c r="L239" s="217"/>
      <c r="M239" s="184"/>
      <c r="T239" s="165"/>
      <c r="U239" s="165"/>
      <c r="Y239" s="166"/>
      <c r="Z239" s="166"/>
    </row>
    <row r="240" spans="1:26" x14ac:dyDescent="0.35">
      <c r="A240" s="201">
        <v>7</v>
      </c>
      <c r="B240" s="202" t="s">
        <v>423</v>
      </c>
      <c r="C240" s="202" t="s">
        <v>424</v>
      </c>
      <c r="D240" s="203" t="s">
        <v>425</v>
      </c>
      <c r="E240" s="443">
        <v>0</v>
      </c>
      <c r="F240" s="443">
        <v>0</v>
      </c>
      <c r="G240" s="443">
        <v>0</v>
      </c>
      <c r="H240" s="204">
        <f>IF(ABS(Thermal1922326132[[#This Row],[Actual Buyout]])+ABS(Thermal1922326132[[#This Row],[Change Orders]])=0,Thermal1922326132[[#This Row],[Original Contract]],Thermal1922326132[[#This Row],[Actual Buyout]]+Thermal1922326132[[#This Row],[Change Orders]])</f>
        <v>0</v>
      </c>
      <c r="I240" s="443">
        <v>0</v>
      </c>
      <c r="J240" s="213">
        <f>Thermal1922326132[[#This Row],[Original Contract]]-Thermal1922326132[[#This Row],[Revised Contract]]</f>
        <v>0</v>
      </c>
      <c r="K240" s="218"/>
      <c r="L240" s="217"/>
      <c r="M240" s="184"/>
      <c r="T240" s="165"/>
      <c r="U240" s="165"/>
      <c r="Y240" s="166"/>
      <c r="Z240" s="166"/>
    </row>
    <row r="241" spans="1:26" x14ac:dyDescent="0.35">
      <c r="A241" s="201">
        <v>7</v>
      </c>
      <c r="B241" s="202" t="s">
        <v>426</v>
      </c>
      <c r="C241" s="202" t="s">
        <v>427</v>
      </c>
      <c r="D241" s="203" t="s">
        <v>428</v>
      </c>
      <c r="E241" s="443">
        <v>0</v>
      </c>
      <c r="F241" s="443">
        <v>0</v>
      </c>
      <c r="G241" s="443">
        <v>0</v>
      </c>
      <c r="H241" s="204">
        <f>IF(ABS(Thermal1922326132[[#This Row],[Actual Buyout]])+ABS(Thermal1922326132[[#This Row],[Change Orders]])=0,Thermal1922326132[[#This Row],[Original Contract]],Thermal1922326132[[#This Row],[Actual Buyout]]+Thermal1922326132[[#This Row],[Change Orders]])</f>
        <v>0</v>
      </c>
      <c r="I241" s="443">
        <v>0</v>
      </c>
      <c r="J241" s="213">
        <f>Thermal1922326132[[#This Row],[Original Contract]]-Thermal1922326132[[#This Row],[Revised Contract]]</f>
        <v>0</v>
      </c>
      <c r="K241" s="218"/>
      <c r="L241" s="217"/>
      <c r="M241" s="184"/>
      <c r="T241" s="165"/>
      <c r="U241" s="165"/>
      <c r="Y241" s="166"/>
      <c r="Z241" s="166"/>
    </row>
    <row r="242" spans="1:26" x14ac:dyDescent="0.35">
      <c r="A242" s="201">
        <v>7</v>
      </c>
      <c r="B242" s="202" t="s">
        <v>423</v>
      </c>
      <c r="C242" s="202" t="s">
        <v>429</v>
      </c>
      <c r="D242" s="203" t="s">
        <v>430</v>
      </c>
      <c r="E242" s="443">
        <v>0</v>
      </c>
      <c r="F242" s="443">
        <v>0</v>
      </c>
      <c r="G242" s="443">
        <v>0</v>
      </c>
      <c r="H242" s="204">
        <f>IF(ABS(Thermal1922326132[[#This Row],[Actual Buyout]])+ABS(Thermal1922326132[[#This Row],[Change Orders]])=0,Thermal1922326132[[#This Row],[Original Contract]],Thermal1922326132[[#This Row],[Actual Buyout]]+Thermal1922326132[[#This Row],[Change Orders]])</f>
        <v>0</v>
      </c>
      <c r="I242" s="443">
        <v>0</v>
      </c>
      <c r="J242" s="213">
        <f>Thermal1922326132[[#This Row],[Original Contract]]-Thermal1922326132[[#This Row],[Revised Contract]]</f>
        <v>0</v>
      </c>
      <c r="K242" s="218"/>
      <c r="L242" s="217"/>
      <c r="M242" s="184"/>
      <c r="T242" s="165"/>
      <c r="U242" s="165"/>
      <c r="Y242" s="166"/>
      <c r="Z242" s="166"/>
    </row>
    <row r="243" spans="1:26" x14ac:dyDescent="0.35">
      <c r="A243" s="201">
        <v>7</v>
      </c>
      <c r="B243" s="202" t="s">
        <v>431</v>
      </c>
      <c r="C243" s="202" t="s">
        <v>432</v>
      </c>
      <c r="D243" s="203" t="s">
        <v>433</v>
      </c>
      <c r="E243" s="443">
        <v>0</v>
      </c>
      <c r="F243" s="443">
        <v>0</v>
      </c>
      <c r="G243" s="443">
        <v>0</v>
      </c>
      <c r="H243" s="204">
        <f>IF(ABS(Thermal1922326132[[#This Row],[Actual Buyout]])+ABS(Thermal1922326132[[#This Row],[Change Orders]])=0,Thermal1922326132[[#This Row],[Original Contract]],Thermal1922326132[[#This Row],[Actual Buyout]]+Thermal1922326132[[#This Row],[Change Orders]])</f>
        <v>0</v>
      </c>
      <c r="I243" s="443">
        <v>0</v>
      </c>
      <c r="J243" s="213">
        <f>Thermal1922326132[[#This Row],[Original Contract]]-Thermal1922326132[[#This Row],[Revised Contract]]</f>
        <v>0</v>
      </c>
      <c r="K243" s="218"/>
      <c r="L243" s="217"/>
      <c r="M243" s="184"/>
      <c r="T243" s="165"/>
      <c r="U243" s="165"/>
      <c r="Y243" s="166"/>
      <c r="Z243" s="166"/>
    </row>
    <row r="244" spans="1:26" x14ac:dyDescent="0.35">
      <c r="A244" s="201">
        <v>7</v>
      </c>
      <c r="B244" s="202"/>
      <c r="C244" s="202"/>
      <c r="D244" s="580" t="s">
        <v>258</v>
      </c>
      <c r="E244" s="443">
        <v>0</v>
      </c>
      <c r="F244" s="443">
        <v>0</v>
      </c>
      <c r="G244" s="443">
        <v>0</v>
      </c>
      <c r="H244" s="204">
        <f>IF(ABS(Thermal1922326132[[#This Row],[Actual Buyout]])+ABS(Thermal1922326132[[#This Row],[Change Orders]])=0,Thermal1922326132[[#This Row],[Original Contract]],Thermal1922326132[[#This Row],[Actual Buyout]]+Thermal1922326132[[#This Row],[Change Orders]])</f>
        <v>0</v>
      </c>
      <c r="I244" s="443">
        <v>0</v>
      </c>
      <c r="J244" s="213">
        <f>Thermal1922326132[[#This Row],[Original Contract]]-Thermal1922326132[[#This Row],[Revised Contract]]</f>
        <v>0</v>
      </c>
      <c r="K244" s="218"/>
      <c r="L244" s="217"/>
      <c r="M244" s="184"/>
      <c r="T244" s="165"/>
      <c r="U244" s="165"/>
      <c r="Y244" s="166"/>
      <c r="Z244" s="166"/>
    </row>
    <row r="245" spans="1:26" x14ac:dyDescent="0.35">
      <c r="A245" s="201">
        <v>7</v>
      </c>
      <c r="B245" s="202"/>
      <c r="C245" s="202"/>
      <c r="D245" s="580" t="s">
        <v>258</v>
      </c>
      <c r="E245" s="443">
        <v>0</v>
      </c>
      <c r="F245" s="443">
        <v>0</v>
      </c>
      <c r="G245" s="443">
        <v>0</v>
      </c>
      <c r="H245" s="204">
        <f>IF(ABS(Thermal1922326132[[#This Row],[Actual Buyout]])+ABS(Thermal1922326132[[#This Row],[Change Orders]])=0,Thermal1922326132[[#This Row],[Original Contract]],Thermal1922326132[[#This Row],[Actual Buyout]]+Thermal1922326132[[#This Row],[Change Orders]])</f>
        <v>0</v>
      </c>
      <c r="I245" s="443">
        <v>0</v>
      </c>
      <c r="J245" s="213">
        <f>Thermal1922326132[[#This Row],[Original Contract]]-Thermal1922326132[[#This Row],[Revised Contract]]</f>
        <v>0</v>
      </c>
      <c r="K245" s="218"/>
      <c r="L245" s="217"/>
      <c r="M245" s="184"/>
      <c r="T245" s="165"/>
      <c r="U245" s="165"/>
      <c r="Y245" s="166"/>
      <c r="Z245" s="166"/>
    </row>
    <row r="246" spans="1:26" x14ac:dyDescent="0.35">
      <c r="A246" s="201">
        <v>7</v>
      </c>
      <c r="B246" s="202"/>
      <c r="C246" s="202"/>
      <c r="D246" s="580" t="s">
        <v>258</v>
      </c>
      <c r="E246" s="443">
        <v>0</v>
      </c>
      <c r="F246" s="443">
        <v>0</v>
      </c>
      <c r="G246" s="443">
        <v>0</v>
      </c>
      <c r="H246" s="204">
        <f>IF(ABS(Thermal1922326132[[#This Row],[Actual Buyout]])+ABS(Thermal1922326132[[#This Row],[Change Orders]])=0,Thermal1922326132[[#This Row],[Original Contract]],Thermal1922326132[[#This Row],[Actual Buyout]]+Thermal1922326132[[#This Row],[Change Orders]])</f>
        <v>0</v>
      </c>
      <c r="I246" s="443">
        <v>0</v>
      </c>
      <c r="J246" s="213">
        <f>Thermal1922326132[[#This Row],[Original Contract]]-Thermal1922326132[[#This Row],[Revised Contract]]</f>
        <v>0</v>
      </c>
      <c r="K246" s="218"/>
      <c r="L246" s="217"/>
      <c r="M246" s="184"/>
      <c r="T246" s="165"/>
      <c r="U246" s="165"/>
      <c r="Y246" s="166"/>
      <c r="Z246" s="166"/>
    </row>
    <row r="247" spans="1:26" x14ac:dyDescent="0.35">
      <c r="A247" s="201">
        <v>7</v>
      </c>
      <c r="B247" s="202"/>
      <c r="C247" s="202"/>
      <c r="D247" s="580" t="s">
        <v>258</v>
      </c>
      <c r="E247" s="443">
        <v>0</v>
      </c>
      <c r="F247" s="443">
        <v>0</v>
      </c>
      <c r="G247" s="443">
        <v>0</v>
      </c>
      <c r="H247" s="204">
        <f>IF(ABS(Thermal1922326132[[#This Row],[Actual Buyout]])+ABS(Thermal1922326132[[#This Row],[Change Orders]])=0,Thermal1922326132[[#This Row],[Original Contract]],Thermal1922326132[[#This Row],[Actual Buyout]]+Thermal1922326132[[#This Row],[Change Orders]])</f>
        <v>0</v>
      </c>
      <c r="I247" s="443">
        <v>0</v>
      </c>
      <c r="J247" s="213">
        <f>Thermal1922326132[[#This Row],[Original Contract]]-Thermal1922326132[[#This Row],[Revised Contract]]</f>
        <v>0</v>
      </c>
      <c r="K247" s="218"/>
      <c r="L247" s="217"/>
      <c r="M247" s="184"/>
      <c r="T247" s="165"/>
      <c r="U247" s="165"/>
      <c r="Y247" s="166"/>
      <c r="Z247" s="166"/>
    </row>
    <row r="248" spans="1:26" x14ac:dyDescent="0.35">
      <c r="A248" s="201">
        <v>7</v>
      </c>
      <c r="B248" s="202"/>
      <c r="C248" s="202"/>
      <c r="D248" s="580" t="s">
        <v>258</v>
      </c>
      <c r="E248" s="443">
        <v>0</v>
      </c>
      <c r="F248" s="443">
        <v>0</v>
      </c>
      <c r="G248" s="443">
        <v>0</v>
      </c>
      <c r="H248" s="204">
        <f>IF(ABS(Thermal1922326132[[#This Row],[Actual Buyout]])+ABS(Thermal1922326132[[#This Row],[Change Orders]])=0,Thermal1922326132[[#This Row],[Original Contract]],Thermal1922326132[[#This Row],[Actual Buyout]]+Thermal1922326132[[#This Row],[Change Orders]])</f>
        <v>0</v>
      </c>
      <c r="I248" s="443">
        <v>0</v>
      </c>
      <c r="J248" s="213">
        <f>Thermal1922326132[[#This Row],[Original Contract]]-Thermal1922326132[[#This Row],[Revised Contract]]</f>
        <v>0</v>
      </c>
      <c r="K248" s="218"/>
      <c r="L248" s="217"/>
      <c r="M248" s="184"/>
      <c r="T248" s="165"/>
      <c r="U248" s="165"/>
      <c r="Y248" s="166"/>
      <c r="Z248" s="166"/>
    </row>
    <row r="249" spans="1:26" x14ac:dyDescent="0.35">
      <c r="A249" s="219"/>
      <c r="B249" s="220"/>
      <c r="C249" s="220"/>
      <c r="D249" s="208" t="s">
        <v>259</v>
      </c>
      <c r="E249" s="209">
        <f>SUM(Thermal1922326132[Original Contract])</f>
        <v>0</v>
      </c>
      <c r="F249" s="209">
        <f>SUM(Thermal1922326132[Actual Buyout])</f>
        <v>0</v>
      </c>
      <c r="G249" s="209">
        <f>SUM(Thermal1922326132[Change Orders])</f>
        <v>0</v>
      </c>
      <c r="H249" s="209">
        <f>SUM(Thermal1922326132[Revised Contract])</f>
        <v>0</v>
      </c>
      <c r="I249" s="209">
        <f>SUM(Thermal1922326132[Total completed and Stored])</f>
        <v>0</v>
      </c>
      <c r="J249" s="209">
        <f>SUM(Thermal1922326132[Delta])</f>
        <v>0</v>
      </c>
      <c r="K249" s="221"/>
      <c r="L249" s="184"/>
      <c r="M249" s="184"/>
    </row>
    <row r="250" spans="1:26" x14ac:dyDescent="0.35">
      <c r="A250" s="164" t="s">
        <v>131</v>
      </c>
      <c r="B250" s="164" t="s">
        <v>434</v>
      </c>
      <c r="C250" s="164" t="s">
        <v>242</v>
      </c>
      <c r="D250" s="164" t="s">
        <v>243</v>
      </c>
      <c r="E250" s="164" t="s">
        <v>244</v>
      </c>
      <c r="F250" s="198" t="s">
        <v>245</v>
      </c>
      <c r="G250" s="198" t="s">
        <v>246</v>
      </c>
      <c r="H250" s="198" t="s">
        <v>247</v>
      </c>
      <c r="I250" s="211" t="s">
        <v>250</v>
      </c>
      <c r="J250" s="222" t="s">
        <v>249</v>
      </c>
      <c r="K250" s="218"/>
      <c r="L250" s="216"/>
      <c r="M250" s="184"/>
      <c r="T250" s="165"/>
      <c r="U250" s="165"/>
      <c r="Y250" s="166"/>
      <c r="Z250" s="166"/>
    </row>
    <row r="251" spans="1:26" x14ac:dyDescent="0.35">
      <c r="A251" s="201">
        <v>7</v>
      </c>
      <c r="B251" s="202" t="s">
        <v>435</v>
      </c>
      <c r="C251" s="202" t="s">
        <v>436</v>
      </c>
      <c r="D251" s="203" t="s">
        <v>435</v>
      </c>
      <c r="E251" s="443">
        <v>0</v>
      </c>
      <c r="F251" s="443">
        <v>0</v>
      </c>
      <c r="G251" s="443">
        <v>0</v>
      </c>
      <c r="H251" s="204">
        <f>IF(ABS(Sealant2022426233[[#This Row],[Actual Buyout]])+ABS(Sealant2022426233[[#This Row],[Change Orders]])=0,Sealant2022426233[[#This Row],[Original Contract]],Sealant2022426233[[#This Row],[Actual Buyout]]+Sealant2022426233[[#This Row],[Change Orders]])</f>
        <v>0</v>
      </c>
      <c r="I251" s="443">
        <v>0</v>
      </c>
      <c r="J251" s="213">
        <f>Sealant2022426233[[#This Row],[Original Contract]]-Sealant2022426233[[#This Row],[Revised Contract]]</f>
        <v>0</v>
      </c>
      <c r="K251" s="218"/>
      <c r="L251" s="217"/>
      <c r="M251" s="184"/>
      <c r="T251" s="165"/>
      <c r="U251" s="165"/>
      <c r="Y251" s="166"/>
      <c r="Z251" s="166"/>
    </row>
    <row r="252" spans="1:26" x14ac:dyDescent="0.35">
      <c r="A252" s="201">
        <v>7</v>
      </c>
      <c r="B252" s="202" t="s">
        <v>437</v>
      </c>
      <c r="C252" s="202" t="s">
        <v>438</v>
      </c>
      <c r="D252" s="203" t="s">
        <v>437</v>
      </c>
      <c r="E252" s="443">
        <v>0</v>
      </c>
      <c r="F252" s="443">
        <v>0</v>
      </c>
      <c r="G252" s="443">
        <v>0</v>
      </c>
      <c r="H252" s="204">
        <f>IF(ABS(Sealant2022426233[[#This Row],[Actual Buyout]])+ABS(Sealant2022426233[[#This Row],[Change Orders]])=0,Sealant2022426233[[#This Row],[Original Contract]],Sealant2022426233[[#This Row],[Actual Buyout]]+Sealant2022426233[[#This Row],[Change Orders]])</f>
        <v>0</v>
      </c>
      <c r="I252" s="443">
        <v>0</v>
      </c>
      <c r="J252" s="213">
        <f>Sealant2022426233[[#This Row],[Original Contract]]-Sealant2022426233[[#This Row],[Revised Contract]]</f>
        <v>0</v>
      </c>
      <c r="K252" s="218"/>
      <c r="L252" s="217"/>
      <c r="M252" s="184"/>
      <c r="T252" s="165"/>
      <c r="U252" s="165"/>
      <c r="Y252" s="166"/>
      <c r="Z252" s="166"/>
    </row>
    <row r="253" spans="1:26" x14ac:dyDescent="0.35">
      <c r="A253" s="201">
        <v>7</v>
      </c>
      <c r="B253" s="202" t="s">
        <v>439</v>
      </c>
      <c r="C253" s="202" t="s">
        <v>440</v>
      </c>
      <c r="D253" s="203" t="s">
        <v>441</v>
      </c>
      <c r="E253" s="443">
        <v>0</v>
      </c>
      <c r="F253" s="443">
        <v>0</v>
      </c>
      <c r="G253" s="443">
        <v>0</v>
      </c>
      <c r="H253" s="204">
        <f>IF(ABS(Sealant2022426233[[#This Row],[Actual Buyout]])+ABS(Sealant2022426233[[#This Row],[Change Orders]])=0,Sealant2022426233[[#This Row],[Original Contract]],Sealant2022426233[[#This Row],[Actual Buyout]]+Sealant2022426233[[#This Row],[Change Orders]])</f>
        <v>0</v>
      </c>
      <c r="I253" s="443">
        <v>0</v>
      </c>
      <c r="J253" s="213">
        <f>Sealant2022426233[[#This Row],[Original Contract]]-Sealant2022426233[[#This Row],[Revised Contract]]</f>
        <v>0</v>
      </c>
      <c r="K253" s="218"/>
      <c r="L253" s="217"/>
      <c r="M253" s="184"/>
      <c r="T253" s="165"/>
      <c r="U253" s="165"/>
      <c r="Y253" s="166"/>
      <c r="Z253" s="166"/>
    </row>
    <row r="254" spans="1:26" x14ac:dyDescent="0.35">
      <c r="A254" s="201">
        <v>7</v>
      </c>
      <c r="B254" s="202" t="s">
        <v>439</v>
      </c>
      <c r="C254" s="202" t="s">
        <v>440</v>
      </c>
      <c r="D254" s="203" t="s">
        <v>442</v>
      </c>
      <c r="E254" s="443">
        <v>0</v>
      </c>
      <c r="F254" s="443">
        <v>0</v>
      </c>
      <c r="G254" s="443">
        <v>0</v>
      </c>
      <c r="H254" s="204">
        <f>IF(ABS(Sealant2022426233[[#This Row],[Actual Buyout]])+ABS(Sealant2022426233[[#This Row],[Change Orders]])=0,Sealant2022426233[[#This Row],[Original Contract]],Sealant2022426233[[#This Row],[Actual Buyout]]+Sealant2022426233[[#This Row],[Change Orders]])</f>
        <v>0</v>
      </c>
      <c r="I254" s="443">
        <v>0</v>
      </c>
      <c r="J254" s="213">
        <f>Sealant2022426233[[#This Row],[Original Contract]]-Sealant2022426233[[#This Row],[Revised Contract]]</f>
        <v>0</v>
      </c>
      <c r="K254" s="218"/>
      <c r="L254" s="217"/>
      <c r="M254" s="184"/>
      <c r="T254" s="165"/>
      <c r="U254" s="165"/>
      <c r="Y254" s="166"/>
      <c r="Z254" s="166"/>
    </row>
    <row r="255" spans="1:26" x14ac:dyDescent="0.35">
      <c r="A255" s="201">
        <v>7</v>
      </c>
      <c r="B255" s="202" t="s">
        <v>439</v>
      </c>
      <c r="C255" s="202" t="s">
        <v>440</v>
      </c>
      <c r="D255" s="203" t="s">
        <v>443</v>
      </c>
      <c r="E255" s="443">
        <v>0</v>
      </c>
      <c r="F255" s="443">
        <v>0</v>
      </c>
      <c r="G255" s="443">
        <v>0</v>
      </c>
      <c r="H255" s="204">
        <f>IF(ABS(Sealant2022426233[[#This Row],[Actual Buyout]])+ABS(Sealant2022426233[[#This Row],[Change Orders]])=0,Sealant2022426233[[#This Row],[Original Contract]],Sealant2022426233[[#This Row],[Actual Buyout]]+Sealant2022426233[[#This Row],[Change Orders]])</f>
        <v>0</v>
      </c>
      <c r="I255" s="443">
        <v>0</v>
      </c>
      <c r="J255" s="213">
        <f>Sealant2022426233[[#This Row],[Original Contract]]-Sealant2022426233[[#This Row],[Revised Contract]]</f>
        <v>0</v>
      </c>
      <c r="K255" s="218"/>
      <c r="L255" s="217"/>
      <c r="M255" s="184"/>
      <c r="T255" s="165"/>
      <c r="U255" s="165"/>
      <c r="Y255" s="166"/>
      <c r="Z255" s="166"/>
    </row>
    <row r="256" spans="1:26" x14ac:dyDescent="0.35">
      <c r="A256" s="201">
        <v>7</v>
      </c>
      <c r="B256" s="202" t="s">
        <v>444</v>
      </c>
      <c r="C256" s="202" t="s">
        <v>445</v>
      </c>
      <c r="D256" s="203" t="s">
        <v>446</v>
      </c>
      <c r="E256" s="443">
        <v>0</v>
      </c>
      <c r="F256" s="443">
        <v>0</v>
      </c>
      <c r="G256" s="443">
        <v>0</v>
      </c>
      <c r="H256" s="204">
        <f>IF(ABS(Sealant2022426233[[#This Row],[Actual Buyout]])+ABS(Sealant2022426233[[#This Row],[Change Orders]])=0,Sealant2022426233[[#This Row],[Original Contract]],Sealant2022426233[[#This Row],[Actual Buyout]]+Sealant2022426233[[#This Row],[Change Orders]])</f>
        <v>0</v>
      </c>
      <c r="I256" s="443">
        <v>0</v>
      </c>
      <c r="J256" s="213">
        <f>Sealant2022426233[[#This Row],[Original Contract]]-Sealant2022426233[[#This Row],[Revised Contract]]</f>
        <v>0</v>
      </c>
      <c r="K256" s="218"/>
      <c r="L256" s="217"/>
      <c r="M256" s="184"/>
      <c r="T256" s="165"/>
      <c r="U256" s="165"/>
      <c r="Y256" s="166"/>
      <c r="Z256" s="166"/>
    </row>
    <row r="257" spans="1:26" x14ac:dyDescent="0.35">
      <c r="A257" s="201">
        <v>7</v>
      </c>
      <c r="B257" s="202" t="s">
        <v>439</v>
      </c>
      <c r="C257" s="202" t="s">
        <v>440</v>
      </c>
      <c r="D257" s="203" t="s">
        <v>447</v>
      </c>
      <c r="E257" s="443">
        <v>0</v>
      </c>
      <c r="F257" s="443">
        <v>0</v>
      </c>
      <c r="G257" s="443">
        <v>0</v>
      </c>
      <c r="H257" s="204">
        <f>IF(ABS(Sealant2022426233[[#This Row],[Actual Buyout]])+ABS(Sealant2022426233[[#This Row],[Change Orders]])=0,Sealant2022426233[[#This Row],[Original Contract]],Sealant2022426233[[#This Row],[Actual Buyout]]+Sealant2022426233[[#This Row],[Change Orders]])</f>
        <v>0</v>
      </c>
      <c r="I257" s="443">
        <v>0</v>
      </c>
      <c r="J257" s="213">
        <f>Sealant2022426233[[#This Row],[Original Contract]]-Sealant2022426233[[#This Row],[Revised Contract]]</f>
        <v>0</v>
      </c>
      <c r="K257" s="218"/>
      <c r="L257" s="217"/>
      <c r="M257" s="184"/>
      <c r="T257" s="165"/>
      <c r="U257" s="165"/>
      <c r="Y257" s="166"/>
      <c r="Z257" s="166"/>
    </row>
    <row r="258" spans="1:26" x14ac:dyDescent="0.35">
      <c r="A258" s="201">
        <v>7</v>
      </c>
      <c r="B258" s="202"/>
      <c r="C258" s="202"/>
      <c r="D258" s="203" t="s">
        <v>448</v>
      </c>
      <c r="E258" s="443">
        <v>0</v>
      </c>
      <c r="F258" s="443">
        <v>0</v>
      </c>
      <c r="G258" s="443">
        <v>0</v>
      </c>
      <c r="H258" s="204">
        <f>IF(ABS(Sealant2022426233[[#This Row],[Actual Buyout]])+ABS(Sealant2022426233[[#This Row],[Change Orders]])=0,Sealant2022426233[[#This Row],[Original Contract]],Sealant2022426233[[#This Row],[Actual Buyout]]+Sealant2022426233[[#This Row],[Change Orders]])</f>
        <v>0</v>
      </c>
      <c r="I258" s="443">
        <v>0</v>
      </c>
      <c r="J258" s="213">
        <f>Sealant2022426233[[#This Row],[Original Contract]]-Sealant2022426233[[#This Row],[Revised Contract]]</f>
        <v>0</v>
      </c>
      <c r="K258" s="218"/>
      <c r="L258" s="217"/>
      <c r="M258" s="184"/>
      <c r="T258" s="165"/>
      <c r="U258" s="165"/>
      <c r="Y258" s="166"/>
      <c r="Z258" s="166"/>
    </row>
    <row r="259" spans="1:26" x14ac:dyDescent="0.35">
      <c r="A259" s="201">
        <v>7</v>
      </c>
      <c r="B259" s="202"/>
      <c r="C259" s="202"/>
      <c r="D259" s="580" t="s">
        <v>258</v>
      </c>
      <c r="E259" s="443">
        <v>0</v>
      </c>
      <c r="F259" s="443">
        <v>0</v>
      </c>
      <c r="G259" s="443">
        <v>0</v>
      </c>
      <c r="H259" s="204">
        <f>IF(ABS(Sealant2022426233[[#This Row],[Actual Buyout]])+ABS(Sealant2022426233[[#This Row],[Change Orders]])=0,Sealant2022426233[[#This Row],[Original Contract]],Sealant2022426233[[#This Row],[Actual Buyout]]+Sealant2022426233[[#This Row],[Change Orders]])</f>
        <v>0</v>
      </c>
      <c r="I259" s="443">
        <v>0</v>
      </c>
      <c r="J259" s="213">
        <f>Sealant2022426233[[#This Row],[Original Contract]]-Sealant2022426233[[#This Row],[Revised Contract]]</f>
        <v>0</v>
      </c>
      <c r="K259" s="218"/>
      <c r="L259" s="217"/>
      <c r="M259" s="184"/>
      <c r="T259" s="165"/>
      <c r="U259" s="165"/>
      <c r="Y259" s="166"/>
      <c r="Z259" s="166"/>
    </row>
    <row r="260" spans="1:26" x14ac:dyDescent="0.35">
      <c r="A260" s="201">
        <v>7</v>
      </c>
      <c r="B260" s="202"/>
      <c r="C260" s="202"/>
      <c r="D260" s="580" t="s">
        <v>258</v>
      </c>
      <c r="E260" s="443">
        <v>0</v>
      </c>
      <c r="F260" s="443">
        <v>0</v>
      </c>
      <c r="G260" s="443">
        <v>0</v>
      </c>
      <c r="H260" s="204">
        <f>IF(ABS(Sealant2022426233[[#This Row],[Actual Buyout]])+ABS(Sealant2022426233[[#This Row],[Change Orders]])=0,Sealant2022426233[[#This Row],[Original Contract]],Sealant2022426233[[#This Row],[Actual Buyout]]+Sealant2022426233[[#This Row],[Change Orders]])</f>
        <v>0</v>
      </c>
      <c r="I260" s="443">
        <v>0</v>
      </c>
      <c r="J260" s="213">
        <f>Sealant2022426233[[#This Row],[Original Contract]]-Sealant2022426233[[#This Row],[Revised Contract]]</f>
        <v>0</v>
      </c>
      <c r="K260" s="218"/>
      <c r="L260" s="217"/>
      <c r="M260" s="184"/>
      <c r="T260" s="165"/>
      <c r="U260" s="165"/>
      <c r="Y260" s="166"/>
      <c r="Z260" s="166"/>
    </row>
    <row r="261" spans="1:26" x14ac:dyDescent="0.35">
      <c r="A261" s="201">
        <v>7</v>
      </c>
      <c r="B261" s="202"/>
      <c r="C261" s="202"/>
      <c r="D261" s="580" t="s">
        <v>258</v>
      </c>
      <c r="E261" s="443">
        <v>0</v>
      </c>
      <c r="F261" s="443">
        <v>0</v>
      </c>
      <c r="G261" s="443">
        <v>0</v>
      </c>
      <c r="H261" s="204">
        <f>IF(ABS(Sealant2022426233[[#This Row],[Actual Buyout]])+ABS(Sealant2022426233[[#This Row],[Change Orders]])=0,Sealant2022426233[[#This Row],[Original Contract]],Sealant2022426233[[#This Row],[Actual Buyout]]+Sealant2022426233[[#This Row],[Change Orders]])</f>
        <v>0</v>
      </c>
      <c r="I261" s="443">
        <v>0</v>
      </c>
      <c r="J261" s="213">
        <f>Sealant2022426233[[#This Row],[Original Contract]]-Sealant2022426233[[#This Row],[Revised Contract]]</f>
        <v>0</v>
      </c>
      <c r="K261" s="218"/>
      <c r="L261" s="217"/>
      <c r="M261" s="184"/>
      <c r="T261" s="165"/>
      <c r="U261" s="165"/>
      <c r="Y261" s="166"/>
      <c r="Z261" s="166"/>
    </row>
    <row r="262" spans="1:26" x14ac:dyDescent="0.35">
      <c r="A262" s="219"/>
      <c r="B262" s="220"/>
      <c r="C262" s="220"/>
      <c r="D262" s="208" t="s">
        <v>259</v>
      </c>
      <c r="E262" s="209">
        <f>SUM(Sealant2022426233[Original Contract])</f>
        <v>0</v>
      </c>
      <c r="F262" s="209">
        <f>SUM(Sealant2022426233[Actual Buyout])</f>
        <v>0</v>
      </c>
      <c r="G262" s="209">
        <f>SUM(Sealant2022426233[Change Orders])</f>
        <v>0</v>
      </c>
      <c r="H262" s="209">
        <f>SUM(Sealant2022426233[Revised Contract])</f>
        <v>0</v>
      </c>
      <c r="I262" s="209">
        <f>SUM(Sealant2022426233[Total completed and Stored])</f>
        <v>0</v>
      </c>
      <c r="J262" s="209">
        <f>SUM(Sealant2022426233[Delta])</f>
        <v>0</v>
      </c>
      <c r="K262" s="221"/>
      <c r="L262" s="184"/>
      <c r="M262" s="184"/>
    </row>
    <row r="263" spans="1:26" x14ac:dyDescent="0.35">
      <c r="A263" s="164" t="s">
        <v>133</v>
      </c>
      <c r="B263" s="164" t="s">
        <v>449</v>
      </c>
      <c r="C263" s="164" t="s">
        <v>242</v>
      </c>
      <c r="D263" s="164" t="s">
        <v>243</v>
      </c>
      <c r="E263" s="164" t="s">
        <v>244</v>
      </c>
      <c r="F263" s="198" t="s">
        <v>245</v>
      </c>
      <c r="G263" s="198" t="s">
        <v>246</v>
      </c>
      <c r="H263" s="198" t="s">
        <v>247</v>
      </c>
      <c r="I263" s="211" t="s">
        <v>250</v>
      </c>
      <c r="J263" s="222" t="s">
        <v>249</v>
      </c>
      <c r="K263" s="218"/>
      <c r="L263" s="216"/>
      <c r="M263" s="184"/>
      <c r="T263" s="165"/>
      <c r="U263" s="165"/>
      <c r="Y263" s="166"/>
      <c r="Z263" s="166"/>
    </row>
    <row r="264" spans="1:26" x14ac:dyDescent="0.35">
      <c r="A264" s="201">
        <v>8</v>
      </c>
      <c r="B264" s="202" t="s">
        <v>450</v>
      </c>
      <c r="C264" s="202" t="s">
        <v>451</v>
      </c>
      <c r="D264" s="203" t="s">
        <v>452</v>
      </c>
      <c r="E264" s="443">
        <v>0</v>
      </c>
      <c r="F264" s="443">
        <v>0</v>
      </c>
      <c r="G264" s="443">
        <v>0</v>
      </c>
      <c r="H264" s="204">
        <f>IF(ABS(Glass2122526334[[#This Row],[Actual Buyout]])+ABS(Glass2122526334[[#This Row],[Change Orders]])=0,Glass2122526334[[#This Row],[Original Contract]],Glass2122526334[[#This Row],[Actual Buyout]]+Glass2122526334[[#This Row],[Change Orders]])</f>
        <v>0</v>
      </c>
      <c r="I264" s="443">
        <v>0</v>
      </c>
      <c r="J264" s="213">
        <f>Glass2122526334[[#This Row],[Original Contract]]-Glass2122526334[[#This Row],[Revised Contract]]</f>
        <v>0</v>
      </c>
      <c r="K264" s="218"/>
      <c r="L264" s="217"/>
      <c r="M264" s="184"/>
      <c r="T264" s="165"/>
      <c r="U264" s="165"/>
      <c r="Y264" s="166"/>
      <c r="Z264" s="166"/>
    </row>
    <row r="265" spans="1:26" x14ac:dyDescent="0.35">
      <c r="A265" s="201">
        <v>8</v>
      </c>
      <c r="B265" s="202" t="s">
        <v>450</v>
      </c>
      <c r="C265" s="202" t="s">
        <v>451</v>
      </c>
      <c r="D265" s="203" t="s">
        <v>453</v>
      </c>
      <c r="E265" s="443">
        <v>0</v>
      </c>
      <c r="F265" s="443">
        <v>0</v>
      </c>
      <c r="G265" s="443">
        <v>0</v>
      </c>
      <c r="H265" s="204">
        <f>IF(ABS(Glass2122526334[[#This Row],[Actual Buyout]])+ABS(Glass2122526334[[#This Row],[Change Orders]])=0,Glass2122526334[[#This Row],[Original Contract]],Glass2122526334[[#This Row],[Actual Buyout]]+Glass2122526334[[#This Row],[Change Orders]])</f>
        <v>0</v>
      </c>
      <c r="I265" s="443">
        <v>0</v>
      </c>
      <c r="J265" s="213">
        <f>Glass2122526334[[#This Row],[Original Contract]]-Glass2122526334[[#This Row],[Revised Contract]]</f>
        <v>0</v>
      </c>
      <c r="K265" s="218"/>
      <c r="L265" s="217"/>
      <c r="M265" s="184"/>
      <c r="T265" s="165"/>
      <c r="U265" s="165"/>
      <c r="Y265" s="166"/>
      <c r="Z265" s="166"/>
    </row>
    <row r="266" spans="1:26" x14ac:dyDescent="0.35">
      <c r="A266" s="201">
        <v>8</v>
      </c>
      <c r="B266" s="202" t="s">
        <v>454</v>
      </c>
      <c r="C266" s="202" t="s">
        <v>455</v>
      </c>
      <c r="D266" s="203" t="s">
        <v>456</v>
      </c>
      <c r="E266" s="443">
        <v>0</v>
      </c>
      <c r="F266" s="443">
        <v>0</v>
      </c>
      <c r="G266" s="443">
        <v>0</v>
      </c>
      <c r="H266" s="204">
        <f>IF(ABS(Glass2122526334[[#This Row],[Actual Buyout]])+ABS(Glass2122526334[[#This Row],[Change Orders]])=0,Glass2122526334[[#This Row],[Original Contract]],Glass2122526334[[#This Row],[Actual Buyout]]+Glass2122526334[[#This Row],[Change Orders]])</f>
        <v>0</v>
      </c>
      <c r="I266" s="443">
        <v>0</v>
      </c>
      <c r="J266" s="213">
        <f>Glass2122526334[[#This Row],[Original Contract]]-Glass2122526334[[#This Row],[Revised Contract]]</f>
        <v>0</v>
      </c>
      <c r="K266" s="218"/>
      <c r="L266" s="217"/>
      <c r="M266" s="184"/>
      <c r="T266" s="165"/>
      <c r="U266" s="165"/>
      <c r="Y266" s="166"/>
      <c r="Z266" s="166"/>
    </row>
    <row r="267" spans="1:26" x14ac:dyDescent="0.35">
      <c r="A267" s="201">
        <v>8</v>
      </c>
      <c r="B267" s="202" t="s">
        <v>457</v>
      </c>
      <c r="C267" s="202" t="s">
        <v>458</v>
      </c>
      <c r="D267" s="203" t="s">
        <v>459</v>
      </c>
      <c r="E267" s="443">
        <v>0</v>
      </c>
      <c r="F267" s="443">
        <v>0</v>
      </c>
      <c r="G267" s="443">
        <v>0</v>
      </c>
      <c r="H267" s="204">
        <f>IF(ABS(Glass2122526334[[#This Row],[Actual Buyout]])+ABS(Glass2122526334[[#This Row],[Change Orders]])=0,Glass2122526334[[#This Row],[Original Contract]],Glass2122526334[[#This Row],[Actual Buyout]]+Glass2122526334[[#This Row],[Change Orders]])</f>
        <v>0</v>
      </c>
      <c r="I267" s="443">
        <v>0</v>
      </c>
      <c r="J267" s="213">
        <f>Glass2122526334[[#This Row],[Original Contract]]-Glass2122526334[[#This Row],[Revised Contract]]</f>
        <v>0</v>
      </c>
      <c r="K267" s="218"/>
      <c r="L267" s="217"/>
      <c r="M267" s="184"/>
      <c r="T267" s="165"/>
      <c r="U267" s="165"/>
      <c r="Y267" s="166"/>
      <c r="Z267" s="166"/>
    </row>
    <row r="268" spans="1:26" x14ac:dyDescent="0.35">
      <c r="A268" s="201">
        <v>8</v>
      </c>
      <c r="B268" s="202" t="s">
        <v>460</v>
      </c>
      <c r="C268" s="202" t="s">
        <v>461</v>
      </c>
      <c r="D268" s="203" t="s">
        <v>462</v>
      </c>
      <c r="E268" s="443">
        <v>0</v>
      </c>
      <c r="F268" s="443">
        <v>0</v>
      </c>
      <c r="G268" s="443">
        <v>0</v>
      </c>
      <c r="H268" s="204">
        <f>IF(ABS(Glass2122526334[[#This Row],[Actual Buyout]])+ABS(Glass2122526334[[#This Row],[Change Orders]])=0,Glass2122526334[[#This Row],[Original Contract]],Glass2122526334[[#This Row],[Actual Buyout]]+Glass2122526334[[#This Row],[Change Orders]])</f>
        <v>0</v>
      </c>
      <c r="I268" s="443">
        <v>0</v>
      </c>
      <c r="J268" s="213">
        <f>Glass2122526334[[#This Row],[Original Contract]]-Glass2122526334[[#This Row],[Revised Contract]]</f>
        <v>0</v>
      </c>
      <c r="K268" s="218"/>
      <c r="L268" s="217"/>
      <c r="M268" s="184"/>
      <c r="T268" s="165"/>
      <c r="U268" s="165"/>
      <c r="Y268" s="166"/>
      <c r="Z268" s="166"/>
    </row>
    <row r="269" spans="1:26" x14ac:dyDescent="0.35">
      <c r="A269" s="201">
        <v>8</v>
      </c>
      <c r="B269" s="202"/>
      <c r="C269" s="202"/>
      <c r="D269" s="580" t="s">
        <v>258</v>
      </c>
      <c r="E269" s="443">
        <v>0</v>
      </c>
      <c r="F269" s="443">
        <v>0</v>
      </c>
      <c r="G269" s="443">
        <v>0</v>
      </c>
      <c r="H269" s="204">
        <f>IF(ABS(Glass2122526334[[#This Row],[Actual Buyout]])+ABS(Glass2122526334[[#This Row],[Change Orders]])=0,Glass2122526334[[#This Row],[Original Contract]],Glass2122526334[[#This Row],[Actual Buyout]]+Glass2122526334[[#This Row],[Change Orders]])</f>
        <v>0</v>
      </c>
      <c r="I269" s="443">
        <v>0</v>
      </c>
      <c r="J269" s="213">
        <f>Glass2122526334[[#This Row],[Original Contract]]-Glass2122526334[[#This Row],[Revised Contract]]</f>
        <v>0</v>
      </c>
      <c r="K269" s="218"/>
      <c r="L269" s="217"/>
      <c r="M269" s="184"/>
      <c r="T269" s="165"/>
      <c r="U269" s="165"/>
      <c r="Y269" s="166"/>
      <c r="Z269" s="166"/>
    </row>
    <row r="270" spans="1:26" x14ac:dyDescent="0.35">
      <c r="A270" s="201">
        <v>8</v>
      </c>
      <c r="B270" s="202"/>
      <c r="C270" s="202"/>
      <c r="D270" s="580" t="s">
        <v>258</v>
      </c>
      <c r="E270" s="443">
        <v>0</v>
      </c>
      <c r="F270" s="443">
        <v>0</v>
      </c>
      <c r="G270" s="443">
        <v>0</v>
      </c>
      <c r="H270" s="204">
        <f>IF(ABS(Glass2122526334[[#This Row],[Actual Buyout]])+ABS(Glass2122526334[[#This Row],[Change Orders]])=0,Glass2122526334[[#This Row],[Original Contract]],Glass2122526334[[#This Row],[Actual Buyout]]+Glass2122526334[[#This Row],[Change Orders]])</f>
        <v>0</v>
      </c>
      <c r="I270" s="443">
        <v>0</v>
      </c>
      <c r="J270" s="213">
        <f>Glass2122526334[[#This Row],[Original Contract]]-Glass2122526334[[#This Row],[Revised Contract]]</f>
        <v>0</v>
      </c>
      <c r="K270" s="218"/>
      <c r="L270" s="217"/>
      <c r="M270" s="184"/>
      <c r="T270" s="165"/>
      <c r="U270" s="165"/>
      <c r="Y270" s="166"/>
      <c r="Z270" s="166"/>
    </row>
    <row r="271" spans="1:26" x14ac:dyDescent="0.35">
      <c r="A271" s="201">
        <v>8</v>
      </c>
      <c r="B271" s="202"/>
      <c r="C271" s="202"/>
      <c r="D271" s="580" t="s">
        <v>258</v>
      </c>
      <c r="E271" s="443">
        <v>0</v>
      </c>
      <c r="F271" s="443">
        <v>0</v>
      </c>
      <c r="G271" s="443">
        <v>0</v>
      </c>
      <c r="H271" s="204">
        <f>IF(ABS(Glass2122526334[[#This Row],[Actual Buyout]])+ABS(Glass2122526334[[#This Row],[Change Orders]])=0,Glass2122526334[[#This Row],[Original Contract]],Glass2122526334[[#This Row],[Actual Buyout]]+Glass2122526334[[#This Row],[Change Orders]])</f>
        <v>0</v>
      </c>
      <c r="I271" s="443">
        <v>0</v>
      </c>
      <c r="J271" s="213">
        <f>Glass2122526334[[#This Row],[Original Contract]]-Glass2122526334[[#This Row],[Revised Contract]]</f>
        <v>0</v>
      </c>
      <c r="K271" s="218"/>
      <c r="L271" s="217"/>
      <c r="M271" s="184"/>
      <c r="T271" s="165"/>
      <c r="U271" s="165"/>
      <c r="Y271" s="166"/>
      <c r="Z271" s="166"/>
    </row>
    <row r="272" spans="1:26" x14ac:dyDescent="0.35">
      <c r="A272" s="201">
        <v>8</v>
      </c>
      <c r="B272" s="202"/>
      <c r="C272" s="202"/>
      <c r="D272" s="580" t="s">
        <v>258</v>
      </c>
      <c r="E272" s="443">
        <v>0</v>
      </c>
      <c r="F272" s="443">
        <v>0</v>
      </c>
      <c r="G272" s="443">
        <v>0</v>
      </c>
      <c r="H272" s="204">
        <f>IF(ABS(Glass2122526334[[#This Row],[Actual Buyout]])+ABS(Glass2122526334[[#This Row],[Change Orders]])=0,Glass2122526334[[#This Row],[Original Contract]],Glass2122526334[[#This Row],[Actual Buyout]]+Glass2122526334[[#This Row],[Change Orders]])</f>
        <v>0</v>
      </c>
      <c r="I272" s="443">
        <v>0</v>
      </c>
      <c r="J272" s="213">
        <f>Glass2122526334[[#This Row],[Original Contract]]-Glass2122526334[[#This Row],[Revised Contract]]</f>
        <v>0</v>
      </c>
      <c r="K272" s="218"/>
      <c r="L272" s="217"/>
      <c r="M272" s="184"/>
      <c r="T272" s="165"/>
      <c r="U272" s="165"/>
      <c r="Y272" s="166"/>
      <c r="Z272" s="166"/>
    </row>
    <row r="273" spans="1:26" x14ac:dyDescent="0.35">
      <c r="A273" s="201">
        <v>8</v>
      </c>
      <c r="B273" s="202"/>
      <c r="C273" s="202"/>
      <c r="D273" s="580" t="s">
        <v>258</v>
      </c>
      <c r="E273" s="443">
        <v>0</v>
      </c>
      <c r="F273" s="443">
        <v>0</v>
      </c>
      <c r="G273" s="443">
        <v>0</v>
      </c>
      <c r="H273" s="204">
        <f>IF(ABS(Glass2122526334[[#This Row],[Actual Buyout]])+ABS(Glass2122526334[[#This Row],[Change Orders]])=0,Glass2122526334[[#This Row],[Original Contract]],Glass2122526334[[#This Row],[Actual Buyout]]+Glass2122526334[[#This Row],[Change Orders]])</f>
        <v>0</v>
      </c>
      <c r="I273" s="443">
        <v>0</v>
      </c>
      <c r="J273" s="213">
        <f>Glass2122526334[[#This Row],[Original Contract]]-Glass2122526334[[#This Row],[Revised Contract]]</f>
        <v>0</v>
      </c>
      <c r="K273" s="218"/>
      <c r="L273" s="217"/>
      <c r="M273" s="184"/>
      <c r="T273" s="165"/>
      <c r="U273" s="165"/>
      <c r="Y273" s="166"/>
      <c r="Z273" s="166"/>
    </row>
    <row r="274" spans="1:26" x14ac:dyDescent="0.35">
      <c r="A274" s="219"/>
      <c r="B274" s="220"/>
      <c r="C274" s="220"/>
      <c r="D274" s="208" t="s">
        <v>259</v>
      </c>
      <c r="E274" s="209">
        <f>SUM(Glass2122526334[Original Contract])</f>
        <v>0</v>
      </c>
      <c r="F274" s="209">
        <f>SUM(Glass2122526334[Actual Buyout])</f>
        <v>0</v>
      </c>
      <c r="G274" s="209">
        <f>SUM(Glass2122526334[Change Orders])</f>
        <v>0</v>
      </c>
      <c r="H274" s="209">
        <f>SUM(Glass2122526334[Revised Contract])</f>
        <v>0</v>
      </c>
      <c r="I274" s="209">
        <f>SUM(Glass2122526334[Total completed and Stored])</f>
        <v>0</v>
      </c>
      <c r="J274" s="209">
        <f>SUM(Glass2122526334[Delta])</f>
        <v>0</v>
      </c>
      <c r="K274" s="221"/>
      <c r="L274" s="184"/>
      <c r="M274" s="184"/>
    </row>
    <row r="275" spans="1:26" x14ac:dyDescent="0.35">
      <c r="A275" s="164" t="s">
        <v>133</v>
      </c>
      <c r="B275" s="164" t="s">
        <v>463</v>
      </c>
      <c r="C275" s="164" t="s">
        <v>242</v>
      </c>
      <c r="D275" s="164" t="s">
        <v>243</v>
      </c>
      <c r="E275" s="164" t="s">
        <v>244</v>
      </c>
      <c r="F275" s="198" t="s">
        <v>245</v>
      </c>
      <c r="G275" s="198" t="s">
        <v>246</v>
      </c>
      <c r="H275" s="198" t="s">
        <v>247</v>
      </c>
      <c r="I275" s="211" t="s">
        <v>250</v>
      </c>
      <c r="J275" s="222" t="s">
        <v>249</v>
      </c>
      <c r="K275" s="218"/>
      <c r="L275" s="216"/>
      <c r="M275" s="184"/>
      <c r="T275" s="165"/>
      <c r="U275" s="165"/>
      <c r="Y275" s="166"/>
      <c r="Z275" s="166"/>
    </row>
    <row r="276" spans="1:26" x14ac:dyDescent="0.35">
      <c r="A276" s="201">
        <v>8</v>
      </c>
      <c r="B276" s="202" t="s">
        <v>464</v>
      </c>
      <c r="C276" s="202" t="s">
        <v>465</v>
      </c>
      <c r="D276" s="203" t="s">
        <v>466</v>
      </c>
      <c r="E276" s="443">
        <v>0</v>
      </c>
      <c r="F276" s="443">
        <v>0</v>
      </c>
      <c r="G276" s="443">
        <v>0</v>
      </c>
      <c r="H276" s="204">
        <f>IF(ABS(DockDoors2222626435[[#This Row],[Actual Buyout]])+ABS(DockDoors2222626435[[#This Row],[Change Orders]])=0,DockDoors2222626435[[#This Row],[Original Contract]],DockDoors2222626435[[#This Row],[Actual Buyout]]+DockDoors2222626435[[#This Row],[Change Orders]])</f>
        <v>0</v>
      </c>
      <c r="I276" s="443">
        <v>0</v>
      </c>
      <c r="J276" s="213">
        <f>DockDoors2222626435[[#This Row],[Original Contract]]-DockDoors2222626435[[#This Row],[Revised Contract]]</f>
        <v>0</v>
      </c>
      <c r="K276" s="218"/>
      <c r="L276" s="217"/>
      <c r="M276" s="184"/>
      <c r="T276" s="165"/>
      <c r="U276" s="165"/>
      <c r="Y276" s="166"/>
      <c r="Z276" s="166"/>
    </row>
    <row r="277" spans="1:26" x14ac:dyDescent="0.35">
      <c r="A277" s="201">
        <v>8</v>
      </c>
      <c r="B277" s="202" t="s">
        <v>464</v>
      </c>
      <c r="C277" s="202" t="s">
        <v>465</v>
      </c>
      <c r="D277" s="203" t="s">
        <v>467</v>
      </c>
      <c r="E277" s="443">
        <v>0</v>
      </c>
      <c r="F277" s="443">
        <v>0</v>
      </c>
      <c r="G277" s="443">
        <v>0</v>
      </c>
      <c r="H277" s="204">
        <f>IF(ABS(DockDoors2222626435[[#This Row],[Actual Buyout]])+ABS(DockDoors2222626435[[#This Row],[Change Orders]])=0,DockDoors2222626435[[#This Row],[Original Contract]],DockDoors2222626435[[#This Row],[Actual Buyout]]+DockDoors2222626435[[#This Row],[Change Orders]])</f>
        <v>0</v>
      </c>
      <c r="I277" s="443">
        <v>0</v>
      </c>
      <c r="J277" s="213">
        <f>DockDoors2222626435[[#This Row],[Original Contract]]-DockDoors2222626435[[#This Row],[Revised Contract]]</f>
        <v>0</v>
      </c>
      <c r="K277" s="218"/>
      <c r="L277" s="217"/>
      <c r="M277" s="184"/>
      <c r="T277" s="165"/>
      <c r="U277" s="165"/>
      <c r="Y277" s="166"/>
      <c r="Z277" s="166"/>
    </row>
    <row r="278" spans="1:26" x14ac:dyDescent="0.35">
      <c r="A278" s="201">
        <v>8</v>
      </c>
      <c r="B278" s="202" t="s">
        <v>468</v>
      </c>
      <c r="C278" s="202" t="s">
        <v>469</v>
      </c>
      <c r="D278" s="203" t="s">
        <v>470</v>
      </c>
      <c r="E278" s="443">
        <v>0</v>
      </c>
      <c r="F278" s="443">
        <v>0</v>
      </c>
      <c r="G278" s="443">
        <v>0</v>
      </c>
      <c r="H278" s="204">
        <f>IF(ABS(DockDoors2222626435[[#This Row],[Actual Buyout]])+ABS(DockDoors2222626435[[#This Row],[Change Orders]])=0,DockDoors2222626435[[#This Row],[Original Contract]],DockDoors2222626435[[#This Row],[Actual Buyout]]+DockDoors2222626435[[#This Row],[Change Orders]])</f>
        <v>0</v>
      </c>
      <c r="I278" s="443">
        <v>0</v>
      </c>
      <c r="J278" s="213">
        <f>DockDoors2222626435[[#This Row],[Original Contract]]-DockDoors2222626435[[#This Row],[Revised Contract]]</f>
        <v>0</v>
      </c>
      <c r="K278" s="218"/>
      <c r="L278" s="217"/>
      <c r="M278" s="184"/>
      <c r="T278" s="165"/>
      <c r="U278" s="165"/>
      <c r="Y278" s="166"/>
      <c r="Z278" s="166"/>
    </row>
    <row r="279" spans="1:26" x14ac:dyDescent="0.35">
      <c r="A279" s="201">
        <v>8</v>
      </c>
      <c r="B279" s="202"/>
      <c r="C279" s="202"/>
      <c r="D279" s="580" t="s">
        <v>258</v>
      </c>
      <c r="E279" s="443">
        <v>0</v>
      </c>
      <c r="F279" s="443">
        <v>0</v>
      </c>
      <c r="G279" s="443">
        <v>0</v>
      </c>
      <c r="H279" s="204">
        <f>IF(ABS(DockDoors2222626435[[#This Row],[Actual Buyout]])+ABS(DockDoors2222626435[[#This Row],[Change Orders]])=0,DockDoors2222626435[[#This Row],[Original Contract]],DockDoors2222626435[[#This Row],[Actual Buyout]]+DockDoors2222626435[[#This Row],[Change Orders]])</f>
        <v>0</v>
      </c>
      <c r="I279" s="443">
        <v>0</v>
      </c>
      <c r="J279" s="213">
        <f>DockDoors2222626435[[#This Row],[Original Contract]]-DockDoors2222626435[[#This Row],[Revised Contract]]</f>
        <v>0</v>
      </c>
      <c r="K279" s="218"/>
      <c r="L279" s="217"/>
      <c r="M279" s="184"/>
      <c r="T279" s="165"/>
      <c r="U279" s="165"/>
      <c r="Y279" s="166"/>
      <c r="Z279" s="166"/>
    </row>
    <row r="280" spans="1:26" x14ac:dyDescent="0.35">
      <c r="A280" s="201">
        <v>8</v>
      </c>
      <c r="B280" s="202"/>
      <c r="C280" s="202"/>
      <c r="D280" s="580" t="s">
        <v>258</v>
      </c>
      <c r="E280" s="443">
        <v>0</v>
      </c>
      <c r="F280" s="443">
        <v>0</v>
      </c>
      <c r="G280" s="443">
        <v>0</v>
      </c>
      <c r="H280" s="204">
        <f>IF(ABS(DockDoors2222626435[[#This Row],[Actual Buyout]])+ABS(DockDoors2222626435[[#This Row],[Change Orders]])=0,DockDoors2222626435[[#This Row],[Original Contract]],DockDoors2222626435[[#This Row],[Actual Buyout]]+DockDoors2222626435[[#This Row],[Change Orders]])</f>
        <v>0</v>
      </c>
      <c r="I280" s="443">
        <v>0</v>
      </c>
      <c r="J280" s="213">
        <f>DockDoors2222626435[[#This Row],[Original Contract]]-DockDoors2222626435[[#This Row],[Revised Contract]]</f>
        <v>0</v>
      </c>
      <c r="K280" s="218"/>
      <c r="L280" s="217"/>
      <c r="M280" s="184"/>
      <c r="T280" s="165"/>
      <c r="U280" s="165"/>
      <c r="Y280" s="166"/>
      <c r="Z280" s="166"/>
    </row>
    <row r="281" spans="1:26" x14ac:dyDescent="0.35">
      <c r="A281" s="201">
        <v>8</v>
      </c>
      <c r="B281" s="202"/>
      <c r="C281" s="202"/>
      <c r="D281" s="580" t="s">
        <v>258</v>
      </c>
      <c r="E281" s="443">
        <v>0</v>
      </c>
      <c r="F281" s="443">
        <v>0</v>
      </c>
      <c r="G281" s="443">
        <v>0</v>
      </c>
      <c r="H281" s="204">
        <f>IF(ABS(DockDoors2222626435[[#This Row],[Actual Buyout]])+ABS(DockDoors2222626435[[#This Row],[Change Orders]])=0,DockDoors2222626435[[#This Row],[Original Contract]],DockDoors2222626435[[#This Row],[Actual Buyout]]+DockDoors2222626435[[#This Row],[Change Orders]])</f>
        <v>0</v>
      </c>
      <c r="I281" s="443">
        <v>0</v>
      </c>
      <c r="J281" s="213">
        <f>DockDoors2222626435[[#This Row],[Original Contract]]-DockDoors2222626435[[#This Row],[Revised Contract]]</f>
        <v>0</v>
      </c>
      <c r="K281" s="218"/>
      <c r="L281" s="217"/>
      <c r="M281" s="184"/>
      <c r="T281" s="165"/>
      <c r="U281" s="165"/>
      <c r="Y281" s="166"/>
      <c r="Z281" s="166"/>
    </row>
    <row r="282" spans="1:26" x14ac:dyDescent="0.35">
      <c r="A282" s="201">
        <v>8</v>
      </c>
      <c r="B282" s="202"/>
      <c r="C282" s="202"/>
      <c r="D282" s="580" t="s">
        <v>258</v>
      </c>
      <c r="E282" s="443">
        <v>0</v>
      </c>
      <c r="F282" s="443">
        <v>0</v>
      </c>
      <c r="G282" s="443">
        <v>0</v>
      </c>
      <c r="H282" s="204">
        <f>IF(ABS(DockDoors2222626435[[#This Row],[Actual Buyout]])+ABS(DockDoors2222626435[[#This Row],[Change Orders]])=0,DockDoors2222626435[[#This Row],[Original Contract]],DockDoors2222626435[[#This Row],[Actual Buyout]]+DockDoors2222626435[[#This Row],[Change Orders]])</f>
        <v>0</v>
      </c>
      <c r="I282" s="443">
        <v>0</v>
      </c>
      <c r="J282" s="213">
        <f>DockDoors2222626435[[#This Row],[Original Contract]]-DockDoors2222626435[[#This Row],[Revised Contract]]</f>
        <v>0</v>
      </c>
      <c r="K282" s="218"/>
      <c r="L282" s="217"/>
      <c r="M282" s="184"/>
      <c r="T282" s="165"/>
      <c r="U282" s="165"/>
      <c r="Y282" s="166"/>
      <c r="Z282" s="166"/>
    </row>
    <row r="283" spans="1:26" x14ac:dyDescent="0.35">
      <c r="A283" s="201">
        <v>8</v>
      </c>
      <c r="B283" s="202"/>
      <c r="C283" s="202"/>
      <c r="D283" s="580" t="s">
        <v>258</v>
      </c>
      <c r="E283" s="443">
        <v>0</v>
      </c>
      <c r="F283" s="443">
        <v>0</v>
      </c>
      <c r="G283" s="443">
        <v>0</v>
      </c>
      <c r="H283" s="204">
        <f>IF(ABS(DockDoors2222626435[[#This Row],[Actual Buyout]])+ABS(DockDoors2222626435[[#This Row],[Change Orders]])=0,DockDoors2222626435[[#This Row],[Original Contract]],DockDoors2222626435[[#This Row],[Actual Buyout]]+DockDoors2222626435[[#This Row],[Change Orders]])</f>
        <v>0</v>
      </c>
      <c r="I283" s="443">
        <v>0</v>
      </c>
      <c r="J283" s="213">
        <f>DockDoors2222626435[[#This Row],[Original Contract]]-DockDoors2222626435[[#This Row],[Revised Contract]]</f>
        <v>0</v>
      </c>
      <c r="K283" s="218"/>
      <c r="L283" s="217"/>
      <c r="M283" s="184"/>
      <c r="T283" s="165"/>
      <c r="U283" s="165"/>
      <c r="Y283" s="166"/>
      <c r="Z283" s="166"/>
    </row>
    <row r="284" spans="1:26" x14ac:dyDescent="0.35">
      <c r="A284" s="219"/>
      <c r="B284" s="220"/>
      <c r="C284" s="220"/>
      <c r="D284" s="208" t="s">
        <v>259</v>
      </c>
      <c r="E284" s="209">
        <f>SUM(DockDoors2222626435[Original Contract])</f>
        <v>0</v>
      </c>
      <c r="F284" s="209">
        <f>SUM(DockDoors2222626435[Actual Buyout])</f>
        <v>0</v>
      </c>
      <c r="G284" s="209">
        <f>SUM(DockDoors2222626435[Change Orders])</f>
        <v>0</v>
      </c>
      <c r="H284" s="209">
        <f>SUM(DockDoors2222626435[Revised Contract])</f>
        <v>0</v>
      </c>
      <c r="I284" s="209">
        <f>SUM(DockDoors2222626435[Total completed and Stored])</f>
        <v>0</v>
      </c>
      <c r="J284" s="209">
        <f>SUM(DockDoors2222626435[Delta])</f>
        <v>0</v>
      </c>
      <c r="K284" s="221"/>
      <c r="L284" s="184"/>
      <c r="M284" s="184"/>
    </row>
    <row r="285" spans="1:26" x14ac:dyDescent="0.35">
      <c r="A285" s="164" t="s">
        <v>133</v>
      </c>
      <c r="B285" s="164" t="s">
        <v>471</v>
      </c>
      <c r="C285" s="164" t="s">
        <v>242</v>
      </c>
      <c r="D285" s="164" t="s">
        <v>243</v>
      </c>
      <c r="E285" s="164" t="s">
        <v>244</v>
      </c>
      <c r="F285" s="198" t="s">
        <v>245</v>
      </c>
      <c r="G285" s="198" t="s">
        <v>246</v>
      </c>
      <c r="H285" s="198" t="s">
        <v>247</v>
      </c>
      <c r="I285" s="211" t="s">
        <v>250</v>
      </c>
      <c r="J285" s="222" t="s">
        <v>249</v>
      </c>
      <c r="K285" s="218"/>
      <c r="L285" s="216"/>
      <c r="M285" s="184"/>
      <c r="T285" s="165"/>
      <c r="U285" s="165"/>
      <c r="Y285" s="166"/>
      <c r="Z285" s="166"/>
    </row>
    <row r="286" spans="1:26" x14ac:dyDescent="0.35">
      <c r="A286" s="201">
        <v>8</v>
      </c>
      <c r="B286" s="202" t="s">
        <v>472</v>
      </c>
      <c r="C286" s="202" t="s">
        <v>473</v>
      </c>
      <c r="D286" s="225" t="s">
        <v>474</v>
      </c>
      <c r="E286" s="443">
        <v>0</v>
      </c>
      <c r="F286" s="443">
        <v>0</v>
      </c>
      <c r="G286" s="443">
        <v>0</v>
      </c>
      <c r="H286" s="204">
        <f>IF(ABS(Doors2322726536[[#This Row],[Actual Buyout]])+ABS(Doors2322726536[[#This Row],[Change Orders]])=0,Doors2322726536[[#This Row],[Original Contract]],Doors2322726536[[#This Row],[Actual Buyout]]+Doors2322726536[[#This Row],[Change Orders]])</f>
        <v>0</v>
      </c>
      <c r="I286" s="443">
        <v>0</v>
      </c>
      <c r="J286" s="213">
        <f>Doors2322726536[[#This Row],[Original Contract]]-Doors2322726536[[#This Row],[Revised Contract]]</f>
        <v>0</v>
      </c>
      <c r="K286" s="218"/>
      <c r="L286" s="217"/>
      <c r="M286" s="184"/>
      <c r="T286" s="165"/>
      <c r="U286" s="165"/>
      <c r="Y286" s="166"/>
      <c r="Z286" s="166"/>
    </row>
    <row r="287" spans="1:26" x14ac:dyDescent="0.35">
      <c r="A287" s="201">
        <v>8</v>
      </c>
      <c r="B287" s="202" t="s">
        <v>475</v>
      </c>
      <c r="C287" s="202" t="s">
        <v>476</v>
      </c>
      <c r="D287" s="225" t="s">
        <v>477</v>
      </c>
      <c r="E287" s="443">
        <v>0</v>
      </c>
      <c r="F287" s="443">
        <v>0</v>
      </c>
      <c r="G287" s="443">
        <v>0</v>
      </c>
      <c r="H287" s="204">
        <f>IF(ABS(Doors2322726536[[#This Row],[Actual Buyout]])+ABS(Doors2322726536[[#This Row],[Change Orders]])=0,Doors2322726536[[#This Row],[Original Contract]],Doors2322726536[[#This Row],[Actual Buyout]]+Doors2322726536[[#This Row],[Change Orders]])</f>
        <v>0</v>
      </c>
      <c r="I287" s="443">
        <v>0</v>
      </c>
      <c r="J287" s="213">
        <f>Doors2322726536[[#This Row],[Original Contract]]-Doors2322726536[[#This Row],[Revised Contract]]</f>
        <v>0</v>
      </c>
      <c r="K287" s="218"/>
      <c r="L287" s="217"/>
      <c r="M287" s="184"/>
      <c r="T287" s="165"/>
      <c r="U287" s="165"/>
      <c r="Y287" s="166"/>
      <c r="Z287" s="166"/>
    </row>
    <row r="288" spans="1:26" x14ac:dyDescent="0.35">
      <c r="A288" s="201">
        <v>8</v>
      </c>
      <c r="B288" s="202" t="s">
        <v>478</v>
      </c>
      <c r="C288" s="202" t="s">
        <v>479</v>
      </c>
      <c r="D288" s="203" t="s">
        <v>480</v>
      </c>
      <c r="E288" s="443">
        <v>0</v>
      </c>
      <c r="F288" s="443">
        <v>0</v>
      </c>
      <c r="G288" s="443">
        <v>0</v>
      </c>
      <c r="H288" s="204">
        <f>IF(ABS(Doors2322726536[[#This Row],[Actual Buyout]])+ABS(Doors2322726536[[#This Row],[Change Orders]])=0,Doors2322726536[[#This Row],[Original Contract]],Doors2322726536[[#This Row],[Actual Buyout]]+Doors2322726536[[#This Row],[Change Orders]])</f>
        <v>0</v>
      </c>
      <c r="I288" s="443">
        <v>0</v>
      </c>
      <c r="J288" s="213">
        <f>Doors2322726536[[#This Row],[Original Contract]]-Doors2322726536[[#This Row],[Revised Contract]]</f>
        <v>0</v>
      </c>
      <c r="K288" s="218"/>
      <c r="L288" s="217"/>
      <c r="M288" s="184"/>
      <c r="T288" s="165"/>
      <c r="U288" s="165"/>
      <c r="Y288" s="166"/>
      <c r="Z288" s="166"/>
    </row>
    <row r="289" spans="1:26" x14ac:dyDescent="0.35">
      <c r="A289" s="201">
        <v>8</v>
      </c>
      <c r="B289" s="202"/>
      <c r="C289" s="202"/>
      <c r="D289" s="580" t="s">
        <v>258</v>
      </c>
      <c r="E289" s="443">
        <v>0</v>
      </c>
      <c r="F289" s="443">
        <v>0</v>
      </c>
      <c r="G289" s="443">
        <v>0</v>
      </c>
      <c r="H289" s="204">
        <f>IF(ABS(Doors2322726536[[#This Row],[Actual Buyout]])+ABS(Doors2322726536[[#This Row],[Change Orders]])=0,Doors2322726536[[#This Row],[Original Contract]],Doors2322726536[[#This Row],[Actual Buyout]]+Doors2322726536[[#This Row],[Change Orders]])</f>
        <v>0</v>
      </c>
      <c r="I289" s="443">
        <v>0</v>
      </c>
      <c r="J289" s="213">
        <f>Doors2322726536[[#This Row],[Original Contract]]-Doors2322726536[[#This Row],[Revised Contract]]</f>
        <v>0</v>
      </c>
      <c r="K289" s="218"/>
      <c r="L289" s="217"/>
      <c r="M289" s="184"/>
      <c r="T289" s="165"/>
      <c r="U289" s="165"/>
      <c r="Y289" s="166"/>
      <c r="Z289" s="166"/>
    </row>
    <row r="290" spans="1:26" x14ac:dyDescent="0.35">
      <c r="A290" s="201">
        <v>8</v>
      </c>
      <c r="B290" s="202"/>
      <c r="C290" s="202"/>
      <c r="D290" s="580" t="s">
        <v>258</v>
      </c>
      <c r="E290" s="443">
        <v>0</v>
      </c>
      <c r="F290" s="443">
        <v>0</v>
      </c>
      <c r="G290" s="443">
        <v>0</v>
      </c>
      <c r="H290" s="204">
        <f>IF(ABS(Doors2322726536[[#This Row],[Actual Buyout]])+ABS(Doors2322726536[[#This Row],[Change Orders]])=0,Doors2322726536[[#This Row],[Original Contract]],Doors2322726536[[#This Row],[Actual Buyout]]+Doors2322726536[[#This Row],[Change Orders]])</f>
        <v>0</v>
      </c>
      <c r="I290" s="443">
        <v>0</v>
      </c>
      <c r="J290" s="213">
        <f>Doors2322726536[[#This Row],[Original Contract]]-Doors2322726536[[#This Row],[Revised Contract]]</f>
        <v>0</v>
      </c>
      <c r="K290" s="218"/>
      <c r="L290" s="217"/>
      <c r="M290" s="184"/>
      <c r="T290" s="165"/>
      <c r="U290" s="165"/>
      <c r="Y290" s="166"/>
      <c r="Z290" s="166"/>
    </row>
    <row r="291" spans="1:26" x14ac:dyDescent="0.35">
      <c r="A291" s="201">
        <v>8</v>
      </c>
      <c r="B291" s="202"/>
      <c r="C291" s="202"/>
      <c r="D291" s="580" t="s">
        <v>258</v>
      </c>
      <c r="E291" s="443">
        <v>0</v>
      </c>
      <c r="F291" s="443">
        <v>0</v>
      </c>
      <c r="G291" s="443">
        <v>0</v>
      </c>
      <c r="H291" s="204">
        <f>IF(ABS(Doors2322726536[[#This Row],[Actual Buyout]])+ABS(Doors2322726536[[#This Row],[Change Orders]])=0,Doors2322726536[[#This Row],[Original Contract]],Doors2322726536[[#This Row],[Actual Buyout]]+Doors2322726536[[#This Row],[Change Orders]])</f>
        <v>0</v>
      </c>
      <c r="I291" s="443">
        <v>0</v>
      </c>
      <c r="J291" s="213">
        <f>Doors2322726536[[#This Row],[Original Contract]]-Doors2322726536[[#This Row],[Revised Contract]]</f>
        <v>0</v>
      </c>
      <c r="K291" s="218"/>
      <c r="L291" s="217"/>
      <c r="M291" s="184"/>
      <c r="T291" s="165"/>
      <c r="U291" s="165"/>
      <c r="Y291" s="166"/>
      <c r="Z291" s="166"/>
    </row>
    <row r="292" spans="1:26" x14ac:dyDescent="0.35">
      <c r="A292" s="201">
        <v>8</v>
      </c>
      <c r="B292" s="202"/>
      <c r="C292" s="202"/>
      <c r="D292" s="580" t="s">
        <v>258</v>
      </c>
      <c r="E292" s="443">
        <v>0</v>
      </c>
      <c r="F292" s="443">
        <v>0</v>
      </c>
      <c r="G292" s="443">
        <v>0</v>
      </c>
      <c r="H292" s="204">
        <f>IF(ABS(Doors2322726536[[#This Row],[Actual Buyout]])+ABS(Doors2322726536[[#This Row],[Change Orders]])=0,Doors2322726536[[#This Row],[Original Contract]],Doors2322726536[[#This Row],[Actual Buyout]]+Doors2322726536[[#This Row],[Change Orders]])</f>
        <v>0</v>
      </c>
      <c r="I292" s="443">
        <v>0</v>
      </c>
      <c r="J292" s="213">
        <f>Doors2322726536[[#This Row],[Original Contract]]-Doors2322726536[[#This Row],[Revised Contract]]</f>
        <v>0</v>
      </c>
      <c r="K292" s="218"/>
      <c r="L292" s="217"/>
      <c r="M292" s="184"/>
      <c r="T292" s="165"/>
      <c r="U292" s="165"/>
      <c r="Y292" s="166"/>
      <c r="Z292" s="166"/>
    </row>
    <row r="293" spans="1:26" x14ac:dyDescent="0.35">
      <c r="A293" s="201">
        <v>8</v>
      </c>
      <c r="B293" s="202"/>
      <c r="C293" s="202"/>
      <c r="D293" s="580" t="s">
        <v>258</v>
      </c>
      <c r="E293" s="443">
        <v>0</v>
      </c>
      <c r="F293" s="443">
        <v>0</v>
      </c>
      <c r="G293" s="443">
        <v>0</v>
      </c>
      <c r="H293" s="204">
        <f>IF(ABS(Doors2322726536[[#This Row],[Actual Buyout]])+ABS(Doors2322726536[[#This Row],[Change Orders]])=0,Doors2322726536[[#This Row],[Original Contract]],Doors2322726536[[#This Row],[Actual Buyout]]+Doors2322726536[[#This Row],[Change Orders]])</f>
        <v>0</v>
      </c>
      <c r="I293" s="443">
        <v>0</v>
      </c>
      <c r="J293" s="213">
        <f>Doors2322726536[[#This Row],[Original Contract]]-Doors2322726536[[#This Row],[Revised Contract]]</f>
        <v>0</v>
      </c>
      <c r="K293" s="218"/>
      <c r="L293" s="217"/>
      <c r="M293" s="184"/>
      <c r="T293" s="165"/>
      <c r="U293" s="165"/>
      <c r="Y293" s="166"/>
      <c r="Z293" s="166"/>
    </row>
    <row r="294" spans="1:26" x14ac:dyDescent="0.35">
      <c r="A294" s="219"/>
      <c r="B294" s="220"/>
      <c r="C294" s="220"/>
      <c r="D294" s="208" t="s">
        <v>259</v>
      </c>
      <c r="E294" s="209">
        <f>SUM(Doors2322726536[Original Contract])</f>
        <v>0</v>
      </c>
      <c r="F294" s="209">
        <f>SUM(Doors2322726536[Actual Buyout])</f>
        <v>0</v>
      </c>
      <c r="G294" s="209">
        <f>SUM(Doors2322726536[Change Orders])</f>
        <v>0</v>
      </c>
      <c r="H294" s="209">
        <f>SUM(Doors2322726536[Revised Contract])</f>
        <v>0</v>
      </c>
      <c r="I294" s="209">
        <f>SUM(Doors2322726536[Total completed and Stored])</f>
        <v>0</v>
      </c>
      <c r="J294" s="209">
        <f>SUM(Doors2322726536[Delta])</f>
        <v>0</v>
      </c>
      <c r="K294" s="221"/>
      <c r="L294" s="184"/>
      <c r="M294" s="184"/>
    </row>
    <row r="295" spans="1:26" x14ac:dyDescent="0.35">
      <c r="A295" s="164" t="s">
        <v>135</v>
      </c>
      <c r="B295" s="164" t="s">
        <v>481</v>
      </c>
      <c r="C295" s="164" t="s">
        <v>242</v>
      </c>
      <c r="D295" s="164" t="s">
        <v>243</v>
      </c>
      <c r="E295" s="164" t="s">
        <v>244</v>
      </c>
      <c r="F295" s="198" t="s">
        <v>245</v>
      </c>
      <c r="G295" s="198" t="s">
        <v>246</v>
      </c>
      <c r="H295" s="198" t="s">
        <v>247</v>
      </c>
      <c r="I295" s="211" t="s">
        <v>250</v>
      </c>
      <c r="J295" s="222" t="s">
        <v>249</v>
      </c>
      <c r="K295" s="218"/>
      <c r="L295" s="216"/>
      <c r="M295" s="184"/>
      <c r="T295" s="165"/>
      <c r="U295" s="165"/>
      <c r="Y295" s="166"/>
      <c r="Z295" s="166"/>
    </row>
    <row r="296" spans="1:26" x14ac:dyDescent="0.35">
      <c r="A296" s="201">
        <v>9</v>
      </c>
      <c r="B296" s="202" t="s">
        <v>482</v>
      </c>
      <c r="C296" s="202" t="s">
        <v>483</v>
      </c>
      <c r="D296" s="203" t="s">
        <v>484</v>
      </c>
      <c r="E296" s="443">
        <v>0</v>
      </c>
      <c r="F296" s="443">
        <v>0</v>
      </c>
      <c r="G296" s="443">
        <v>0</v>
      </c>
      <c r="H296" s="204">
        <f>IF(ABS(Walls2422826637[[#This Row],[Actual Buyout]])+ABS(Walls2422826637[[#This Row],[Change Orders]])=0,Walls2422826637[[#This Row],[Original Contract]],Walls2422826637[[#This Row],[Actual Buyout]]+Walls2422826637[[#This Row],[Change Orders]])</f>
        <v>0</v>
      </c>
      <c r="I296" s="443">
        <v>0</v>
      </c>
      <c r="J296" s="213">
        <f>Walls2422826637[[#This Row],[Original Contract]]-Walls2422826637[[#This Row],[Revised Contract]]</f>
        <v>0</v>
      </c>
      <c r="K296" s="218"/>
      <c r="L296" s="217"/>
      <c r="M296" s="184"/>
      <c r="T296" s="165"/>
      <c r="U296" s="165"/>
      <c r="Y296" s="166"/>
      <c r="Z296" s="166"/>
    </row>
    <row r="297" spans="1:26" x14ac:dyDescent="0.35">
      <c r="A297" s="201">
        <v>9</v>
      </c>
      <c r="B297" s="202" t="s">
        <v>482</v>
      </c>
      <c r="C297" s="202" t="s">
        <v>483</v>
      </c>
      <c r="D297" s="203" t="s">
        <v>485</v>
      </c>
      <c r="E297" s="443">
        <v>0</v>
      </c>
      <c r="F297" s="443">
        <v>0</v>
      </c>
      <c r="G297" s="443">
        <v>0</v>
      </c>
      <c r="H297" s="204">
        <f>IF(ABS(Walls2422826637[[#This Row],[Actual Buyout]])+ABS(Walls2422826637[[#This Row],[Change Orders]])=0,Walls2422826637[[#This Row],[Original Contract]],Walls2422826637[[#This Row],[Actual Buyout]]+Walls2422826637[[#This Row],[Change Orders]])</f>
        <v>0</v>
      </c>
      <c r="I297" s="443">
        <v>0</v>
      </c>
      <c r="J297" s="213">
        <f>Walls2422826637[[#This Row],[Original Contract]]-Walls2422826637[[#This Row],[Revised Contract]]</f>
        <v>0</v>
      </c>
      <c r="K297" s="218"/>
      <c r="L297" s="217"/>
      <c r="M297" s="184"/>
      <c r="T297" s="165"/>
      <c r="U297" s="165"/>
      <c r="Y297" s="166"/>
      <c r="Z297" s="166"/>
    </row>
    <row r="298" spans="1:26" x14ac:dyDescent="0.35">
      <c r="A298" s="201">
        <v>9</v>
      </c>
      <c r="B298" s="202" t="s">
        <v>486</v>
      </c>
      <c r="C298" s="202" t="s">
        <v>487</v>
      </c>
      <c r="D298" s="203" t="s">
        <v>486</v>
      </c>
      <c r="E298" s="443">
        <v>0</v>
      </c>
      <c r="F298" s="443">
        <v>0</v>
      </c>
      <c r="G298" s="443">
        <v>0</v>
      </c>
      <c r="H298" s="204">
        <f>IF(ABS(Walls2422826637[[#This Row],[Actual Buyout]])+ABS(Walls2422826637[[#This Row],[Change Orders]])=0,Walls2422826637[[#This Row],[Original Contract]],Walls2422826637[[#This Row],[Actual Buyout]]+Walls2422826637[[#This Row],[Change Orders]])</f>
        <v>0</v>
      </c>
      <c r="I298" s="443">
        <v>0</v>
      </c>
      <c r="J298" s="213">
        <f>Walls2422826637[[#This Row],[Original Contract]]-Walls2422826637[[#This Row],[Revised Contract]]</f>
        <v>0</v>
      </c>
      <c r="K298" s="218"/>
      <c r="L298" s="217"/>
      <c r="M298" s="184"/>
      <c r="T298" s="165"/>
      <c r="U298" s="165"/>
      <c r="Y298" s="166"/>
      <c r="Z298" s="166"/>
    </row>
    <row r="299" spans="1:26" x14ac:dyDescent="0.35">
      <c r="A299" s="201">
        <v>9</v>
      </c>
      <c r="B299" s="202" t="s">
        <v>488</v>
      </c>
      <c r="C299" s="202" t="s">
        <v>489</v>
      </c>
      <c r="D299" s="203" t="s">
        <v>490</v>
      </c>
      <c r="E299" s="443">
        <v>0</v>
      </c>
      <c r="F299" s="443">
        <v>0</v>
      </c>
      <c r="G299" s="443">
        <v>0</v>
      </c>
      <c r="H299" s="204">
        <f>IF(ABS(Walls2422826637[[#This Row],[Actual Buyout]])+ABS(Walls2422826637[[#This Row],[Change Orders]])=0,Walls2422826637[[#This Row],[Original Contract]],Walls2422826637[[#This Row],[Actual Buyout]]+Walls2422826637[[#This Row],[Change Orders]])</f>
        <v>0</v>
      </c>
      <c r="I299" s="443">
        <v>0</v>
      </c>
      <c r="J299" s="213">
        <f>Walls2422826637[[#This Row],[Original Contract]]-Walls2422826637[[#This Row],[Revised Contract]]</f>
        <v>0</v>
      </c>
      <c r="K299" s="218"/>
      <c r="L299" s="217"/>
      <c r="M299" s="184"/>
      <c r="T299" s="165"/>
      <c r="U299" s="165"/>
      <c r="Y299" s="166"/>
      <c r="Z299" s="166"/>
    </row>
    <row r="300" spans="1:26" x14ac:dyDescent="0.35">
      <c r="A300" s="201">
        <v>9</v>
      </c>
      <c r="B300" s="202" t="s">
        <v>491</v>
      </c>
      <c r="C300" s="202" t="s">
        <v>492</v>
      </c>
      <c r="D300" s="203" t="s">
        <v>493</v>
      </c>
      <c r="E300" s="443">
        <v>0</v>
      </c>
      <c r="F300" s="443">
        <v>0</v>
      </c>
      <c r="G300" s="443">
        <v>0</v>
      </c>
      <c r="H300" s="204">
        <f>IF(ABS(Walls2422826637[[#This Row],[Actual Buyout]])+ABS(Walls2422826637[[#This Row],[Change Orders]])=0,Walls2422826637[[#This Row],[Original Contract]],Walls2422826637[[#This Row],[Actual Buyout]]+Walls2422826637[[#This Row],[Change Orders]])</f>
        <v>0</v>
      </c>
      <c r="I300" s="443">
        <v>0</v>
      </c>
      <c r="J300" s="213">
        <f>Walls2422826637[[#This Row],[Original Contract]]-Walls2422826637[[#This Row],[Revised Contract]]</f>
        <v>0</v>
      </c>
      <c r="K300" s="218"/>
      <c r="L300" s="217"/>
      <c r="M300" s="184"/>
      <c r="T300" s="165"/>
      <c r="U300" s="165"/>
      <c r="Y300" s="166"/>
      <c r="Z300" s="166"/>
    </row>
    <row r="301" spans="1:26" x14ac:dyDescent="0.35">
      <c r="A301" s="201">
        <v>9</v>
      </c>
      <c r="B301" s="202" t="s">
        <v>482</v>
      </c>
      <c r="C301" s="202" t="s">
        <v>483</v>
      </c>
      <c r="D301" s="203" t="s">
        <v>494</v>
      </c>
      <c r="E301" s="443">
        <v>0</v>
      </c>
      <c r="F301" s="443">
        <v>0</v>
      </c>
      <c r="G301" s="443">
        <v>0</v>
      </c>
      <c r="H301" s="204">
        <f>IF(ABS(Walls2422826637[[#This Row],[Actual Buyout]])+ABS(Walls2422826637[[#This Row],[Change Orders]])=0,Walls2422826637[[#This Row],[Original Contract]],Walls2422826637[[#This Row],[Actual Buyout]]+Walls2422826637[[#This Row],[Change Orders]])</f>
        <v>0</v>
      </c>
      <c r="I301" s="443">
        <v>0</v>
      </c>
      <c r="J301" s="213">
        <f>Walls2422826637[[#This Row],[Original Contract]]-Walls2422826637[[#This Row],[Revised Contract]]</f>
        <v>0</v>
      </c>
      <c r="K301" s="218"/>
      <c r="L301" s="217"/>
      <c r="M301" s="184"/>
      <c r="T301" s="165"/>
      <c r="U301" s="165"/>
      <c r="Y301" s="166"/>
      <c r="Z301" s="166"/>
    </row>
    <row r="302" spans="1:26" x14ac:dyDescent="0.35">
      <c r="A302" s="201">
        <v>9</v>
      </c>
      <c r="B302" s="202"/>
      <c r="C302" s="202"/>
      <c r="D302" s="203" t="s">
        <v>495</v>
      </c>
      <c r="E302" s="443">
        <v>0</v>
      </c>
      <c r="F302" s="443">
        <v>0</v>
      </c>
      <c r="G302" s="443">
        <v>0</v>
      </c>
      <c r="H302" s="204">
        <f>IF(ABS(Walls2422826637[[#This Row],[Actual Buyout]])+ABS(Walls2422826637[[#This Row],[Change Orders]])=0,Walls2422826637[[#This Row],[Original Contract]],Walls2422826637[[#This Row],[Actual Buyout]]+Walls2422826637[[#This Row],[Change Orders]])</f>
        <v>0</v>
      </c>
      <c r="I302" s="443">
        <v>0</v>
      </c>
      <c r="J302" s="213">
        <f>Walls2422826637[[#This Row],[Original Contract]]-Walls2422826637[[#This Row],[Revised Contract]]</f>
        <v>0</v>
      </c>
      <c r="K302" s="218"/>
      <c r="L302" s="217"/>
      <c r="M302" s="184"/>
      <c r="T302" s="165"/>
      <c r="U302" s="165"/>
      <c r="Y302" s="166"/>
      <c r="Z302" s="166"/>
    </row>
    <row r="303" spans="1:26" x14ac:dyDescent="0.35">
      <c r="A303" s="201">
        <v>9</v>
      </c>
      <c r="B303" s="202"/>
      <c r="C303" s="202"/>
      <c r="D303" s="580" t="s">
        <v>258</v>
      </c>
      <c r="E303" s="443">
        <v>0</v>
      </c>
      <c r="F303" s="443">
        <v>0</v>
      </c>
      <c r="G303" s="443">
        <v>0</v>
      </c>
      <c r="H303" s="204">
        <f>IF(ABS(Walls2422826637[[#This Row],[Actual Buyout]])+ABS(Walls2422826637[[#This Row],[Change Orders]])=0,Walls2422826637[[#This Row],[Original Contract]],Walls2422826637[[#This Row],[Actual Buyout]]+Walls2422826637[[#This Row],[Change Orders]])</f>
        <v>0</v>
      </c>
      <c r="I303" s="443">
        <v>0</v>
      </c>
      <c r="J303" s="213">
        <f>Walls2422826637[[#This Row],[Original Contract]]-Walls2422826637[[#This Row],[Revised Contract]]</f>
        <v>0</v>
      </c>
      <c r="K303" s="218"/>
      <c r="L303" s="217"/>
      <c r="M303" s="184"/>
      <c r="T303" s="165"/>
      <c r="U303" s="165"/>
      <c r="Y303" s="166"/>
      <c r="Z303" s="166"/>
    </row>
    <row r="304" spans="1:26" x14ac:dyDescent="0.35">
      <c r="A304" s="201">
        <v>9</v>
      </c>
      <c r="B304" s="202"/>
      <c r="C304" s="202"/>
      <c r="D304" s="580" t="s">
        <v>258</v>
      </c>
      <c r="E304" s="443">
        <v>0</v>
      </c>
      <c r="F304" s="443">
        <v>0</v>
      </c>
      <c r="G304" s="443">
        <v>0</v>
      </c>
      <c r="H304" s="204">
        <f>IF(ABS(Walls2422826637[[#This Row],[Actual Buyout]])+ABS(Walls2422826637[[#This Row],[Change Orders]])=0,Walls2422826637[[#This Row],[Original Contract]],Walls2422826637[[#This Row],[Actual Buyout]]+Walls2422826637[[#This Row],[Change Orders]])</f>
        <v>0</v>
      </c>
      <c r="I304" s="443">
        <v>0</v>
      </c>
      <c r="J304" s="213">
        <f>Walls2422826637[[#This Row],[Original Contract]]-Walls2422826637[[#This Row],[Revised Contract]]</f>
        <v>0</v>
      </c>
      <c r="K304" s="218"/>
      <c r="L304" s="217"/>
      <c r="M304" s="184"/>
      <c r="T304" s="165"/>
      <c r="U304" s="165"/>
      <c r="Y304" s="166"/>
      <c r="Z304" s="166"/>
    </row>
    <row r="305" spans="1:26" x14ac:dyDescent="0.35">
      <c r="A305" s="201">
        <v>9</v>
      </c>
      <c r="B305" s="202"/>
      <c r="C305" s="202"/>
      <c r="D305" s="203" t="s">
        <v>496</v>
      </c>
      <c r="E305" s="443">
        <v>0</v>
      </c>
      <c r="F305" s="443">
        <v>0</v>
      </c>
      <c r="G305" s="443">
        <v>0</v>
      </c>
      <c r="H305" s="204">
        <f>IF(ABS(Walls2422826637[[#This Row],[Actual Buyout]])+ABS(Walls2422826637[[#This Row],[Change Orders]])=0,Walls2422826637[[#This Row],[Original Contract]],Walls2422826637[[#This Row],[Actual Buyout]]+Walls2422826637[[#This Row],[Change Orders]])</f>
        <v>0</v>
      </c>
      <c r="I305" s="443">
        <v>0</v>
      </c>
      <c r="J305" s="213">
        <f>Walls2422826637[[#This Row],[Original Contract]]-Walls2422826637[[#This Row],[Revised Contract]]</f>
        <v>0</v>
      </c>
      <c r="K305" s="218"/>
      <c r="L305" s="217"/>
      <c r="M305" s="184"/>
      <c r="T305" s="165"/>
      <c r="U305" s="165"/>
      <c r="Y305" s="166"/>
      <c r="Z305" s="166"/>
    </row>
    <row r="306" spans="1:26" x14ac:dyDescent="0.35">
      <c r="A306" s="219"/>
      <c r="B306" s="220"/>
      <c r="C306" s="220"/>
      <c r="D306" s="208" t="s">
        <v>259</v>
      </c>
      <c r="E306" s="209">
        <f>SUM(Walls2422826637[Original Contract])</f>
        <v>0</v>
      </c>
      <c r="F306" s="209">
        <f>SUM(Walls2422826637[Actual Buyout])</f>
        <v>0</v>
      </c>
      <c r="G306" s="209">
        <f>SUM(Walls2422826637[Change Orders])</f>
        <v>0</v>
      </c>
      <c r="H306" s="209">
        <f>SUM(Walls2422826637[Revised Contract])</f>
        <v>0</v>
      </c>
      <c r="I306" s="209">
        <f>SUM(Walls2422826637[Total completed and Stored])</f>
        <v>0</v>
      </c>
      <c r="J306" s="209">
        <f>SUM(Walls2422826637[Delta])</f>
        <v>0</v>
      </c>
      <c r="K306" s="221"/>
      <c r="L306" s="184"/>
      <c r="M306" s="184"/>
    </row>
    <row r="307" spans="1:26" x14ac:dyDescent="0.35">
      <c r="A307" s="164" t="s">
        <v>135</v>
      </c>
      <c r="B307" s="164" t="s">
        <v>497</v>
      </c>
      <c r="C307" s="164" t="s">
        <v>242</v>
      </c>
      <c r="D307" s="164" t="s">
        <v>243</v>
      </c>
      <c r="E307" s="164" t="s">
        <v>244</v>
      </c>
      <c r="F307" s="198" t="s">
        <v>245</v>
      </c>
      <c r="G307" s="198" t="s">
        <v>246</v>
      </c>
      <c r="H307" s="198" t="s">
        <v>247</v>
      </c>
      <c r="I307" s="211" t="s">
        <v>250</v>
      </c>
      <c r="J307" s="222" t="s">
        <v>249</v>
      </c>
      <c r="K307" s="218"/>
      <c r="L307" s="216"/>
      <c r="M307" s="184"/>
      <c r="T307" s="165"/>
      <c r="U307" s="165"/>
      <c r="Y307" s="166"/>
      <c r="Z307" s="166"/>
    </row>
    <row r="308" spans="1:26" x14ac:dyDescent="0.35">
      <c r="A308" s="201">
        <v>9</v>
      </c>
      <c r="B308" s="202" t="s">
        <v>498</v>
      </c>
      <c r="C308" s="202" t="s">
        <v>499</v>
      </c>
      <c r="D308" s="203" t="s">
        <v>500</v>
      </c>
      <c r="E308" s="443">
        <v>0</v>
      </c>
      <c r="F308" s="443">
        <v>0</v>
      </c>
      <c r="G308" s="443">
        <v>0</v>
      </c>
      <c r="H308" s="204">
        <f>IF(ABS(Flooring2522926738[[#This Row],[Actual Buyout]])+ABS(Flooring2522926738[[#This Row],[Change Orders]])=0,Flooring2522926738[[#This Row],[Original Contract]],Flooring2522926738[[#This Row],[Actual Buyout]]+Flooring2522926738[[#This Row],[Change Orders]])</f>
        <v>0</v>
      </c>
      <c r="I308" s="443">
        <v>0</v>
      </c>
      <c r="J308" s="213">
        <f>Flooring2522926738[[#This Row],[Original Contract]]-Flooring2522926738[[#This Row],[Revised Contract]]</f>
        <v>0</v>
      </c>
      <c r="K308" s="218"/>
      <c r="L308" s="217"/>
      <c r="M308" s="184"/>
      <c r="T308" s="165"/>
      <c r="U308" s="165"/>
      <c r="Y308" s="166"/>
      <c r="Z308" s="166"/>
    </row>
    <row r="309" spans="1:26" x14ac:dyDescent="0.35">
      <c r="A309" s="201">
        <v>9</v>
      </c>
      <c r="B309" s="202" t="s">
        <v>501</v>
      </c>
      <c r="C309" s="202" t="s">
        <v>502</v>
      </c>
      <c r="D309" s="203" t="s">
        <v>503</v>
      </c>
      <c r="E309" s="443">
        <v>0</v>
      </c>
      <c r="F309" s="443">
        <v>0</v>
      </c>
      <c r="G309" s="443">
        <v>0</v>
      </c>
      <c r="H309" s="204">
        <f>IF(ABS(Flooring2522926738[[#This Row],[Actual Buyout]])+ABS(Flooring2522926738[[#This Row],[Change Orders]])=0,Flooring2522926738[[#This Row],[Original Contract]],Flooring2522926738[[#This Row],[Actual Buyout]]+Flooring2522926738[[#This Row],[Change Orders]])</f>
        <v>0</v>
      </c>
      <c r="I309" s="443">
        <v>0</v>
      </c>
      <c r="J309" s="213">
        <f>Flooring2522926738[[#This Row],[Original Contract]]-Flooring2522926738[[#This Row],[Revised Contract]]</f>
        <v>0</v>
      </c>
      <c r="K309" s="218"/>
      <c r="L309" s="217"/>
      <c r="M309" s="184"/>
      <c r="T309" s="165"/>
      <c r="U309" s="165"/>
      <c r="Y309" s="166"/>
      <c r="Z309" s="166"/>
    </row>
    <row r="310" spans="1:26" x14ac:dyDescent="0.35">
      <c r="A310" s="201">
        <v>9</v>
      </c>
      <c r="B310" s="202" t="s">
        <v>504</v>
      </c>
      <c r="C310" s="202" t="s">
        <v>505</v>
      </c>
      <c r="D310" s="203" t="s">
        <v>506</v>
      </c>
      <c r="E310" s="443">
        <v>0</v>
      </c>
      <c r="F310" s="443">
        <v>0</v>
      </c>
      <c r="G310" s="443">
        <v>0</v>
      </c>
      <c r="H310" s="204">
        <f>IF(ABS(Flooring2522926738[[#This Row],[Actual Buyout]])+ABS(Flooring2522926738[[#This Row],[Change Orders]])=0,Flooring2522926738[[#This Row],[Original Contract]],Flooring2522926738[[#This Row],[Actual Buyout]]+Flooring2522926738[[#This Row],[Change Orders]])</f>
        <v>0</v>
      </c>
      <c r="I310" s="443">
        <v>0</v>
      </c>
      <c r="J310" s="213">
        <f>Flooring2522926738[[#This Row],[Original Contract]]-Flooring2522926738[[#This Row],[Revised Contract]]</f>
        <v>0</v>
      </c>
      <c r="K310" s="218"/>
      <c r="L310" s="217"/>
      <c r="M310" s="184"/>
      <c r="T310" s="165"/>
      <c r="U310" s="165"/>
      <c r="Y310" s="166"/>
      <c r="Z310" s="166"/>
    </row>
    <row r="311" spans="1:26" x14ac:dyDescent="0.35">
      <c r="A311" s="201">
        <v>9</v>
      </c>
      <c r="B311" s="202"/>
      <c r="C311" s="202"/>
      <c r="D311" s="580" t="s">
        <v>258</v>
      </c>
      <c r="E311" s="443">
        <v>0</v>
      </c>
      <c r="F311" s="443">
        <v>0</v>
      </c>
      <c r="G311" s="443">
        <v>0</v>
      </c>
      <c r="H311" s="204">
        <f>IF(ABS(Flooring2522926738[[#This Row],[Actual Buyout]])+ABS(Flooring2522926738[[#This Row],[Change Orders]])=0,Flooring2522926738[[#This Row],[Original Contract]],Flooring2522926738[[#This Row],[Actual Buyout]]+Flooring2522926738[[#This Row],[Change Orders]])</f>
        <v>0</v>
      </c>
      <c r="I311" s="443">
        <v>0</v>
      </c>
      <c r="J311" s="213">
        <f>Flooring2522926738[[#This Row],[Original Contract]]-Flooring2522926738[[#This Row],[Revised Contract]]</f>
        <v>0</v>
      </c>
      <c r="K311" s="218"/>
      <c r="L311" s="217"/>
      <c r="M311" s="184"/>
      <c r="T311" s="165"/>
      <c r="U311" s="165"/>
      <c r="Y311" s="166"/>
      <c r="Z311" s="166"/>
    </row>
    <row r="312" spans="1:26" x14ac:dyDescent="0.35">
      <c r="A312" s="201">
        <v>9</v>
      </c>
      <c r="B312" s="202"/>
      <c r="C312" s="202"/>
      <c r="D312" s="580" t="s">
        <v>258</v>
      </c>
      <c r="E312" s="443">
        <v>0</v>
      </c>
      <c r="F312" s="443">
        <v>0</v>
      </c>
      <c r="G312" s="443">
        <v>0</v>
      </c>
      <c r="H312" s="204">
        <f>IF(ABS(Flooring2522926738[[#This Row],[Actual Buyout]])+ABS(Flooring2522926738[[#This Row],[Change Orders]])=0,Flooring2522926738[[#This Row],[Original Contract]],Flooring2522926738[[#This Row],[Actual Buyout]]+Flooring2522926738[[#This Row],[Change Orders]])</f>
        <v>0</v>
      </c>
      <c r="I312" s="443">
        <v>0</v>
      </c>
      <c r="J312" s="213">
        <f>Flooring2522926738[[#This Row],[Original Contract]]-Flooring2522926738[[#This Row],[Revised Contract]]</f>
        <v>0</v>
      </c>
      <c r="K312" s="218"/>
      <c r="L312" s="217"/>
      <c r="M312" s="184"/>
      <c r="T312" s="165"/>
      <c r="U312" s="165"/>
      <c r="Y312" s="166"/>
      <c r="Z312" s="166"/>
    </row>
    <row r="313" spans="1:26" x14ac:dyDescent="0.35">
      <c r="A313" s="201">
        <v>9</v>
      </c>
      <c r="B313" s="202"/>
      <c r="C313" s="202"/>
      <c r="D313" s="580" t="s">
        <v>258</v>
      </c>
      <c r="E313" s="443">
        <v>0</v>
      </c>
      <c r="F313" s="443">
        <v>0</v>
      </c>
      <c r="G313" s="443">
        <v>0</v>
      </c>
      <c r="H313" s="204">
        <f>IF(ABS(Flooring2522926738[[#This Row],[Actual Buyout]])+ABS(Flooring2522926738[[#This Row],[Change Orders]])=0,Flooring2522926738[[#This Row],[Original Contract]],Flooring2522926738[[#This Row],[Actual Buyout]]+Flooring2522926738[[#This Row],[Change Orders]])</f>
        <v>0</v>
      </c>
      <c r="I313" s="443">
        <v>0</v>
      </c>
      <c r="J313" s="213">
        <f>Flooring2522926738[[#This Row],[Original Contract]]-Flooring2522926738[[#This Row],[Revised Contract]]</f>
        <v>0</v>
      </c>
      <c r="K313" s="218"/>
      <c r="L313" s="217"/>
      <c r="M313" s="184"/>
      <c r="T313" s="165"/>
      <c r="U313" s="165"/>
      <c r="Y313" s="166"/>
      <c r="Z313" s="166"/>
    </row>
    <row r="314" spans="1:26" x14ac:dyDescent="0.35">
      <c r="A314" s="201">
        <v>9</v>
      </c>
      <c r="B314" s="202"/>
      <c r="C314" s="202"/>
      <c r="D314" s="580" t="s">
        <v>258</v>
      </c>
      <c r="E314" s="443">
        <v>0</v>
      </c>
      <c r="F314" s="443">
        <v>0</v>
      </c>
      <c r="G314" s="443">
        <v>0</v>
      </c>
      <c r="H314" s="204">
        <f>IF(ABS(Flooring2522926738[[#This Row],[Actual Buyout]])+ABS(Flooring2522926738[[#This Row],[Change Orders]])=0,Flooring2522926738[[#This Row],[Original Contract]],Flooring2522926738[[#This Row],[Actual Buyout]]+Flooring2522926738[[#This Row],[Change Orders]])</f>
        <v>0</v>
      </c>
      <c r="I314" s="443">
        <v>0</v>
      </c>
      <c r="J314" s="213">
        <f>Flooring2522926738[[#This Row],[Original Contract]]-Flooring2522926738[[#This Row],[Revised Contract]]</f>
        <v>0</v>
      </c>
      <c r="K314" s="218"/>
      <c r="L314" s="217"/>
      <c r="M314" s="184"/>
      <c r="T314" s="165"/>
      <c r="U314" s="165"/>
      <c r="Y314" s="166"/>
      <c r="Z314" s="166"/>
    </row>
    <row r="315" spans="1:26" x14ac:dyDescent="0.35">
      <c r="A315" s="201">
        <v>9</v>
      </c>
      <c r="B315" s="202"/>
      <c r="C315" s="202"/>
      <c r="D315" s="580" t="s">
        <v>258</v>
      </c>
      <c r="E315" s="443">
        <v>0</v>
      </c>
      <c r="F315" s="443">
        <v>0</v>
      </c>
      <c r="G315" s="443">
        <v>0</v>
      </c>
      <c r="H315" s="204">
        <f>IF(ABS(Flooring2522926738[[#This Row],[Actual Buyout]])+ABS(Flooring2522926738[[#This Row],[Change Orders]])=0,Flooring2522926738[[#This Row],[Original Contract]],Flooring2522926738[[#This Row],[Actual Buyout]]+Flooring2522926738[[#This Row],[Change Orders]])</f>
        <v>0</v>
      </c>
      <c r="I315" s="443">
        <v>0</v>
      </c>
      <c r="J315" s="213">
        <f>Flooring2522926738[[#This Row],[Original Contract]]-Flooring2522926738[[#This Row],[Revised Contract]]</f>
        <v>0</v>
      </c>
      <c r="K315" s="218"/>
      <c r="L315" s="217"/>
      <c r="M315" s="184"/>
      <c r="T315" s="165"/>
      <c r="U315" s="165"/>
      <c r="Y315" s="166"/>
      <c r="Z315" s="166"/>
    </row>
    <row r="316" spans="1:26" x14ac:dyDescent="0.35">
      <c r="A316" s="219"/>
      <c r="B316" s="220"/>
      <c r="C316" s="220"/>
      <c r="D316" s="208" t="s">
        <v>259</v>
      </c>
      <c r="E316" s="209">
        <f>SUM(Flooring2522926738[Original Contract])</f>
        <v>0</v>
      </c>
      <c r="F316" s="209">
        <f>SUM(Flooring2522926738[Actual Buyout])</f>
        <v>0</v>
      </c>
      <c r="G316" s="209">
        <f>SUM(Flooring2522926738[Change Orders])</f>
        <v>0</v>
      </c>
      <c r="H316" s="209">
        <f>SUM(Flooring2522926738[Revised Contract])</f>
        <v>0</v>
      </c>
      <c r="I316" s="209">
        <f>SUM(Flooring2522926738[Total completed and Stored])</f>
        <v>0</v>
      </c>
      <c r="J316" s="209">
        <f>SUM(Flooring2522926738[Delta])</f>
        <v>0</v>
      </c>
      <c r="K316" s="221"/>
      <c r="L316" s="184"/>
      <c r="M316" s="184"/>
    </row>
    <row r="317" spans="1:26" x14ac:dyDescent="0.35">
      <c r="A317" s="164" t="s">
        <v>135</v>
      </c>
      <c r="B317" s="164" t="s">
        <v>507</v>
      </c>
      <c r="C317" s="164" t="s">
        <v>242</v>
      </c>
      <c r="D317" s="164" t="s">
        <v>243</v>
      </c>
      <c r="E317" s="164" t="s">
        <v>244</v>
      </c>
      <c r="F317" s="198" t="s">
        <v>245</v>
      </c>
      <c r="G317" s="198" t="s">
        <v>246</v>
      </c>
      <c r="H317" s="198" t="s">
        <v>247</v>
      </c>
      <c r="I317" s="211" t="s">
        <v>250</v>
      </c>
      <c r="J317" s="222" t="s">
        <v>249</v>
      </c>
      <c r="K317" s="218"/>
      <c r="L317" s="216"/>
      <c r="M317" s="184"/>
      <c r="T317" s="165"/>
      <c r="U317" s="165"/>
      <c r="Y317" s="166"/>
      <c r="Z317" s="166"/>
    </row>
    <row r="318" spans="1:26" x14ac:dyDescent="0.35">
      <c r="A318" s="201">
        <v>9</v>
      </c>
      <c r="B318" s="202" t="s">
        <v>508</v>
      </c>
      <c r="C318" s="202" t="s">
        <v>509</v>
      </c>
      <c r="D318" s="203" t="s">
        <v>510</v>
      </c>
      <c r="E318" s="443">
        <v>0</v>
      </c>
      <c r="F318" s="443">
        <v>0</v>
      </c>
      <c r="G318" s="443">
        <v>0</v>
      </c>
      <c r="H318" s="204">
        <f>IF(ABS(Paint2623026839[[#This Row],[Actual Buyout]])+ABS(Paint2623026839[[#This Row],[Change Orders]])=0,Paint2623026839[[#This Row],[Original Contract]],Paint2623026839[[#This Row],[Actual Buyout]]+Paint2623026839[[#This Row],[Change Orders]])</f>
        <v>0</v>
      </c>
      <c r="I318" s="443">
        <v>0</v>
      </c>
      <c r="J318" s="213">
        <f>Paint2623026839[[#This Row],[Original Contract]]-Paint2623026839[[#This Row],[Revised Contract]]</f>
        <v>0</v>
      </c>
      <c r="K318" s="218"/>
      <c r="L318" s="217"/>
      <c r="M318" s="184"/>
      <c r="T318" s="165"/>
      <c r="U318" s="165"/>
      <c r="Y318" s="166"/>
      <c r="Z318" s="166"/>
    </row>
    <row r="319" spans="1:26" x14ac:dyDescent="0.35">
      <c r="A319" s="201">
        <v>9</v>
      </c>
      <c r="B319" s="202" t="s">
        <v>511</v>
      </c>
      <c r="C319" s="202" t="s">
        <v>512</v>
      </c>
      <c r="D319" s="203" t="s">
        <v>513</v>
      </c>
      <c r="E319" s="443">
        <v>0</v>
      </c>
      <c r="F319" s="443">
        <v>0</v>
      </c>
      <c r="G319" s="443">
        <v>0</v>
      </c>
      <c r="H319" s="204">
        <f>IF(ABS(Paint2623026839[[#This Row],[Actual Buyout]])+ABS(Paint2623026839[[#This Row],[Change Orders]])=0,Paint2623026839[[#This Row],[Original Contract]],Paint2623026839[[#This Row],[Actual Buyout]]+Paint2623026839[[#This Row],[Change Orders]])</f>
        <v>0</v>
      </c>
      <c r="I319" s="443">
        <v>0</v>
      </c>
      <c r="J319" s="213">
        <f>Paint2623026839[[#This Row],[Original Contract]]-Paint2623026839[[#This Row],[Revised Contract]]</f>
        <v>0</v>
      </c>
      <c r="K319" s="218"/>
      <c r="L319" s="217"/>
      <c r="M319" s="184"/>
      <c r="T319" s="165"/>
      <c r="U319" s="165"/>
      <c r="Y319" s="166"/>
      <c r="Z319" s="166"/>
    </row>
    <row r="320" spans="1:26" x14ac:dyDescent="0.35">
      <c r="A320" s="201">
        <v>9</v>
      </c>
      <c r="B320" s="202" t="s">
        <v>511</v>
      </c>
      <c r="C320" s="202" t="s">
        <v>512</v>
      </c>
      <c r="D320" s="203" t="s">
        <v>514</v>
      </c>
      <c r="E320" s="443">
        <v>0</v>
      </c>
      <c r="F320" s="443">
        <v>0</v>
      </c>
      <c r="G320" s="443">
        <v>0</v>
      </c>
      <c r="H320" s="204">
        <f>IF(ABS(Paint2623026839[[#This Row],[Actual Buyout]])+ABS(Paint2623026839[[#This Row],[Change Orders]])=0,Paint2623026839[[#This Row],[Original Contract]],Paint2623026839[[#This Row],[Actual Buyout]]+Paint2623026839[[#This Row],[Change Orders]])</f>
        <v>0</v>
      </c>
      <c r="I320" s="443">
        <v>0</v>
      </c>
      <c r="J320" s="213">
        <f>Paint2623026839[[#This Row],[Original Contract]]-Paint2623026839[[#This Row],[Revised Contract]]</f>
        <v>0</v>
      </c>
      <c r="K320" s="218"/>
      <c r="L320" s="217"/>
      <c r="M320" s="184"/>
      <c r="T320" s="165"/>
      <c r="U320" s="165"/>
      <c r="Y320" s="166"/>
      <c r="Z320" s="166"/>
    </row>
    <row r="321" spans="1:26" x14ac:dyDescent="0.35">
      <c r="A321" s="201">
        <v>9</v>
      </c>
      <c r="B321" s="202" t="s">
        <v>511</v>
      </c>
      <c r="C321" s="202" t="s">
        <v>512</v>
      </c>
      <c r="D321" s="203" t="s">
        <v>515</v>
      </c>
      <c r="E321" s="443">
        <v>0</v>
      </c>
      <c r="F321" s="443">
        <v>0</v>
      </c>
      <c r="G321" s="443">
        <v>0</v>
      </c>
      <c r="H321" s="204">
        <f>IF(ABS(Paint2623026839[[#This Row],[Actual Buyout]])+ABS(Paint2623026839[[#This Row],[Change Orders]])=0,Paint2623026839[[#This Row],[Original Contract]],Paint2623026839[[#This Row],[Actual Buyout]]+Paint2623026839[[#This Row],[Change Orders]])</f>
        <v>0</v>
      </c>
      <c r="I321" s="443">
        <v>0</v>
      </c>
      <c r="J321" s="213">
        <f>Paint2623026839[[#This Row],[Original Contract]]-Paint2623026839[[#This Row],[Revised Contract]]</f>
        <v>0</v>
      </c>
      <c r="K321" s="218"/>
      <c r="L321" s="217"/>
      <c r="M321" s="184"/>
      <c r="T321" s="165"/>
      <c r="U321" s="165"/>
      <c r="Y321" s="166"/>
      <c r="Z321" s="166"/>
    </row>
    <row r="322" spans="1:26" x14ac:dyDescent="0.35">
      <c r="A322" s="201">
        <v>9</v>
      </c>
      <c r="B322" s="202" t="s">
        <v>516</v>
      </c>
      <c r="C322" s="202" t="s">
        <v>517</v>
      </c>
      <c r="D322" s="203" t="s">
        <v>518</v>
      </c>
      <c r="E322" s="443">
        <v>0</v>
      </c>
      <c r="F322" s="443">
        <v>0</v>
      </c>
      <c r="G322" s="443">
        <v>0</v>
      </c>
      <c r="H322" s="204">
        <f>IF(ABS(Paint2623026839[[#This Row],[Actual Buyout]])+ABS(Paint2623026839[[#This Row],[Change Orders]])=0,Paint2623026839[[#This Row],[Original Contract]],Paint2623026839[[#This Row],[Actual Buyout]]+Paint2623026839[[#This Row],[Change Orders]])</f>
        <v>0</v>
      </c>
      <c r="I322" s="443">
        <v>0</v>
      </c>
      <c r="J322" s="213">
        <f>Paint2623026839[[#This Row],[Original Contract]]-Paint2623026839[[#This Row],[Revised Contract]]</f>
        <v>0</v>
      </c>
      <c r="K322" s="218"/>
      <c r="L322" s="217"/>
      <c r="M322" s="184"/>
      <c r="T322" s="165"/>
      <c r="U322" s="165"/>
      <c r="Y322" s="166"/>
      <c r="Z322" s="166"/>
    </row>
    <row r="323" spans="1:26" x14ac:dyDescent="0.35">
      <c r="A323" s="201">
        <v>9</v>
      </c>
      <c r="B323" s="202" t="s">
        <v>516</v>
      </c>
      <c r="C323" s="202" t="s">
        <v>517</v>
      </c>
      <c r="D323" s="203" t="s">
        <v>519</v>
      </c>
      <c r="E323" s="443">
        <v>0</v>
      </c>
      <c r="F323" s="443">
        <v>0</v>
      </c>
      <c r="G323" s="443">
        <v>0</v>
      </c>
      <c r="H323" s="204">
        <f>IF(ABS(Paint2623026839[[#This Row],[Actual Buyout]])+ABS(Paint2623026839[[#This Row],[Change Orders]])=0,Paint2623026839[[#This Row],[Original Contract]],Paint2623026839[[#This Row],[Actual Buyout]]+Paint2623026839[[#This Row],[Change Orders]])</f>
        <v>0</v>
      </c>
      <c r="I323" s="443">
        <v>0</v>
      </c>
      <c r="J323" s="213">
        <f>Paint2623026839[[#This Row],[Original Contract]]-Paint2623026839[[#This Row],[Revised Contract]]</f>
        <v>0</v>
      </c>
      <c r="K323" s="218"/>
      <c r="L323" s="217"/>
      <c r="M323" s="184"/>
      <c r="T323" s="165"/>
      <c r="U323" s="165"/>
      <c r="Y323" s="166"/>
      <c r="Z323" s="166"/>
    </row>
    <row r="324" spans="1:26" x14ac:dyDescent="0.35">
      <c r="A324" s="201">
        <v>9</v>
      </c>
      <c r="B324" s="202" t="s">
        <v>520</v>
      </c>
      <c r="C324" s="202" t="s">
        <v>521</v>
      </c>
      <c r="D324" s="203" t="s">
        <v>522</v>
      </c>
      <c r="E324" s="443">
        <v>0</v>
      </c>
      <c r="F324" s="443">
        <v>0</v>
      </c>
      <c r="G324" s="443">
        <v>0</v>
      </c>
      <c r="H324" s="204">
        <f>IF(ABS(Paint2623026839[[#This Row],[Actual Buyout]])+ABS(Paint2623026839[[#This Row],[Change Orders]])=0,Paint2623026839[[#This Row],[Original Contract]],Paint2623026839[[#This Row],[Actual Buyout]]+Paint2623026839[[#This Row],[Change Orders]])</f>
        <v>0</v>
      </c>
      <c r="I324" s="443">
        <v>0</v>
      </c>
      <c r="J324" s="213">
        <f>Paint2623026839[[#This Row],[Original Contract]]-Paint2623026839[[#This Row],[Revised Contract]]</f>
        <v>0</v>
      </c>
      <c r="K324" s="218"/>
      <c r="L324" s="217"/>
      <c r="M324" s="184"/>
      <c r="T324" s="165"/>
      <c r="U324" s="165"/>
      <c r="Y324" s="166"/>
      <c r="Z324" s="166"/>
    </row>
    <row r="325" spans="1:26" x14ac:dyDescent="0.35">
      <c r="A325" s="201">
        <v>9</v>
      </c>
      <c r="B325" s="202"/>
      <c r="C325" s="202"/>
      <c r="D325" s="580" t="s">
        <v>258</v>
      </c>
      <c r="E325" s="443">
        <v>0</v>
      </c>
      <c r="F325" s="443">
        <v>0</v>
      </c>
      <c r="G325" s="443">
        <v>0</v>
      </c>
      <c r="H325" s="204">
        <f>IF(ABS(Paint2623026839[[#This Row],[Actual Buyout]])+ABS(Paint2623026839[[#This Row],[Change Orders]])=0,Paint2623026839[[#This Row],[Original Contract]],Paint2623026839[[#This Row],[Actual Buyout]]+Paint2623026839[[#This Row],[Change Orders]])</f>
        <v>0</v>
      </c>
      <c r="I325" s="443">
        <v>0</v>
      </c>
      <c r="J325" s="213">
        <f>Paint2623026839[[#This Row],[Original Contract]]-Paint2623026839[[#This Row],[Revised Contract]]</f>
        <v>0</v>
      </c>
      <c r="K325" s="218"/>
      <c r="L325" s="217"/>
      <c r="M325" s="184"/>
      <c r="T325" s="165"/>
      <c r="U325" s="165"/>
      <c r="Y325" s="166"/>
      <c r="Z325" s="166"/>
    </row>
    <row r="326" spans="1:26" x14ac:dyDescent="0.35">
      <c r="A326" s="201">
        <v>9</v>
      </c>
      <c r="B326" s="202"/>
      <c r="C326" s="202"/>
      <c r="D326" s="580" t="s">
        <v>258</v>
      </c>
      <c r="E326" s="443">
        <v>0</v>
      </c>
      <c r="F326" s="443">
        <v>0</v>
      </c>
      <c r="G326" s="443">
        <v>0</v>
      </c>
      <c r="H326" s="204">
        <f>IF(ABS(Paint2623026839[[#This Row],[Actual Buyout]])+ABS(Paint2623026839[[#This Row],[Change Orders]])=0,Paint2623026839[[#This Row],[Original Contract]],Paint2623026839[[#This Row],[Actual Buyout]]+Paint2623026839[[#This Row],[Change Orders]])</f>
        <v>0</v>
      </c>
      <c r="I326" s="443">
        <v>0</v>
      </c>
      <c r="J326" s="213">
        <f>Paint2623026839[[#This Row],[Original Contract]]-Paint2623026839[[#This Row],[Revised Contract]]</f>
        <v>0</v>
      </c>
      <c r="K326" s="218"/>
      <c r="L326" s="217"/>
      <c r="M326" s="184"/>
      <c r="T326" s="165"/>
      <c r="U326" s="165"/>
      <c r="Y326" s="166"/>
      <c r="Z326" s="166"/>
    </row>
    <row r="327" spans="1:26" x14ac:dyDescent="0.35">
      <c r="A327" s="201">
        <v>9</v>
      </c>
      <c r="B327" s="202"/>
      <c r="C327" s="202"/>
      <c r="D327" s="580" t="s">
        <v>258</v>
      </c>
      <c r="E327" s="443">
        <v>0</v>
      </c>
      <c r="F327" s="443">
        <v>0</v>
      </c>
      <c r="G327" s="443">
        <v>0</v>
      </c>
      <c r="H327" s="204">
        <f>IF(ABS(Paint2623026839[[#This Row],[Actual Buyout]])+ABS(Paint2623026839[[#This Row],[Change Orders]])=0,Paint2623026839[[#This Row],[Original Contract]],Paint2623026839[[#This Row],[Actual Buyout]]+Paint2623026839[[#This Row],[Change Orders]])</f>
        <v>0</v>
      </c>
      <c r="I327" s="443">
        <v>0</v>
      </c>
      <c r="J327" s="213">
        <f>Paint2623026839[[#This Row],[Original Contract]]-Paint2623026839[[#This Row],[Revised Contract]]</f>
        <v>0</v>
      </c>
      <c r="K327" s="218"/>
      <c r="L327" s="217"/>
      <c r="M327" s="184"/>
      <c r="T327" s="165"/>
      <c r="U327" s="165"/>
      <c r="Y327" s="166"/>
      <c r="Z327" s="166"/>
    </row>
    <row r="328" spans="1:26" x14ac:dyDescent="0.35">
      <c r="A328" s="201">
        <v>9</v>
      </c>
      <c r="B328" s="202"/>
      <c r="C328" s="202"/>
      <c r="D328" s="580" t="s">
        <v>258</v>
      </c>
      <c r="E328" s="443">
        <v>0</v>
      </c>
      <c r="F328" s="443">
        <v>0</v>
      </c>
      <c r="G328" s="443">
        <v>0</v>
      </c>
      <c r="H328" s="204">
        <f>IF(ABS(Paint2623026839[[#This Row],[Actual Buyout]])+ABS(Paint2623026839[[#This Row],[Change Orders]])=0,Paint2623026839[[#This Row],[Original Contract]],Paint2623026839[[#This Row],[Actual Buyout]]+Paint2623026839[[#This Row],[Change Orders]])</f>
        <v>0</v>
      </c>
      <c r="I328" s="443">
        <v>0</v>
      </c>
      <c r="J328" s="213">
        <f>Paint2623026839[[#This Row],[Original Contract]]-Paint2623026839[[#This Row],[Revised Contract]]</f>
        <v>0</v>
      </c>
      <c r="K328" s="218"/>
      <c r="L328" s="217"/>
      <c r="M328" s="184"/>
      <c r="T328" s="165"/>
      <c r="U328" s="165"/>
      <c r="Y328" s="166"/>
      <c r="Z328" s="166"/>
    </row>
    <row r="329" spans="1:26" x14ac:dyDescent="0.35">
      <c r="A329" s="201">
        <v>9</v>
      </c>
      <c r="B329" s="202"/>
      <c r="C329" s="202"/>
      <c r="D329" s="580" t="s">
        <v>258</v>
      </c>
      <c r="E329" s="443">
        <v>0</v>
      </c>
      <c r="F329" s="443">
        <v>0</v>
      </c>
      <c r="G329" s="443">
        <v>0</v>
      </c>
      <c r="H329" s="204">
        <f>IF(ABS(Paint2623026839[[#This Row],[Actual Buyout]])+ABS(Paint2623026839[[#This Row],[Change Orders]])=0,Paint2623026839[[#This Row],[Original Contract]],Paint2623026839[[#This Row],[Actual Buyout]]+Paint2623026839[[#This Row],[Change Orders]])</f>
        <v>0</v>
      </c>
      <c r="I329" s="443">
        <v>0</v>
      </c>
      <c r="J329" s="213">
        <f>Paint2623026839[[#This Row],[Original Contract]]-Paint2623026839[[#This Row],[Revised Contract]]</f>
        <v>0</v>
      </c>
      <c r="K329" s="218"/>
      <c r="L329" s="217"/>
      <c r="M329" s="184"/>
      <c r="T329" s="165"/>
      <c r="U329" s="165"/>
      <c r="Y329" s="166"/>
      <c r="Z329" s="166"/>
    </row>
    <row r="330" spans="1:26" x14ac:dyDescent="0.35">
      <c r="A330" s="219"/>
      <c r="B330" s="220"/>
      <c r="C330" s="220"/>
      <c r="D330" s="208" t="s">
        <v>259</v>
      </c>
      <c r="E330" s="209">
        <f>SUM(Paint2623026839[Original Contract])</f>
        <v>0</v>
      </c>
      <c r="F330" s="209">
        <f>SUM(Paint2623026839[Actual Buyout])</f>
        <v>0</v>
      </c>
      <c r="G330" s="209">
        <f>SUM(Paint2623026839[Change Orders])</f>
        <v>0</v>
      </c>
      <c r="H330" s="209">
        <f>SUM(Paint2623026839[Revised Contract])</f>
        <v>0</v>
      </c>
      <c r="I330" s="209">
        <f>SUM(Paint2623026839[Total completed and Stored])</f>
        <v>0</v>
      </c>
      <c r="J330" s="209">
        <f>SUM(Paint2623026839[Delta])</f>
        <v>0</v>
      </c>
      <c r="K330" s="221"/>
      <c r="L330" s="184"/>
      <c r="M330" s="184"/>
    </row>
    <row r="331" spans="1:26" x14ac:dyDescent="0.35">
      <c r="A331" s="164" t="s">
        <v>137</v>
      </c>
      <c r="B331" s="164" t="s">
        <v>138</v>
      </c>
      <c r="C331" s="164" t="s">
        <v>242</v>
      </c>
      <c r="D331" s="164" t="s">
        <v>243</v>
      </c>
      <c r="E331" s="164" t="s">
        <v>244</v>
      </c>
      <c r="F331" s="198" t="s">
        <v>245</v>
      </c>
      <c r="G331" s="198" t="s">
        <v>246</v>
      </c>
      <c r="H331" s="198" t="s">
        <v>247</v>
      </c>
      <c r="I331" s="211" t="s">
        <v>250</v>
      </c>
      <c r="J331" s="222" t="s">
        <v>249</v>
      </c>
      <c r="K331" s="218"/>
      <c r="L331" s="216"/>
      <c r="M331" s="184"/>
      <c r="T331" s="165"/>
      <c r="U331" s="165"/>
      <c r="Y331" s="166"/>
      <c r="Z331" s="166"/>
    </row>
    <row r="332" spans="1:26" x14ac:dyDescent="0.35">
      <c r="A332" s="201">
        <v>10</v>
      </c>
      <c r="B332" s="202" t="s">
        <v>523</v>
      </c>
      <c r="C332" s="202" t="s">
        <v>524</v>
      </c>
      <c r="D332" s="203" t="s">
        <v>525</v>
      </c>
      <c r="E332" s="443">
        <v>0</v>
      </c>
      <c r="F332" s="443">
        <v>0</v>
      </c>
      <c r="G332" s="443">
        <v>0</v>
      </c>
      <c r="H332" s="204">
        <f>IF(ABS(Specialties2723126940[[#This Row],[Actual Buyout]])+ABS(Specialties2723126940[[#This Row],[Change Orders]])=0,Specialties2723126940[[#This Row],[Original Contract]],Specialties2723126940[[#This Row],[Actual Buyout]]+Specialties2723126940[[#This Row],[Change Orders]])</f>
        <v>0</v>
      </c>
      <c r="I332" s="443">
        <v>0</v>
      </c>
      <c r="J332" s="213">
        <f>Specialties2723126940[[#This Row],[Original Contract]]-Specialties2723126940[[#This Row],[Revised Contract]]</f>
        <v>0</v>
      </c>
      <c r="K332" s="218"/>
      <c r="L332" s="217"/>
      <c r="M332" s="184"/>
      <c r="T332" s="165"/>
      <c r="U332" s="165"/>
      <c r="Y332" s="166"/>
      <c r="Z332" s="166"/>
    </row>
    <row r="333" spans="1:26" x14ac:dyDescent="0.35">
      <c r="A333" s="201">
        <v>10</v>
      </c>
      <c r="B333" s="202" t="s">
        <v>526</v>
      </c>
      <c r="C333" s="202" t="s">
        <v>527</v>
      </c>
      <c r="D333" s="203" t="s">
        <v>528</v>
      </c>
      <c r="E333" s="443">
        <v>0</v>
      </c>
      <c r="F333" s="443">
        <v>0</v>
      </c>
      <c r="G333" s="443">
        <v>0</v>
      </c>
      <c r="H333" s="204">
        <f>IF(ABS(Specialties2723126940[[#This Row],[Actual Buyout]])+ABS(Specialties2723126940[[#This Row],[Change Orders]])=0,Specialties2723126940[[#This Row],[Original Contract]],Specialties2723126940[[#This Row],[Actual Buyout]]+Specialties2723126940[[#This Row],[Change Orders]])</f>
        <v>0</v>
      </c>
      <c r="I333" s="443">
        <v>0</v>
      </c>
      <c r="J333" s="213">
        <f>Specialties2723126940[[#This Row],[Original Contract]]-Specialties2723126940[[#This Row],[Revised Contract]]</f>
        <v>0</v>
      </c>
      <c r="K333" s="218"/>
      <c r="L333" s="217"/>
      <c r="M333" s="184"/>
      <c r="T333" s="165"/>
      <c r="U333" s="165"/>
      <c r="Y333" s="166"/>
      <c r="Z333" s="166"/>
    </row>
    <row r="334" spans="1:26" x14ac:dyDescent="0.35">
      <c r="A334" s="201">
        <v>10</v>
      </c>
      <c r="B334" s="202" t="s">
        <v>529</v>
      </c>
      <c r="C334" s="202" t="s">
        <v>530</v>
      </c>
      <c r="D334" s="203" t="s">
        <v>531</v>
      </c>
      <c r="E334" s="443">
        <v>0</v>
      </c>
      <c r="F334" s="443">
        <v>0</v>
      </c>
      <c r="G334" s="443">
        <v>0</v>
      </c>
      <c r="H334" s="204">
        <f>IF(ABS(Specialties2723126940[[#This Row],[Actual Buyout]])+ABS(Specialties2723126940[[#This Row],[Change Orders]])=0,Specialties2723126940[[#This Row],[Original Contract]],Specialties2723126940[[#This Row],[Actual Buyout]]+Specialties2723126940[[#This Row],[Change Orders]])</f>
        <v>0</v>
      </c>
      <c r="I334" s="443">
        <v>0</v>
      </c>
      <c r="J334" s="213">
        <f>Specialties2723126940[[#This Row],[Original Contract]]-Specialties2723126940[[#This Row],[Revised Contract]]</f>
        <v>0</v>
      </c>
      <c r="K334" s="218"/>
      <c r="L334" s="217"/>
      <c r="M334" s="184"/>
      <c r="T334" s="165"/>
      <c r="U334" s="165"/>
      <c r="Y334" s="166"/>
      <c r="Z334" s="166"/>
    </row>
    <row r="335" spans="1:26" x14ac:dyDescent="0.35">
      <c r="A335" s="201">
        <v>10</v>
      </c>
      <c r="B335" s="202" t="s">
        <v>529</v>
      </c>
      <c r="C335" s="202" t="s">
        <v>530</v>
      </c>
      <c r="D335" s="203" t="s">
        <v>532</v>
      </c>
      <c r="E335" s="443">
        <v>0</v>
      </c>
      <c r="F335" s="443">
        <v>0</v>
      </c>
      <c r="G335" s="443">
        <v>0</v>
      </c>
      <c r="H335" s="204">
        <f>IF(ABS(Specialties2723126940[[#This Row],[Actual Buyout]])+ABS(Specialties2723126940[[#This Row],[Change Orders]])=0,Specialties2723126940[[#This Row],[Original Contract]],Specialties2723126940[[#This Row],[Actual Buyout]]+Specialties2723126940[[#This Row],[Change Orders]])</f>
        <v>0</v>
      </c>
      <c r="I335" s="443">
        <v>0</v>
      </c>
      <c r="J335" s="213">
        <f>Specialties2723126940[[#This Row],[Original Contract]]-Specialties2723126940[[#This Row],[Revised Contract]]</f>
        <v>0</v>
      </c>
      <c r="K335" s="218"/>
      <c r="L335" s="217"/>
      <c r="M335" s="184"/>
      <c r="T335" s="165"/>
      <c r="U335" s="165"/>
      <c r="Y335" s="166"/>
      <c r="Z335" s="166"/>
    </row>
    <row r="336" spans="1:26" x14ac:dyDescent="0.35">
      <c r="A336" s="201">
        <v>10</v>
      </c>
      <c r="B336" s="202" t="s">
        <v>533</v>
      </c>
      <c r="C336" s="202" t="s">
        <v>534</v>
      </c>
      <c r="D336" s="203" t="s">
        <v>535</v>
      </c>
      <c r="E336" s="443">
        <v>0</v>
      </c>
      <c r="F336" s="443">
        <v>0</v>
      </c>
      <c r="G336" s="443">
        <v>0</v>
      </c>
      <c r="H336" s="204">
        <f>IF(ABS(Specialties2723126940[[#This Row],[Actual Buyout]])+ABS(Specialties2723126940[[#This Row],[Change Orders]])=0,Specialties2723126940[[#This Row],[Original Contract]],Specialties2723126940[[#This Row],[Actual Buyout]]+Specialties2723126940[[#This Row],[Change Orders]])</f>
        <v>0</v>
      </c>
      <c r="I336" s="443">
        <v>0</v>
      </c>
      <c r="J336" s="213">
        <f>Specialties2723126940[[#This Row],[Original Contract]]-Specialties2723126940[[#This Row],[Revised Contract]]</f>
        <v>0</v>
      </c>
      <c r="K336" s="218"/>
      <c r="L336" s="217"/>
      <c r="M336" s="184"/>
      <c r="T336" s="165"/>
      <c r="U336" s="165"/>
      <c r="Y336" s="166"/>
      <c r="Z336" s="166"/>
    </row>
    <row r="337" spans="1:26" x14ac:dyDescent="0.35">
      <c r="A337" s="201">
        <v>10</v>
      </c>
      <c r="B337" s="202" t="s">
        <v>536</v>
      </c>
      <c r="C337" s="202" t="s">
        <v>537</v>
      </c>
      <c r="D337" s="203" t="s">
        <v>538</v>
      </c>
      <c r="E337" s="443">
        <v>0</v>
      </c>
      <c r="F337" s="443">
        <v>0</v>
      </c>
      <c r="G337" s="443">
        <v>0</v>
      </c>
      <c r="H337" s="204">
        <f>IF(ABS(Specialties2723126940[[#This Row],[Actual Buyout]])+ABS(Specialties2723126940[[#This Row],[Change Orders]])=0,Specialties2723126940[[#This Row],[Original Contract]],Specialties2723126940[[#This Row],[Actual Buyout]]+Specialties2723126940[[#This Row],[Change Orders]])</f>
        <v>0</v>
      </c>
      <c r="I337" s="443">
        <v>0</v>
      </c>
      <c r="J337" s="213">
        <f>Specialties2723126940[[#This Row],[Original Contract]]-Specialties2723126940[[#This Row],[Revised Contract]]</f>
        <v>0</v>
      </c>
      <c r="K337" s="218"/>
      <c r="L337" s="217"/>
      <c r="M337" s="184"/>
      <c r="T337" s="165"/>
      <c r="U337" s="165"/>
      <c r="Y337" s="166"/>
      <c r="Z337" s="166"/>
    </row>
    <row r="338" spans="1:26" x14ac:dyDescent="0.35">
      <c r="A338" s="201">
        <v>10</v>
      </c>
      <c r="B338" s="202" t="s">
        <v>539</v>
      </c>
      <c r="C338" s="202" t="s">
        <v>540</v>
      </c>
      <c r="D338" s="203" t="s">
        <v>541</v>
      </c>
      <c r="E338" s="443">
        <v>0</v>
      </c>
      <c r="F338" s="443">
        <v>0</v>
      </c>
      <c r="G338" s="443">
        <v>0</v>
      </c>
      <c r="H338" s="204">
        <f>IF(ABS(Specialties2723126940[[#This Row],[Actual Buyout]])+ABS(Specialties2723126940[[#This Row],[Change Orders]])=0,Specialties2723126940[[#This Row],[Original Contract]],Specialties2723126940[[#This Row],[Actual Buyout]]+Specialties2723126940[[#This Row],[Change Orders]])</f>
        <v>0</v>
      </c>
      <c r="I338" s="443">
        <v>0</v>
      </c>
      <c r="J338" s="213">
        <f>Specialties2723126940[[#This Row],[Original Contract]]-Specialties2723126940[[#This Row],[Revised Contract]]</f>
        <v>0</v>
      </c>
      <c r="K338" s="218"/>
      <c r="L338" s="217"/>
      <c r="M338" s="184"/>
      <c r="T338" s="165"/>
      <c r="U338" s="165"/>
      <c r="Y338" s="166"/>
      <c r="Z338" s="166"/>
    </row>
    <row r="339" spans="1:26" x14ac:dyDescent="0.35">
      <c r="A339" s="201">
        <v>10</v>
      </c>
      <c r="B339" s="202" t="s">
        <v>542</v>
      </c>
      <c r="C339" s="202" t="s">
        <v>543</v>
      </c>
      <c r="D339" s="203" t="s">
        <v>544</v>
      </c>
      <c r="E339" s="443">
        <v>0</v>
      </c>
      <c r="F339" s="443">
        <v>0</v>
      </c>
      <c r="G339" s="443">
        <v>0</v>
      </c>
      <c r="H339" s="204">
        <f>IF(ABS(Specialties2723126940[[#This Row],[Actual Buyout]])+ABS(Specialties2723126940[[#This Row],[Change Orders]])=0,Specialties2723126940[[#This Row],[Original Contract]],Specialties2723126940[[#This Row],[Actual Buyout]]+Specialties2723126940[[#This Row],[Change Orders]])</f>
        <v>0</v>
      </c>
      <c r="I339" s="443">
        <v>0</v>
      </c>
      <c r="J339" s="213">
        <f>Specialties2723126940[[#This Row],[Original Contract]]-Specialties2723126940[[#This Row],[Revised Contract]]</f>
        <v>0</v>
      </c>
      <c r="K339" s="218"/>
      <c r="L339" s="217"/>
      <c r="M339" s="184"/>
      <c r="T339" s="165"/>
      <c r="U339" s="165"/>
      <c r="Y339" s="166"/>
      <c r="Z339" s="166"/>
    </row>
    <row r="340" spans="1:26" x14ac:dyDescent="0.35">
      <c r="A340" s="201">
        <v>10</v>
      </c>
      <c r="B340" s="202" t="s">
        <v>545</v>
      </c>
      <c r="C340" s="202" t="s">
        <v>546</v>
      </c>
      <c r="D340" s="203" t="s">
        <v>547</v>
      </c>
      <c r="E340" s="443">
        <v>0</v>
      </c>
      <c r="F340" s="443">
        <v>0</v>
      </c>
      <c r="G340" s="443">
        <v>0</v>
      </c>
      <c r="H340" s="204">
        <f>IF(ABS(Specialties2723126940[[#This Row],[Actual Buyout]])+ABS(Specialties2723126940[[#This Row],[Change Orders]])=0,Specialties2723126940[[#This Row],[Original Contract]],Specialties2723126940[[#This Row],[Actual Buyout]]+Specialties2723126940[[#This Row],[Change Orders]])</f>
        <v>0</v>
      </c>
      <c r="I340" s="443">
        <v>0</v>
      </c>
      <c r="J340" s="213">
        <f>Specialties2723126940[[#This Row],[Original Contract]]-Specialties2723126940[[#This Row],[Revised Contract]]</f>
        <v>0</v>
      </c>
      <c r="K340" s="218"/>
      <c r="L340" s="217"/>
      <c r="M340" s="184"/>
      <c r="T340" s="165"/>
      <c r="U340" s="165"/>
      <c r="Y340" s="166"/>
      <c r="Z340" s="166"/>
    </row>
    <row r="341" spans="1:26" x14ac:dyDescent="0.35">
      <c r="A341" s="201">
        <v>10</v>
      </c>
      <c r="B341" s="202" t="s">
        <v>545</v>
      </c>
      <c r="C341" s="202" t="s">
        <v>546</v>
      </c>
      <c r="D341" s="203" t="s">
        <v>548</v>
      </c>
      <c r="E341" s="443">
        <v>0</v>
      </c>
      <c r="F341" s="443">
        <v>0</v>
      </c>
      <c r="G341" s="443">
        <v>0</v>
      </c>
      <c r="H341" s="204">
        <f>IF(ABS(Specialties2723126940[[#This Row],[Actual Buyout]])+ABS(Specialties2723126940[[#This Row],[Change Orders]])=0,Specialties2723126940[[#This Row],[Original Contract]],Specialties2723126940[[#This Row],[Actual Buyout]]+Specialties2723126940[[#This Row],[Change Orders]])</f>
        <v>0</v>
      </c>
      <c r="I341" s="443">
        <v>0</v>
      </c>
      <c r="J341" s="213">
        <f>Specialties2723126940[[#This Row],[Original Contract]]-Specialties2723126940[[#This Row],[Revised Contract]]</f>
        <v>0</v>
      </c>
      <c r="K341" s="218"/>
      <c r="L341" s="217"/>
      <c r="M341" s="184"/>
      <c r="T341" s="165"/>
      <c r="U341" s="165"/>
      <c r="Y341" s="166"/>
      <c r="Z341" s="166"/>
    </row>
    <row r="342" spans="1:26" x14ac:dyDescent="0.35">
      <c r="A342" s="201">
        <v>10</v>
      </c>
      <c r="B342" s="202" t="s">
        <v>545</v>
      </c>
      <c r="C342" s="202" t="s">
        <v>546</v>
      </c>
      <c r="D342" s="203" t="s">
        <v>549</v>
      </c>
      <c r="E342" s="443">
        <v>0</v>
      </c>
      <c r="F342" s="443">
        <v>0</v>
      </c>
      <c r="G342" s="443">
        <v>0</v>
      </c>
      <c r="H342" s="204">
        <f>IF(ABS(Specialties2723126940[[#This Row],[Actual Buyout]])+ABS(Specialties2723126940[[#This Row],[Change Orders]])=0,Specialties2723126940[[#This Row],[Original Contract]],Specialties2723126940[[#This Row],[Actual Buyout]]+Specialties2723126940[[#This Row],[Change Orders]])</f>
        <v>0</v>
      </c>
      <c r="I342" s="443">
        <v>0</v>
      </c>
      <c r="J342" s="213">
        <f>Specialties2723126940[[#This Row],[Original Contract]]-Specialties2723126940[[#This Row],[Revised Contract]]</f>
        <v>0</v>
      </c>
      <c r="K342" s="218"/>
      <c r="L342" s="217"/>
      <c r="M342" s="184"/>
      <c r="T342" s="165"/>
      <c r="U342" s="165"/>
      <c r="Y342" s="166"/>
      <c r="Z342" s="166"/>
    </row>
    <row r="343" spans="1:26" x14ac:dyDescent="0.35">
      <c r="A343" s="201">
        <v>10</v>
      </c>
      <c r="B343" s="202" t="s">
        <v>550</v>
      </c>
      <c r="C343" s="202" t="s">
        <v>551</v>
      </c>
      <c r="D343" s="203" t="s">
        <v>552</v>
      </c>
      <c r="E343" s="443">
        <v>0</v>
      </c>
      <c r="F343" s="443">
        <v>0</v>
      </c>
      <c r="G343" s="443">
        <v>0</v>
      </c>
      <c r="H343" s="204">
        <f>IF(ABS(Specialties2723126940[[#This Row],[Actual Buyout]])+ABS(Specialties2723126940[[#This Row],[Change Orders]])=0,Specialties2723126940[[#This Row],[Original Contract]],Specialties2723126940[[#This Row],[Actual Buyout]]+Specialties2723126940[[#This Row],[Change Orders]])</f>
        <v>0</v>
      </c>
      <c r="I343" s="443">
        <v>0</v>
      </c>
      <c r="J343" s="213">
        <f>Specialties2723126940[[#This Row],[Original Contract]]-Specialties2723126940[[#This Row],[Revised Contract]]</f>
        <v>0</v>
      </c>
      <c r="K343" s="218"/>
      <c r="L343" s="217"/>
      <c r="M343" s="184"/>
      <c r="T343" s="165"/>
      <c r="U343" s="165"/>
      <c r="Y343" s="166"/>
      <c r="Z343" s="166"/>
    </row>
    <row r="344" spans="1:26" x14ac:dyDescent="0.35">
      <c r="A344" s="201">
        <v>10</v>
      </c>
      <c r="B344" s="202" t="s">
        <v>553</v>
      </c>
      <c r="C344" s="202" t="s">
        <v>554</v>
      </c>
      <c r="D344" s="203" t="s">
        <v>555</v>
      </c>
      <c r="E344" s="443">
        <v>0</v>
      </c>
      <c r="F344" s="443">
        <v>0</v>
      </c>
      <c r="G344" s="443">
        <v>0</v>
      </c>
      <c r="H344" s="204">
        <f>IF(ABS(Specialties2723126940[[#This Row],[Actual Buyout]])+ABS(Specialties2723126940[[#This Row],[Change Orders]])=0,Specialties2723126940[[#This Row],[Original Contract]],Specialties2723126940[[#This Row],[Actual Buyout]]+Specialties2723126940[[#This Row],[Change Orders]])</f>
        <v>0</v>
      </c>
      <c r="I344" s="443">
        <v>0</v>
      </c>
      <c r="J344" s="213">
        <f>Specialties2723126940[[#This Row],[Original Contract]]-Specialties2723126940[[#This Row],[Revised Contract]]</f>
        <v>0</v>
      </c>
      <c r="K344" s="218"/>
      <c r="L344" s="217"/>
      <c r="M344" s="184"/>
      <c r="T344" s="165"/>
      <c r="U344" s="165"/>
      <c r="Y344" s="166"/>
      <c r="Z344" s="166"/>
    </row>
    <row r="345" spans="1:26" x14ac:dyDescent="0.35">
      <c r="A345" s="201">
        <v>10</v>
      </c>
      <c r="B345" s="202" t="s">
        <v>529</v>
      </c>
      <c r="C345" s="202" t="s">
        <v>530</v>
      </c>
      <c r="D345" s="203" t="s">
        <v>556</v>
      </c>
      <c r="E345" s="443">
        <v>0</v>
      </c>
      <c r="F345" s="443">
        <v>0</v>
      </c>
      <c r="G345" s="443">
        <v>0</v>
      </c>
      <c r="H345" s="204">
        <f>IF(ABS(Specialties2723126940[[#This Row],[Actual Buyout]])+ABS(Specialties2723126940[[#This Row],[Change Orders]])=0,Specialties2723126940[[#This Row],[Original Contract]],Specialties2723126940[[#This Row],[Actual Buyout]]+Specialties2723126940[[#This Row],[Change Orders]])</f>
        <v>0</v>
      </c>
      <c r="I345" s="443">
        <v>0</v>
      </c>
      <c r="J345" s="213">
        <f>Specialties2723126940[[#This Row],[Original Contract]]-Specialties2723126940[[#This Row],[Revised Contract]]</f>
        <v>0</v>
      </c>
      <c r="K345" s="218"/>
      <c r="L345" s="217"/>
      <c r="M345" s="184"/>
      <c r="T345" s="165"/>
      <c r="U345" s="165"/>
      <c r="Y345" s="166"/>
      <c r="Z345" s="166"/>
    </row>
    <row r="346" spans="1:26" x14ac:dyDescent="0.35">
      <c r="A346" s="201">
        <v>10</v>
      </c>
      <c r="B346" s="202" t="s">
        <v>557</v>
      </c>
      <c r="C346" s="202" t="s">
        <v>558</v>
      </c>
      <c r="D346" s="203" t="s">
        <v>559</v>
      </c>
      <c r="E346" s="443">
        <v>0</v>
      </c>
      <c r="F346" s="443">
        <v>0</v>
      </c>
      <c r="G346" s="443">
        <v>0</v>
      </c>
      <c r="H346" s="204">
        <f>IF(ABS(Specialties2723126940[[#This Row],[Actual Buyout]])+ABS(Specialties2723126940[[#This Row],[Change Orders]])=0,Specialties2723126940[[#This Row],[Original Contract]],Specialties2723126940[[#This Row],[Actual Buyout]]+Specialties2723126940[[#This Row],[Change Orders]])</f>
        <v>0</v>
      </c>
      <c r="I346" s="443">
        <v>0</v>
      </c>
      <c r="J346" s="213">
        <f>Specialties2723126940[[#This Row],[Original Contract]]-Specialties2723126940[[#This Row],[Revised Contract]]</f>
        <v>0</v>
      </c>
      <c r="K346" s="218"/>
      <c r="L346" s="217"/>
      <c r="M346" s="184"/>
      <c r="T346" s="165"/>
      <c r="U346" s="165"/>
      <c r="Y346" s="166"/>
      <c r="Z346" s="166"/>
    </row>
    <row r="347" spans="1:26" x14ac:dyDescent="0.35">
      <c r="A347" s="201">
        <v>10</v>
      </c>
      <c r="B347" s="202" t="s">
        <v>560</v>
      </c>
      <c r="C347" s="202" t="s">
        <v>561</v>
      </c>
      <c r="D347" s="203" t="s">
        <v>562</v>
      </c>
      <c r="E347" s="443">
        <v>0</v>
      </c>
      <c r="F347" s="443">
        <v>0</v>
      </c>
      <c r="G347" s="443">
        <v>0</v>
      </c>
      <c r="H347" s="204">
        <f>IF(ABS(Specialties2723126940[[#This Row],[Actual Buyout]])+ABS(Specialties2723126940[[#This Row],[Change Orders]])=0,Specialties2723126940[[#This Row],[Original Contract]],Specialties2723126940[[#This Row],[Actual Buyout]]+Specialties2723126940[[#This Row],[Change Orders]])</f>
        <v>0</v>
      </c>
      <c r="I347" s="443">
        <v>0</v>
      </c>
      <c r="J347" s="213">
        <f>Specialties2723126940[[#This Row],[Original Contract]]-Specialties2723126940[[#This Row],[Revised Contract]]</f>
        <v>0</v>
      </c>
      <c r="K347" s="218"/>
      <c r="L347" s="217"/>
      <c r="M347" s="184"/>
      <c r="T347" s="165"/>
      <c r="U347" s="165"/>
      <c r="Y347" s="166"/>
      <c r="Z347" s="166"/>
    </row>
    <row r="348" spans="1:26" x14ac:dyDescent="0.35">
      <c r="A348" s="201">
        <v>10</v>
      </c>
      <c r="B348" s="202" t="s">
        <v>563</v>
      </c>
      <c r="C348" s="202" t="s">
        <v>564</v>
      </c>
      <c r="D348" s="203" t="s">
        <v>565</v>
      </c>
      <c r="E348" s="443">
        <v>0</v>
      </c>
      <c r="F348" s="443">
        <v>0</v>
      </c>
      <c r="G348" s="443">
        <v>0</v>
      </c>
      <c r="H348" s="204">
        <f>IF(ABS(Specialties2723126940[[#This Row],[Actual Buyout]])+ABS(Specialties2723126940[[#This Row],[Change Orders]])=0,Specialties2723126940[[#This Row],[Original Contract]],Specialties2723126940[[#This Row],[Actual Buyout]]+Specialties2723126940[[#This Row],[Change Orders]])</f>
        <v>0</v>
      </c>
      <c r="I348" s="443">
        <v>0</v>
      </c>
      <c r="J348" s="213">
        <f>Specialties2723126940[[#This Row],[Original Contract]]-Specialties2723126940[[#This Row],[Revised Contract]]</f>
        <v>0</v>
      </c>
      <c r="K348" s="218"/>
      <c r="L348" s="217"/>
      <c r="M348" s="184"/>
      <c r="T348" s="165"/>
      <c r="U348" s="165"/>
      <c r="Y348" s="166"/>
      <c r="Z348" s="166"/>
    </row>
    <row r="349" spans="1:26" x14ac:dyDescent="0.35">
      <c r="A349" s="201">
        <v>10</v>
      </c>
      <c r="B349" s="202"/>
      <c r="C349" s="202"/>
      <c r="D349" s="580" t="s">
        <v>258</v>
      </c>
      <c r="E349" s="443">
        <v>0</v>
      </c>
      <c r="F349" s="443">
        <v>0</v>
      </c>
      <c r="G349" s="443">
        <v>0</v>
      </c>
      <c r="H349" s="204">
        <f>IF(ABS(Specialties2723126940[[#This Row],[Actual Buyout]])+ABS(Specialties2723126940[[#This Row],[Change Orders]])=0,Specialties2723126940[[#This Row],[Original Contract]],Specialties2723126940[[#This Row],[Actual Buyout]]+Specialties2723126940[[#This Row],[Change Orders]])</f>
        <v>0</v>
      </c>
      <c r="I349" s="443">
        <v>0</v>
      </c>
      <c r="J349" s="213">
        <f>Specialties2723126940[[#This Row],[Original Contract]]-Specialties2723126940[[#This Row],[Revised Contract]]</f>
        <v>0</v>
      </c>
      <c r="K349" s="218"/>
      <c r="L349" s="217"/>
      <c r="M349" s="184"/>
      <c r="T349" s="165"/>
      <c r="U349" s="165"/>
      <c r="Y349" s="166"/>
      <c r="Z349" s="166"/>
    </row>
    <row r="350" spans="1:26" x14ac:dyDescent="0.35">
      <c r="A350" s="201">
        <v>10</v>
      </c>
      <c r="B350" s="202"/>
      <c r="C350" s="202"/>
      <c r="D350" s="580" t="s">
        <v>258</v>
      </c>
      <c r="E350" s="443">
        <v>0</v>
      </c>
      <c r="F350" s="443">
        <v>0</v>
      </c>
      <c r="G350" s="443">
        <v>0</v>
      </c>
      <c r="H350" s="204">
        <f>IF(ABS(Specialties2723126940[[#This Row],[Actual Buyout]])+ABS(Specialties2723126940[[#This Row],[Change Orders]])=0,Specialties2723126940[[#This Row],[Original Contract]],Specialties2723126940[[#This Row],[Actual Buyout]]+Specialties2723126940[[#This Row],[Change Orders]])</f>
        <v>0</v>
      </c>
      <c r="I350" s="443">
        <v>0</v>
      </c>
      <c r="J350" s="213">
        <f>Specialties2723126940[[#This Row],[Original Contract]]-Specialties2723126940[[#This Row],[Revised Contract]]</f>
        <v>0</v>
      </c>
      <c r="K350" s="218"/>
      <c r="L350" s="217"/>
      <c r="M350" s="184"/>
      <c r="T350" s="165"/>
      <c r="U350" s="165"/>
      <c r="Y350" s="166"/>
      <c r="Z350" s="166"/>
    </row>
    <row r="351" spans="1:26" x14ac:dyDescent="0.35">
      <c r="A351" s="201">
        <v>10</v>
      </c>
      <c r="B351" s="202"/>
      <c r="C351" s="202"/>
      <c r="D351" s="580" t="s">
        <v>258</v>
      </c>
      <c r="E351" s="443">
        <v>0</v>
      </c>
      <c r="F351" s="443">
        <v>0</v>
      </c>
      <c r="G351" s="443">
        <v>0</v>
      </c>
      <c r="H351" s="204">
        <f>IF(ABS(Specialties2723126940[[#This Row],[Actual Buyout]])+ABS(Specialties2723126940[[#This Row],[Change Orders]])=0,Specialties2723126940[[#This Row],[Original Contract]],Specialties2723126940[[#This Row],[Actual Buyout]]+Specialties2723126940[[#This Row],[Change Orders]])</f>
        <v>0</v>
      </c>
      <c r="I351" s="443">
        <v>0</v>
      </c>
      <c r="J351" s="213">
        <f>Specialties2723126940[[#This Row],[Original Contract]]-Specialties2723126940[[#This Row],[Revised Contract]]</f>
        <v>0</v>
      </c>
      <c r="K351" s="218"/>
      <c r="L351" s="217"/>
      <c r="M351" s="184"/>
      <c r="T351" s="165"/>
      <c r="U351" s="165"/>
      <c r="Y351" s="166"/>
      <c r="Z351" s="166"/>
    </row>
    <row r="352" spans="1:26" x14ac:dyDescent="0.35">
      <c r="A352" s="201">
        <v>10</v>
      </c>
      <c r="B352" s="202"/>
      <c r="C352" s="202"/>
      <c r="D352" s="580" t="s">
        <v>258</v>
      </c>
      <c r="E352" s="443">
        <v>0</v>
      </c>
      <c r="F352" s="443">
        <v>0</v>
      </c>
      <c r="G352" s="443">
        <v>0</v>
      </c>
      <c r="H352" s="204">
        <f>IF(ABS(Specialties2723126940[[#This Row],[Actual Buyout]])+ABS(Specialties2723126940[[#This Row],[Change Orders]])=0,Specialties2723126940[[#This Row],[Original Contract]],Specialties2723126940[[#This Row],[Actual Buyout]]+Specialties2723126940[[#This Row],[Change Orders]])</f>
        <v>0</v>
      </c>
      <c r="I352" s="443">
        <v>0</v>
      </c>
      <c r="J352" s="213">
        <f>Specialties2723126940[[#This Row],[Original Contract]]-Specialties2723126940[[#This Row],[Revised Contract]]</f>
        <v>0</v>
      </c>
      <c r="K352" s="218"/>
      <c r="L352" s="217"/>
      <c r="M352" s="184"/>
      <c r="T352" s="165"/>
      <c r="U352" s="165"/>
      <c r="Y352" s="166"/>
      <c r="Z352" s="166"/>
    </row>
    <row r="353" spans="1:26" x14ac:dyDescent="0.35">
      <c r="A353" s="201">
        <v>10</v>
      </c>
      <c r="B353" s="202"/>
      <c r="C353" s="202"/>
      <c r="D353" s="580" t="s">
        <v>258</v>
      </c>
      <c r="E353" s="443">
        <v>0</v>
      </c>
      <c r="F353" s="443">
        <v>0</v>
      </c>
      <c r="G353" s="443">
        <v>0</v>
      </c>
      <c r="H353" s="204">
        <f>IF(ABS(Specialties2723126940[[#This Row],[Actual Buyout]])+ABS(Specialties2723126940[[#This Row],[Change Orders]])=0,Specialties2723126940[[#This Row],[Original Contract]],Specialties2723126940[[#This Row],[Actual Buyout]]+Specialties2723126940[[#This Row],[Change Orders]])</f>
        <v>0</v>
      </c>
      <c r="I353" s="443">
        <v>0</v>
      </c>
      <c r="J353" s="213">
        <f>Specialties2723126940[[#This Row],[Original Contract]]-Specialties2723126940[[#This Row],[Revised Contract]]</f>
        <v>0</v>
      </c>
      <c r="K353" s="218"/>
      <c r="L353" s="217"/>
      <c r="M353" s="184"/>
      <c r="T353" s="165"/>
      <c r="U353" s="165"/>
      <c r="Y353" s="166"/>
      <c r="Z353" s="166"/>
    </row>
    <row r="354" spans="1:26" x14ac:dyDescent="0.35">
      <c r="A354" s="201">
        <v>10</v>
      </c>
      <c r="B354" s="223"/>
      <c r="C354" s="223"/>
      <c r="D354" s="581" t="s">
        <v>258</v>
      </c>
      <c r="E354" s="443">
        <v>0</v>
      </c>
      <c r="F354" s="443">
        <v>0</v>
      </c>
      <c r="G354" s="443">
        <v>0</v>
      </c>
      <c r="H354" s="204">
        <f>IF(ABS(Specialties2723126940[[#This Row],[Actual Buyout]])+ABS(Specialties2723126940[[#This Row],[Change Orders]])=0,Specialties2723126940[[#This Row],[Original Contract]],Specialties2723126940[[#This Row],[Actual Buyout]]+Specialties2723126940[[#This Row],[Change Orders]])</f>
        <v>0</v>
      </c>
      <c r="I354" s="443">
        <v>0</v>
      </c>
      <c r="J354" s="213">
        <f>Specialties2723126940[[#This Row],[Original Contract]]-Specialties2723126940[[#This Row],[Revised Contract]]</f>
        <v>0</v>
      </c>
      <c r="K354" s="218"/>
      <c r="L354" s="217"/>
      <c r="M354" s="184"/>
      <c r="T354" s="165"/>
      <c r="U354" s="165"/>
      <c r="Y354" s="166"/>
      <c r="Z354" s="166"/>
    </row>
    <row r="355" spans="1:26" x14ac:dyDescent="0.35">
      <c r="A355" s="201">
        <v>10</v>
      </c>
      <c r="B355" s="223"/>
      <c r="C355" s="223"/>
      <c r="D355" s="581" t="s">
        <v>258</v>
      </c>
      <c r="E355" s="443">
        <v>0</v>
      </c>
      <c r="F355" s="443">
        <v>0</v>
      </c>
      <c r="G355" s="443">
        <v>0</v>
      </c>
      <c r="H355" s="204">
        <f>IF(ABS(Specialties2723126940[[#This Row],[Actual Buyout]])+ABS(Specialties2723126940[[#This Row],[Change Orders]])=0,Specialties2723126940[[#This Row],[Original Contract]],Specialties2723126940[[#This Row],[Actual Buyout]]+Specialties2723126940[[#This Row],[Change Orders]])</f>
        <v>0</v>
      </c>
      <c r="I355" s="443">
        <v>0</v>
      </c>
      <c r="J355" s="213">
        <f>Specialties2723126940[[#This Row],[Original Contract]]-Specialties2723126940[[#This Row],[Revised Contract]]</f>
        <v>0</v>
      </c>
      <c r="K355" s="218"/>
      <c r="L355" s="217"/>
      <c r="M355" s="184"/>
      <c r="T355" s="165"/>
      <c r="U355" s="165"/>
      <c r="Y355" s="166"/>
      <c r="Z355" s="166"/>
    </row>
    <row r="356" spans="1:26" x14ac:dyDescent="0.35">
      <c r="A356" s="219"/>
      <c r="B356" s="220"/>
      <c r="C356" s="220"/>
      <c r="D356" s="208" t="s">
        <v>259</v>
      </c>
      <c r="E356" s="209">
        <f>SUM(Specialties2723126940[Original Contract])</f>
        <v>0</v>
      </c>
      <c r="F356" s="209">
        <f>SUM(Specialties2723126940[Actual Buyout])</f>
        <v>0</v>
      </c>
      <c r="G356" s="209">
        <f>SUM(Specialties2723126940[Change Orders])</f>
        <v>0</v>
      </c>
      <c r="H356" s="209">
        <f>SUM(Specialties2723126940[Revised Contract])</f>
        <v>0</v>
      </c>
      <c r="I356" s="209">
        <f>SUM(Specialties2723126940[Total completed and Stored])</f>
        <v>0</v>
      </c>
      <c r="J356" s="209">
        <f>SUM(Specialties2723126940[Delta])</f>
        <v>0</v>
      </c>
      <c r="K356" s="221"/>
      <c r="L356" s="184"/>
      <c r="M356" s="184"/>
    </row>
    <row r="357" spans="1:26" x14ac:dyDescent="0.35">
      <c r="A357" s="164" t="s">
        <v>139</v>
      </c>
      <c r="B357" s="164" t="s">
        <v>566</v>
      </c>
      <c r="C357" s="164" t="s">
        <v>242</v>
      </c>
      <c r="D357" s="164" t="s">
        <v>243</v>
      </c>
      <c r="E357" s="164" t="s">
        <v>244</v>
      </c>
      <c r="F357" s="198" t="s">
        <v>245</v>
      </c>
      <c r="G357" s="198" t="s">
        <v>246</v>
      </c>
      <c r="H357" s="198" t="s">
        <v>247</v>
      </c>
      <c r="I357" s="211" t="s">
        <v>250</v>
      </c>
      <c r="J357" s="222" t="s">
        <v>249</v>
      </c>
      <c r="K357" s="218"/>
      <c r="L357" s="216"/>
      <c r="M357" s="184"/>
      <c r="T357" s="165"/>
      <c r="U357" s="165"/>
      <c r="Y357" s="166"/>
      <c r="Z357" s="166"/>
    </row>
    <row r="358" spans="1:26" x14ac:dyDescent="0.35">
      <c r="A358" s="201">
        <v>11</v>
      </c>
      <c r="B358" s="202" t="s">
        <v>567</v>
      </c>
      <c r="C358" s="202" t="s">
        <v>568</v>
      </c>
      <c r="D358" s="203" t="s">
        <v>569</v>
      </c>
      <c r="E358" s="443">
        <v>0</v>
      </c>
      <c r="F358" s="443">
        <v>0</v>
      </c>
      <c r="G358" s="443">
        <v>0</v>
      </c>
      <c r="H358" s="204">
        <f>IF(ABS(DockEquip2823227041[[#This Row],[Actual Buyout]])+ABS(DockEquip2823227041[[#This Row],[Change Orders]])=0,DockEquip2823227041[[#This Row],[Original Contract]],DockEquip2823227041[[#This Row],[Actual Buyout]]+DockEquip2823227041[[#This Row],[Change Orders]])</f>
        <v>0</v>
      </c>
      <c r="I358" s="443">
        <v>0</v>
      </c>
      <c r="J358" s="213">
        <f>DockEquip2823227041[[#This Row],[Original Contract]]-DockEquip2823227041[[#This Row],[Revised Contract]]</f>
        <v>0</v>
      </c>
      <c r="K358" s="218"/>
      <c r="L358" s="217"/>
      <c r="M358" s="184"/>
      <c r="T358" s="165"/>
      <c r="U358" s="165"/>
      <c r="Y358" s="166"/>
      <c r="Z358" s="166"/>
    </row>
    <row r="359" spans="1:26" x14ac:dyDescent="0.35">
      <c r="A359" s="201">
        <v>11</v>
      </c>
      <c r="B359" s="202" t="s">
        <v>567</v>
      </c>
      <c r="C359" s="202" t="s">
        <v>568</v>
      </c>
      <c r="D359" s="203" t="s">
        <v>570</v>
      </c>
      <c r="E359" s="443">
        <v>0</v>
      </c>
      <c r="F359" s="443">
        <v>0</v>
      </c>
      <c r="G359" s="443">
        <v>0</v>
      </c>
      <c r="H359" s="204">
        <f>IF(ABS(DockEquip2823227041[[#This Row],[Actual Buyout]])+ABS(DockEquip2823227041[[#This Row],[Change Orders]])=0,DockEquip2823227041[[#This Row],[Original Contract]],DockEquip2823227041[[#This Row],[Actual Buyout]]+DockEquip2823227041[[#This Row],[Change Orders]])</f>
        <v>0</v>
      </c>
      <c r="I359" s="443">
        <v>0</v>
      </c>
      <c r="J359" s="213">
        <f>DockEquip2823227041[[#This Row],[Original Contract]]-DockEquip2823227041[[#This Row],[Revised Contract]]</f>
        <v>0</v>
      </c>
      <c r="K359" s="218"/>
      <c r="L359" s="217"/>
      <c r="M359" s="184"/>
      <c r="T359" s="165"/>
      <c r="U359" s="165"/>
      <c r="Y359" s="166"/>
      <c r="Z359" s="166"/>
    </row>
    <row r="360" spans="1:26" x14ac:dyDescent="0.35">
      <c r="A360" s="201">
        <v>11</v>
      </c>
      <c r="B360" s="202" t="s">
        <v>567</v>
      </c>
      <c r="C360" s="202" t="s">
        <v>568</v>
      </c>
      <c r="D360" s="203" t="s">
        <v>571</v>
      </c>
      <c r="E360" s="443">
        <v>0</v>
      </c>
      <c r="F360" s="443">
        <v>0</v>
      </c>
      <c r="G360" s="443">
        <v>0</v>
      </c>
      <c r="H360" s="204">
        <f>IF(ABS(DockEquip2823227041[[#This Row],[Actual Buyout]])+ABS(DockEquip2823227041[[#This Row],[Change Orders]])=0,DockEquip2823227041[[#This Row],[Original Contract]],DockEquip2823227041[[#This Row],[Actual Buyout]]+DockEquip2823227041[[#This Row],[Change Orders]])</f>
        <v>0</v>
      </c>
      <c r="I360" s="443">
        <v>0</v>
      </c>
      <c r="J360" s="213">
        <f>DockEquip2823227041[[#This Row],[Original Contract]]-DockEquip2823227041[[#This Row],[Revised Contract]]</f>
        <v>0</v>
      </c>
      <c r="K360" s="218"/>
      <c r="L360" s="217"/>
      <c r="M360" s="184"/>
      <c r="T360" s="165"/>
      <c r="U360" s="165"/>
      <c r="Y360" s="166"/>
      <c r="Z360" s="166"/>
    </row>
    <row r="361" spans="1:26" x14ac:dyDescent="0.35">
      <c r="A361" s="201">
        <v>11</v>
      </c>
      <c r="B361" s="202" t="s">
        <v>567</v>
      </c>
      <c r="C361" s="202" t="s">
        <v>568</v>
      </c>
      <c r="D361" s="203" t="s">
        <v>572</v>
      </c>
      <c r="E361" s="443">
        <v>0</v>
      </c>
      <c r="F361" s="443">
        <v>0</v>
      </c>
      <c r="G361" s="443">
        <v>0</v>
      </c>
      <c r="H361" s="204">
        <f>IF(ABS(DockEquip2823227041[[#This Row],[Actual Buyout]])+ABS(DockEquip2823227041[[#This Row],[Change Orders]])=0,DockEquip2823227041[[#This Row],[Original Contract]],DockEquip2823227041[[#This Row],[Actual Buyout]]+DockEquip2823227041[[#This Row],[Change Orders]])</f>
        <v>0</v>
      </c>
      <c r="I361" s="443">
        <v>0</v>
      </c>
      <c r="J361" s="213">
        <f>DockEquip2823227041[[#This Row],[Original Contract]]-DockEquip2823227041[[#This Row],[Revised Contract]]</f>
        <v>0</v>
      </c>
      <c r="K361" s="218"/>
      <c r="L361" s="217"/>
      <c r="M361" s="184"/>
      <c r="T361" s="165"/>
      <c r="U361" s="165"/>
      <c r="Y361" s="166"/>
      <c r="Z361" s="166"/>
    </row>
    <row r="362" spans="1:26" x14ac:dyDescent="0.35">
      <c r="A362" s="201">
        <v>11</v>
      </c>
      <c r="B362" s="202" t="s">
        <v>567</v>
      </c>
      <c r="C362" s="202" t="s">
        <v>568</v>
      </c>
      <c r="D362" s="203" t="s">
        <v>573</v>
      </c>
      <c r="E362" s="443">
        <v>0</v>
      </c>
      <c r="F362" s="443">
        <v>0</v>
      </c>
      <c r="G362" s="443">
        <v>0</v>
      </c>
      <c r="H362" s="204">
        <f>IF(ABS(DockEquip2823227041[[#This Row],[Actual Buyout]])+ABS(DockEquip2823227041[[#This Row],[Change Orders]])=0,DockEquip2823227041[[#This Row],[Original Contract]],DockEquip2823227041[[#This Row],[Actual Buyout]]+DockEquip2823227041[[#This Row],[Change Orders]])</f>
        <v>0</v>
      </c>
      <c r="I362" s="443">
        <v>0</v>
      </c>
      <c r="J362" s="213">
        <f>DockEquip2823227041[[#This Row],[Original Contract]]-DockEquip2823227041[[#This Row],[Revised Contract]]</f>
        <v>0</v>
      </c>
      <c r="K362" s="218"/>
      <c r="L362" s="217"/>
      <c r="M362" s="184"/>
      <c r="T362" s="165"/>
      <c r="U362" s="165"/>
      <c r="Y362" s="166"/>
      <c r="Z362" s="166"/>
    </row>
    <row r="363" spans="1:26" x14ac:dyDescent="0.35">
      <c r="A363" s="201">
        <v>11</v>
      </c>
      <c r="B363" s="202" t="s">
        <v>567</v>
      </c>
      <c r="C363" s="202" t="s">
        <v>574</v>
      </c>
      <c r="D363" s="203" t="s">
        <v>575</v>
      </c>
      <c r="E363" s="443">
        <v>0</v>
      </c>
      <c r="F363" s="443">
        <v>0</v>
      </c>
      <c r="G363" s="443">
        <v>0</v>
      </c>
      <c r="H363" s="204">
        <f>IF(ABS(DockEquip2823227041[[#This Row],[Actual Buyout]])+ABS(DockEquip2823227041[[#This Row],[Change Orders]])=0,DockEquip2823227041[[#This Row],[Original Contract]],DockEquip2823227041[[#This Row],[Actual Buyout]]+DockEquip2823227041[[#This Row],[Change Orders]])</f>
        <v>0</v>
      </c>
      <c r="I363" s="443">
        <v>0</v>
      </c>
      <c r="J363" s="213">
        <f>DockEquip2823227041[[#This Row],[Original Contract]]-DockEquip2823227041[[#This Row],[Revised Contract]]</f>
        <v>0</v>
      </c>
      <c r="K363" s="218"/>
      <c r="L363" s="217"/>
      <c r="M363" s="184"/>
      <c r="T363" s="165"/>
      <c r="U363" s="165"/>
      <c r="Y363" s="166"/>
      <c r="Z363" s="166"/>
    </row>
    <row r="364" spans="1:26" x14ac:dyDescent="0.35">
      <c r="A364" s="201">
        <v>11</v>
      </c>
      <c r="B364" s="202" t="s">
        <v>567</v>
      </c>
      <c r="C364" s="202" t="s">
        <v>576</v>
      </c>
      <c r="D364" s="203" t="s">
        <v>577</v>
      </c>
      <c r="E364" s="443">
        <v>0</v>
      </c>
      <c r="F364" s="443">
        <v>0</v>
      </c>
      <c r="G364" s="443">
        <v>0</v>
      </c>
      <c r="H364" s="204">
        <f>IF(ABS(DockEquip2823227041[[#This Row],[Actual Buyout]])+ABS(DockEquip2823227041[[#This Row],[Change Orders]])=0,DockEquip2823227041[[#This Row],[Original Contract]],DockEquip2823227041[[#This Row],[Actual Buyout]]+DockEquip2823227041[[#This Row],[Change Orders]])</f>
        <v>0</v>
      </c>
      <c r="I364" s="443">
        <v>0</v>
      </c>
      <c r="J364" s="213">
        <f>DockEquip2823227041[[#This Row],[Original Contract]]-DockEquip2823227041[[#This Row],[Revised Contract]]</f>
        <v>0</v>
      </c>
      <c r="K364" s="218"/>
      <c r="L364" s="217"/>
      <c r="M364" s="184"/>
      <c r="T364" s="165"/>
      <c r="U364" s="165"/>
      <c r="Y364" s="166"/>
      <c r="Z364" s="166"/>
    </row>
    <row r="365" spans="1:26" x14ac:dyDescent="0.35">
      <c r="A365" s="201">
        <v>11</v>
      </c>
      <c r="B365" s="202" t="s">
        <v>567</v>
      </c>
      <c r="C365" s="202" t="s">
        <v>578</v>
      </c>
      <c r="D365" s="203" t="s">
        <v>579</v>
      </c>
      <c r="E365" s="443">
        <v>0</v>
      </c>
      <c r="F365" s="443">
        <v>0</v>
      </c>
      <c r="G365" s="443">
        <v>0</v>
      </c>
      <c r="H365" s="204">
        <f>IF(ABS(DockEquip2823227041[[#This Row],[Actual Buyout]])+ABS(DockEquip2823227041[[#This Row],[Change Orders]])=0,DockEquip2823227041[[#This Row],[Original Contract]],DockEquip2823227041[[#This Row],[Actual Buyout]]+DockEquip2823227041[[#This Row],[Change Orders]])</f>
        <v>0</v>
      </c>
      <c r="I365" s="443">
        <v>0</v>
      </c>
      <c r="J365" s="213">
        <f>DockEquip2823227041[[#This Row],[Original Contract]]-DockEquip2823227041[[#This Row],[Revised Contract]]</f>
        <v>0</v>
      </c>
      <c r="K365" s="218"/>
      <c r="L365" s="217"/>
      <c r="M365" s="184"/>
      <c r="T365" s="165"/>
      <c r="U365" s="165"/>
      <c r="Y365" s="166"/>
      <c r="Z365" s="166"/>
    </row>
    <row r="366" spans="1:26" x14ac:dyDescent="0.35">
      <c r="A366" s="201">
        <v>11</v>
      </c>
      <c r="B366" s="202" t="s">
        <v>567</v>
      </c>
      <c r="C366" s="202" t="s">
        <v>580</v>
      </c>
      <c r="D366" s="203" t="s">
        <v>581</v>
      </c>
      <c r="E366" s="443">
        <v>0</v>
      </c>
      <c r="F366" s="443">
        <v>0</v>
      </c>
      <c r="G366" s="443">
        <v>0</v>
      </c>
      <c r="H366" s="204">
        <f>IF(ABS(DockEquip2823227041[[#This Row],[Actual Buyout]])+ABS(DockEquip2823227041[[#This Row],[Change Orders]])=0,DockEquip2823227041[[#This Row],[Original Contract]],DockEquip2823227041[[#This Row],[Actual Buyout]]+DockEquip2823227041[[#This Row],[Change Orders]])</f>
        <v>0</v>
      </c>
      <c r="I366" s="443">
        <v>0</v>
      </c>
      <c r="J366" s="213">
        <f>DockEquip2823227041[[#This Row],[Original Contract]]-DockEquip2823227041[[#This Row],[Revised Contract]]</f>
        <v>0</v>
      </c>
      <c r="K366" s="218"/>
      <c r="L366" s="217"/>
      <c r="M366" s="184"/>
      <c r="T366" s="165"/>
      <c r="U366" s="165"/>
      <c r="Y366" s="166"/>
      <c r="Z366" s="166"/>
    </row>
    <row r="367" spans="1:26" x14ac:dyDescent="0.35">
      <c r="A367" s="201">
        <v>11</v>
      </c>
      <c r="B367" s="202"/>
      <c r="C367" s="202"/>
      <c r="D367" s="580" t="s">
        <v>258</v>
      </c>
      <c r="E367" s="443">
        <v>0</v>
      </c>
      <c r="F367" s="443">
        <v>0</v>
      </c>
      <c r="G367" s="443">
        <v>0</v>
      </c>
      <c r="H367" s="204">
        <f>IF(ABS(DockEquip2823227041[[#This Row],[Actual Buyout]])+ABS(DockEquip2823227041[[#This Row],[Change Orders]])=0,DockEquip2823227041[[#This Row],[Original Contract]],DockEquip2823227041[[#This Row],[Actual Buyout]]+DockEquip2823227041[[#This Row],[Change Orders]])</f>
        <v>0</v>
      </c>
      <c r="I367" s="443">
        <v>0</v>
      </c>
      <c r="J367" s="213">
        <f>DockEquip2823227041[[#This Row],[Original Contract]]-DockEquip2823227041[[#This Row],[Revised Contract]]</f>
        <v>0</v>
      </c>
      <c r="K367" s="218"/>
      <c r="L367" s="217"/>
      <c r="M367" s="184"/>
      <c r="T367" s="165"/>
      <c r="U367" s="165"/>
      <c r="Y367" s="166"/>
      <c r="Z367" s="166"/>
    </row>
    <row r="368" spans="1:26" x14ac:dyDescent="0.35">
      <c r="A368" s="201">
        <v>11</v>
      </c>
      <c r="B368" s="202"/>
      <c r="C368" s="202"/>
      <c r="D368" s="580" t="s">
        <v>258</v>
      </c>
      <c r="E368" s="443">
        <v>0</v>
      </c>
      <c r="F368" s="443">
        <v>0</v>
      </c>
      <c r="G368" s="443">
        <v>0</v>
      </c>
      <c r="H368" s="204">
        <f>IF(ABS(DockEquip2823227041[[#This Row],[Actual Buyout]])+ABS(DockEquip2823227041[[#This Row],[Change Orders]])=0,DockEquip2823227041[[#This Row],[Original Contract]],DockEquip2823227041[[#This Row],[Actual Buyout]]+DockEquip2823227041[[#This Row],[Change Orders]])</f>
        <v>0</v>
      </c>
      <c r="I368" s="443">
        <v>0</v>
      </c>
      <c r="J368" s="213">
        <f>DockEquip2823227041[[#This Row],[Original Contract]]-DockEquip2823227041[[#This Row],[Revised Contract]]</f>
        <v>0</v>
      </c>
      <c r="K368" s="218"/>
      <c r="L368" s="217"/>
      <c r="M368" s="184"/>
      <c r="T368" s="165"/>
      <c r="U368" s="165"/>
      <c r="Y368" s="166"/>
      <c r="Z368" s="166"/>
    </row>
    <row r="369" spans="1:26" x14ac:dyDescent="0.35">
      <c r="A369" s="201">
        <v>11</v>
      </c>
      <c r="B369" s="202"/>
      <c r="C369" s="202"/>
      <c r="D369" s="580" t="s">
        <v>258</v>
      </c>
      <c r="E369" s="443">
        <v>0</v>
      </c>
      <c r="F369" s="443">
        <v>0</v>
      </c>
      <c r="G369" s="443">
        <v>0</v>
      </c>
      <c r="H369" s="204">
        <f>IF(ABS(DockEquip2823227041[[#This Row],[Actual Buyout]])+ABS(DockEquip2823227041[[#This Row],[Change Orders]])=0,DockEquip2823227041[[#This Row],[Original Contract]],DockEquip2823227041[[#This Row],[Actual Buyout]]+DockEquip2823227041[[#This Row],[Change Orders]])</f>
        <v>0</v>
      </c>
      <c r="I369" s="443">
        <v>0</v>
      </c>
      <c r="J369" s="213">
        <f>DockEquip2823227041[[#This Row],[Original Contract]]-DockEquip2823227041[[#This Row],[Revised Contract]]</f>
        <v>0</v>
      </c>
      <c r="K369" s="218"/>
      <c r="L369" s="217"/>
      <c r="M369" s="184"/>
      <c r="T369" s="165"/>
      <c r="U369" s="165"/>
      <c r="Y369" s="166"/>
      <c r="Z369" s="166"/>
    </row>
    <row r="370" spans="1:26" x14ac:dyDescent="0.35">
      <c r="A370" s="201">
        <v>11</v>
      </c>
      <c r="B370" s="202"/>
      <c r="C370" s="202"/>
      <c r="D370" s="580" t="s">
        <v>258</v>
      </c>
      <c r="E370" s="443">
        <v>0</v>
      </c>
      <c r="F370" s="443">
        <v>0</v>
      </c>
      <c r="G370" s="443">
        <v>0</v>
      </c>
      <c r="H370" s="204">
        <f>IF(ABS(DockEquip2823227041[[#This Row],[Actual Buyout]])+ABS(DockEquip2823227041[[#This Row],[Change Orders]])=0,DockEquip2823227041[[#This Row],[Original Contract]],DockEquip2823227041[[#This Row],[Actual Buyout]]+DockEquip2823227041[[#This Row],[Change Orders]])</f>
        <v>0</v>
      </c>
      <c r="I370" s="443">
        <v>0</v>
      </c>
      <c r="J370" s="213">
        <f>DockEquip2823227041[[#This Row],[Original Contract]]-DockEquip2823227041[[#This Row],[Revised Contract]]</f>
        <v>0</v>
      </c>
      <c r="K370" s="218"/>
      <c r="L370" s="217"/>
      <c r="M370" s="184"/>
      <c r="T370" s="165"/>
      <c r="U370" s="165"/>
      <c r="Y370" s="166"/>
      <c r="Z370" s="166"/>
    </row>
    <row r="371" spans="1:26" x14ac:dyDescent="0.35">
      <c r="A371" s="201">
        <v>11</v>
      </c>
      <c r="B371" s="202"/>
      <c r="C371" s="202"/>
      <c r="D371" s="580" t="s">
        <v>258</v>
      </c>
      <c r="E371" s="443">
        <v>0</v>
      </c>
      <c r="F371" s="443">
        <v>0</v>
      </c>
      <c r="G371" s="443">
        <v>0</v>
      </c>
      <c r="H371" s="204">
        <f>IF(ABS(DockEquip2823227041[[#This Row],[Actual Buyout]])+ABS(DockEquip2823227041[[#This Row],[Change Orders]])=0,DockEquip2823227041[[#This Row],[Original Contract]],DockEquip2823227041[[#This Row],[Actual Buyout]]+DockEquip2823227041[[#This Row],[Change Orders]])</f>
        <v>0</v>
      </c>
      <c r="I371" s="443">
        <v>0</v>
      </c>
      <c r="J371" s="213">
        <f>DockEquip2823227041[[#This Row],[Original Contract]]-DockEquip2823227041[[#This Row],[Revised Contract]]</f>
        <v>0</v>
      </c>
      <c r="K371" s="218"/>
      <c r="L371" s="217"/>
      <c r="M371" s="184"/>
      <c r="T371" s="165"/>
      <c r="U371" s="165"/>
      <c r="Y371" s="166"/>
      <c r="Z371" s="166"/>
    </row>
    <row r="372" spans="1:26" x14ac:dyDescent="0.35">
      <c r="A372" s="219"/>
      <c r="B372" s="220"/>
      <c r="C372" s="220"/>
      <c r="D372" s="208" t="s">
        <v>259</v>
      </c>
      <c r="E372" s="209">
        <f>SUM(DockEquip2823227041[Original Contract])</f>
        <v>0</v>
      </c>
      <c r="F372" s="209">
        <f>SUM(DockEquip2823227041[Actual Buyout])</f>
        <v>0</v>
      </c>
      <c r="G372" s="209">
        <f>SUM(DockEquip2823227041[Change Orders])</f>
        <v>0</v>
      </c>
      <c r="H372" s="209">
        <f>SUM(DockEquip2823227041[Revised Contract])</f>
        <v>0</v>
      </c>
      <c r="I372" s="209">
        <f>SUM(DockEquip2823227041[Total completed and Stored])</f>
        <v>0</v>
      </c>
      <c r="J372" s="209">
        <f>SUM(DockEquip2823227041[Delta])</f>
        <v>0</v>
      </c>
      <c r="K372" s="221"/>
      <c r="L372" s="184"/>
      <c r="M372" s="184"/>
    </row>
    <row r="373" spans="1:26" x14ac:dyDescent="0.35">
      <c r="A373" s="164" t="s">
        <v>141</v>
      </c>
      <c r="B373" s="164" t="s">
        <v>142</v>
      </c>
      <c r="C373" s="164" t="s">
        <v>242</v>
      </c>
      <c r="D373" s="164" t="s">
        <v>243</v>
      </c>
      <c r="E373" s="164" t="s">
        <v>244</v>
      </c>
      <c r="F373" s="198" t="s">
        <v>245</v>
      </c>
      <c r="G373" s="198" t="s">
        <v>246</v>
      </c>
      <c r="H373" s="198" t="s">
        <v>247</v>
      </c>
      <c r="I373" s="211" t="s">
        <v>250</v>
      </c>
      <c r="J373" s="222" t="s">
        <v>249</v>
      </c>
      <c r="K373" s="218"/>
      <c r="L373" s="216"/>
      <c r="M373" s="184"/>
      <c r="T373" s="165"/>
      <c r="U373" s="165"/>
      <c r="Y373" s="166"/>
      <c r="Z373" s="166"/>
    </row>
    <row r="374" spans="1:26" x14ac:dyDescent="0.35">
      <c r="A374" s="201">
        <v>12</v>
      </c>
      <c r="B374" s="202" t="s">
        <v>582</v>
      </c>
      <c r="C374" s="202" t="s">
        <v>583</v>
      </c>
      <c r="D374" s="203" t="s">
        <v>582</v>
      </c>
      <c r="E374" s="443">
        <v>0</v>
      </c>
      <c r="F374" s="443">
        <v>0</v>
      </c>
      <c r="G374" s="443">
        <v>0</v>
      </c>
      <c r="H374" s="204">
        <f>IF(ABS(Furnishings2923327142[[#This Row],[Actual Buyout]])+ABS(Furnishings2923327142[[#This Row],[Change Orders]])=0,Furnishings2923327142[[#This Row],[Original Contract]],Furnishings2923327142[[#This Row],[Actual Buyout]]+Furnishings2923327142[[#This Row],[Change Orders]])</f>
        <v>0</v>
      </c>
      <c r="I374" s="443">
        <v>0</v>
      </c>
      <c r="J374" s="213">
        <f>Furnishings2923327142[[#This Row],[Original Contract]]-Furnishings2923327142[[#This Row],[Revised Contract]]</f>
        <v>0</v>
      </c>
      <c r="K374" s="218"/>
      <c r="L374" s="217"/>
      <c r="M374" s="184"/>
      <c r="T374" s="165"/>
      <c r="U374" s="165"/>
      <c r="Y374" s="166"/>
      <c r="Z374" s="166"/>
    </row>
    <row r="375" spans="1:26" x14ac:dyDescent="0.35">
      <c r="A375" s="201">
        <v>12</v>
      </c>
      <c r="B375" s="202"/>
      <c r="C375" s="202"/>
      <c r="D375" s="580" t="s">
        <v>258</v>
      </c>
      <c r="E375" s="443">
        <v>0</v>
      </c>
      <c r="F375" s="443">
        <v>0</v>
      </c>
      <c r="G375" s="443">
        <v>0</v>
      </c>
      <c r="H375" s="204">
        <f>IF(ABS(Furnishings2923327142[[#This Row],[Actual Buyout]])+ABS(Furnishings2923327142[[#This Row],[Change Orders]])=0,Furnishings2923327142[[#This Row],[Original Contract]],Furnishings2923327142[[#This Row],[Actual Buyout]]+Furnishings2923327142[[#This Row],[Change Orders]])</f>
        <v>0</v>
      </c>
      <c r="I375" s="443">
        <v>0</v>
      </c>
      <c r="J375" s="213">
        <f>Furnishings2923327142[[#This Row],[Original Contract]]-Furnishings2923327142[[#This Row],[Revised Contract]]</f>
        <v>0</v>
      </c>
      <c r="K375" s="218"/>
      <c r="L375" s="217"/>
      <c r="M375" s="184"/>
      <c r="T375" s="165"/>
      <c r="U375" s="165"/>
      <c r="Y375" s="166"/>
      <c r="Z375" s="166"/>
    </row>
    <row r="376" spans="1:26" x14ac:dyDescent="0.35">
      <c r="A376" s="201">
        <v>12</v>
      </c>
      <c r="B376" s="202"/>
      <c r="C376" s="202"/>
      <c r="D376" s="580" t="s">
        <v>258</v>
      </c>
      <c r="E376" s="443">
        <v>0</v>
      </c>
      <c r="F376" s="443">
        <v>0</v>
      </c>
      <c r="G376" s="443">
        <v>0</v>
      </c>
      <c r="H376" s="204">
        <f>IF(ABS(Furnishings2923327142[[#This Row],[Actual Buyout]])+ABS(Furnishings2923327142[[#This Row],[Change Orders]])=0,Furnishings2923327142[[#This Row],[Original Contract]],Furnishings2923327142[[#This Row],[Actual Buyout]]+Furnishings2923327142[[#This Row],[Change Orders]])</f>
        <v>0</v>
      </c>
      <c r="I376" s="443">
        <v>0</v>
      </c>
      <c r="J376" s="213">
        <f>Furnishings2923327142[[#This Row],[Original Contract]]-Furnishings2923327142[[#This Row],[Revised Contract]]</f>
        <v>0</v>
      </c>
      <c r="K376" s="218"/>
      <c r="L376" s="217"/>
      <c r="M376" s="184"/>
      <c r="T376" s="165"/>
      <c r="U376" s="165"/>
      <c r="Y376" s="166"/>
      <c r="Z376" s="166"/>
    </row>
    <row r="377" spans="1:26" x14ac:dyDescent="0.35">
      <c r="A377" s="201">
        <v>12</v>
      </c>
      <c r="B377" s="202"/>
      <c r="C377" s="202"/>
      <c r="D377" s="580" t="s">
        <v>258</v>
      </c>
      <c r="E377" s="443">
        <v>0</v>
      </c>
      <c r="F377" s="443">
        <v>0</v>
      </c>
      <c r="G377" s="443">
        <v>0</v>
      </c>
      <c r="H377" s="204">
        <f>IF(ABS(Furnishings2923327142[[#This Row],[Actual Buyout]])+ABS(Furnishings2923327142[[#This Row],[Change Orders]])=0,Furnishings2923327142[[#This Row],[Original Contract]],Furnishings2923327142[[#This Row],[Actual Buyout]]+Furnishings2923327142[[#This Row],[Change Orders]])</f>
        <v>0</v>
      </c>
      <c r="I377" s="443">
        <v>0</v>
      </c>
      <c r="J377" s="213">
        <f>Furnishings2923327142[[#This Row],[Original Contract]]-Furnishings2923327142[[#This Row],[Revised Contract]]</f>
        <v>0</v>
      </c>
      <c r="K377" s="218"/>
      <c r="L377" s="217"/>
      <c r="M377" s="184"/>
      <c r="T377" s="165"/>
      <c r="U377" s="165"/>
      <c r="Y377" s="166"/>
      <c r="Z377" s="166"/>
    </row>
    <row r="378" spans="1:26" x14ac:dyDescent="0.35">
      <c r="A378" s="201">
        <v>12</v>
      </c>
      <c r="B378" s="202"/>
      <c r="C378" s="202"/>
      <c r="D378" s="580" t="s">
        <v>258</v>
      </c>
      <c r="E378" s="443">
        <v>0</v>
      </c>
      <c r="F378" s="443">
        <v>0</v>
      </c>
      <c r="G378" s="443">
        <v>0</v>
      </c>
      <c r="H378" s="204">
        <f>IF(ABS(Furnishings2923327142[[#This Row],[Actual Buyout]])+ABS(Furnishings2923327142[[#This Row],[Change Orders]])=0,Furnishings2923327142[[#This Row],[Original Contract]],Furnishings2923327142[[#This Row],[Actual Buyout]]+Furnishings2923327142[[#This Row],[Change Orders]])</f>
        <v>0</v>
      </c>
      <c r="I378" s="443">
        <v>0</v>
      </c>
      <c r="J378" s="213">
        <f>Furnishings2923327142[[#This Row],[Original Contract]]-Furnishings2923327142[[#This Row],[Revised Contract]]</f>
        <v>0</v>
      </c>
      <c r="K378" s="218"/>
      <c r="L378" s="217"/>
      <c r="M378" s="184"/>
      <c r="T378" s="165"/>
      <c r="U378" s="165"/>
      <c r="Y378" s="166"/>
      <c r="Z378" s="166"/>
    </row>
    <row r="379" spans="1:26" ht="15" customHeight="1" x14ac:dyDescent="0.35">
      <c r="A379" s="201">
        <v>12</v>
      </c>
      <c r="B379" s="202"/>
      <c r="C379" s="202"/>
      <c r="D379" s="580" t="s">
        <v>258</v>
      </c>
      <c r="E379" s="443">
        <v>0</v>
      </c>
      <c r="F379" s="443">
        <v>0</v>
      </c>
      <c r="G379" s="443">
        <v>0</v>
      </c>
      <c r="H379" s="204">
        <f>IF(ABS(Furnishings2923327142[[#This Row],[Actual Buyout]])+ABS(Furnishings2923327142[[#This Row],[Change Orders]])=0,Furnishings2923327142[[#This Row],[Original Contract]],Furnishings2923327142[[#This Row],[Actual Buyout]]+Furnishings2923327142[[#This Row],[Change Orders]])</f>
        <v>0</v>
      </c>
      <c r="I379" s="443">
        <v>0</v>
      </c>
      <c r="J379" s="213">
        <f>Furnishings2923327142[[#This Row],[Original Contract]]-Furnishings2923327142[[#This Row],[Revised Contract]]</f>
        <v>0</v>
      </c>
      <c r="K379" s="218"/>
      <c r="L379" s="217"/>
      <c r="M379" s="184"/>
      <c r="T379" s="165"/>
      <c r="U379" s="165"/>
      <c r="Y379" s="166"/>
      <c r="Z379" s="166"/>
    </row>
    <row r="380" spans="1:26" x14ac:dyDescent="0.35">
      <c r="A380" s="219"/>
      <c r="B380" s="220"/>
      <c r="C380" s="220"/>
      <c r="D380" s="208" t="s">
        <v>259</v>
      </c>
      <c r="E380" s="209">
        <f>SUM(Furnishings2923327142[Original Contract])</f>
        <v>0</v>
      </c>
      <c r="F380" s="209">
        <f>SUM(Furnishings2923327142[Actual Buyout])</f>
        <v>0</v>
      </c>
      <c r="G380" s="209">
        <f>SUM(Furnishings2923327142[Change Orders])</f>
        <v>0</v>
      </c>
      <c r="H380" s="209">
        <f>SUM(Furnishings2923327142[Revised Contract])</f>
        <v>0</v>
      </c>
      <c r="I380" s="209">
        <f>SUM(Furnishings2923327142[Total completed and Stored])</f>
        <v>0</v>
      </c>
      <c r="J380" s="209">
        <f>SUM(Furnishings2923327142[Delta])</f>
        <v>0</v>
      </c>
      <c r="K380" s="221"/>
      <c r="L380" s="184"/>
      <c r="M380" s="184"/>
    </row>
    <row r="381" spans="1:26" x14ac:dyDescent="0.35">
      <c r="A381" s="164" t="s">
        <v>143</v>
      </c>
      <c r="B381" s="164" t="s">
        <v>144</v>
      </c>
      <c r="C381" s="164" t="s">
        <v>242</v>
      </c>
      <c r="D381" s="164" t="s">
        <v>243</v>
      </c>
      <c r="E381" s="164" t="s">
        <v>244</v>
      </c>
      <c r="F381" s="198" t="s">
        <v>245</v>
      </c>
      <c r="G381" s="198" t="s">
        <v>246</v>
      </c>
      <c r="H381" s="198" t="s">
        <v>247</v>
      </c>
      <c r="I381" s="211" t="s">
        <v>250</v>
      </c>
      <c r="J381" s="222" t="s">
        <v>249</v>
      </c>
      <c r="K381" s="218"/>
      <c r="L381" s="216"/>
      <c r="M381" s="184"/>
      <c r="T381" s="165"/>
      <c r="U381" s="165"/>
      <c r="Y381" s="166"/>
      <c r="Z381" s="166"/>
    </row>
    <row r="382" spans="1:26" x14ac:dyDescent="0.35">
      <c r="A382" s="201">
        <v>13</v>
      </c>
      <c r="B382" s="202" t="s">
        <v>144</v>
      </c>
      <c r="C382" s="202" t="s">
        <v>584</v>
      </c>
      <c r="D382" s="203" t="s">
        <v>585</v>
      </c>
      <c r="E382" s="443">
        <v>0</v>
      </c>
      <c r="F382" s="443">
        <v>0</v>
      </c>
      <c r="G382" s="443">
        <v>0</v>
      </c>
      <c r="H382" s="204">
        <f>IF(ABS(SpecConst3023427243[[#This Row],[Actual Buyout]])+ABS(SpecConst3023427243[[#This Row],[Change Orders]])=0,SpecConst3023427243[[#This Row],[Original Contract]],SpecConst3023427243[[#This Row],[Actual Buyout]]+SpecConst3023427243[[#This Row],[Change Orders]])</f>
        <v>0</v>
      </c>
      <c r="I382" s="443">
        <v>0</v>
      </c>
      <c r="J382" s="213">
        <f>SpecConst3023427243[[#This Row],[Original Contract]]-SpecConst3023427243[[#This Row],[Revised Contract]]</f>
        <v>0</v>
      </c>
      <c r="K382" s="218"/>
      <c r="L382" s="217"/>
      <c r="M382" s="184"/>
      <c r="T382" s="165"/>
      <c r="U382" s="165"/>
      <c r="Y382" s="166"/>
      <c r="Z382" s="166"/>
    </row>
    <row r="383" spans="1:26" x14ac:dyDescent="0.35">
      <c r="A383" s="201">
        <v>13</v>
      </c>
      <c r="B383" s="202" t="s">
        <v>144</v>
      </c>
      <c r="C383" s="202" t="s">
        <v>584</v>
      </c>
      <c r="D383" s="203" t="s">
        <v>586</v>
      </c>
      <c r="E383" s="443">
        <v>0</v>
      </c>
      <c r="F383" s="443">
        <v>0</v>
      </c>
      <c r="G383" s="443">
        <v>0</v>
      </c>
      <c r="H383" s="204">
        <f>IF(ABS(SpecConst3023427243[[#This Row],[Actual Buyout]])+ABS(SpecConst3023427243[[#This Row],[Change Orders]])=0,SpecConst3023427243[[#This Row],[Original Contract]],SpecConst3023427243[[#This Row],[Actual Buyout]]+SpecConst3023427243[[#This Row],[Change Orders]])</f>
        <v>0</v>
      </c>
      <c r="I383" s="443">
        <v>0</v>
      </c>
      <c r="J383" s="213">
        <f>SpecConst3023427243[[#This Row],[Original Contract]]-SpecConst3023427243[[#This Row],[Revised Contract]]</f>
        <v>0</v>
      </c>
      <c r="K383" s="218"/>
      <c r="L383" s="217"/>
      <c r="M383" s="184"/>
      <c r="T383" s="165"/>
      <c r="U383" s="165"/>
      <c r="Y383" s="166"/>
      <c r="Z383" s="166"/>
    </row>
    <row r="384" spans="1:26" x14ac:dyDescent="0.35">
      <c r="A384" s="201">
        <v>13</v>
      </c>
      <c r="B384" s="202"/>
      <c r="C384" s="202"/>
      <c r="D384" s="580" t="s">
        <v>258</v>
      </c>
      <c r="E384" s="443">
        <v>0</v>
      </c>
      <c r="F384" s="443">
        <v>0</v>
      </c>
      <c r="G384" s="443">
        <v>0</v>
      </c>
      <c r="H384" s="204">
        <f>IF(ABS(SpecConst3023427243[[#This Row],[Actual Buyout]])+ABS(SpecConst3023427243[[#This Row],[Change Orders]])=0,SpecConst3023427243[[#This Row],[Original Contract]],SpecConst3023427243[[#This Row],[Actual Buyout]]+SpecConst3023427243[[#This Row],[Change Orders]])</f>
        <v>0</v>
      </c>
      <c r="I384" s="443">
        <v>0</v>
      </c>
      <c r="J384" s="213">
        <f>SpecConst3023427243[[#This Row],[Original Contract]]-SpecConst3023427243[[#This Row],[Revised Contract]]</f>
        <v>0</v>
      </c>
      <c r="K384" s="218"/>
      <c r="L384" s="217"/>
      <c r="M384" s="184"/>
      <c r="T384" s="165"/>
      <c r="U384" s="165"/>
      <c r="Y384" s="166"/>
      <c r="Z384" s="166"/>
    </row>
    <row r="385" spans="1:26" x14ac:dyDescent="0.35">
      <c r="A385" s="201">
        <v>13</v>
      </c>
      <c r="B385" s="202"/>
      <c r="C385" s="202"/>
      <c r="D385" s="580" t="s">
        <v>258</v>
      </c>
      <c r="E385" s="443">
        <v>0</v>
      </c>
      <c r="F385" s="443">
        <v>0</v>
      </c>
      <c r="G385" s="443">
        <v>0</v>
      </c>
      <c r="H385" s="204">
        <f>IF(ABS(SpecConst3023427243[[#This Row],[Actual Buyout]])+ABS(SpecConst3023427243[[#This Row],[Change Orders]])=0,SpecConst3023427243[[#This Row],[Original Contract]],SpecConst3023427243[[#This Row],[Actual Buyout]]+SpecConst3023427243[[#This Row],[Change Orders]])</f>
        <v>0</v>
      </c>
      <c r="I385" s="443">
        <v>0</v>
      </c>
      <c r="J385" s="213">
        <f>SpecConst3023427243[[#This Row],[Original Contract]]-SpecConst3023427243[[#This Row],[Revised Contract]]</f>
        <v>0</v>
      </c>
      <c r="K385" s="218"/>
      <c r="L385" s="217"/>
      <c r="M385" s="184"/>
      <c r="T385" s="165"/>
      <c r="U385" s="165"/>
      <c r="Y385" s="166"/>
      <c r="Z385" s="166"/>
    </row>
    <row r="386" spans="1:26" x14ac:dyDescent="0.35">
      <c r="A386" s="201">
        <v>13</v>
      </c>
      <c r="B386" s="202"/>
      <c r="C386" s="202"/>
      <c r="D386" s="580" t="s">
        <v>258</v>
      </c>
      <c r="E386" s="443">
        <v>0</v>
      </c>
      <c r="F386" s="443">
        <v>0</v>
      </c>
      <c r="G386" s="443">
        <v>0</v>
      </c>
      <c r="H386" s="204">
        <f>IF(ABS(SpecConst3023427243[[#This Row],[Actual Buyout]])+ABS(SpecConst3023427243[[#This Row],[Change Orders]])=0,SpecConst3023427243[[#This Row],[Original Contract]],SpecConst3023427243[[#This Row],[Actual Buyout]]+SpecConst3023427243[[#This Row],[Change Orders]])</f>
        <v>0</v>
      </c>
      <c r="I386" s="443">
        <v>0</v>
      </c>
      <c r="J386" s="213">
        <f>SpecConst3023427243[[#This Row],[Original Contract]]-SpecConst3023427243[[#This Row],[Revised Contract]]</f>
        <v>0</v>
      </c>
      <c r="K386" s="218"/>
      <c r="L386" s="217"/>
      <c r="M386" s="184"/>
      <c r="T386" s="165"/>
      <c r="U386" s="165"/>
      <c r="Y386" s="166"/>
      <c r="Z386" s="166"/>
    </row>
    <row r="387" spans="1:26" x14ac:dyDescent="0.35">
      <c r="A387" s="201">
        <v>13</v>
      </c>
      <c r="B387" s="202"/>
      <c r="C387" s="202"/>
      <c r="D387" s="580" t="s">
        <v>258</v>
      </c>
      <c r="E387" s="443">
        <v>0</v>
      </c>
      <c r="F387" s="443">
        <v>0</v>
      </c>
      <c r="G387" s="443">
        <v>0</v>
      </c>
      <c r="H387" s="204">
        <f>IF(ABS(SpecConst3023427243[[#This Row],[Actual Buyout]])+ABS(SpecConst3023427243[[#This Row],[Change Orders]])=0,SpecConst3023427243[[#This Row],[Original Contract]],SpecConst3023427243[[#This Row],[Actual Buyout]]+SpecConst3023427243[[#This Row],[Change Orders]])</f>
        <v>0</v>
      </c>
      <c r="I387" s="443">
        <v>0</v>
      </c>
      <c r="J387" s="213">
        <f>SpecConst3023427243[[#This Row],[Original Contract]]-SpecConst3023427243[[#This Row],[Revised Contract]]</f>
        <v>0</v>
      </c>
      <c r="K387" s="218"/>
      <c r="L387" s="217"/>
      <c r="M387" s="184"/>
      <c r="T387" s="165"/>
      <c r="U387" s="165"/>
      <c r="Y387" s="166"/>
      <c r="Z387" s="166"/>
    </row>
    <row r="388" spans="1:26" x14ac:dyDescent="0.35">
      <c r="A388" s="201">
        <v>13</v>
      </c>
      <c r="B388" s="202"/>
      <c r="C388" s="202"/>
      <c r="D388" s="580" t="s">
        <v>258</v>
      </c>
      <c r="E388" s="443">
        <v>0</v>
      </c>
      <c r="F388" s="443">
        <v>0</v>
      </c>
      <c r="G388" s="443">
        <v>0</v>
      </c>
      <c r="H388" s="204">
        <f>IF(ABS(SpecConst3023427243[[#This Row],[Actual Buyout]])+ABS(SpecConst3023427243[[#This Row],[Change Orders]])=0,SpecConst3023427243[[#This Row],[Original Contract]],SpecConst3023427243[[#This Row],[Actual Buyout]]+SpecConst3023427243[[#This Row],[Change Orders]])</f>
        <v>0</v>
      </c>
      <c r="I388" s="443">
        <v>0</v>
      </c>
      <c r="J388" s="213">
        <f>SpecConst3023427243[[#This Row],[Original Contract]]-SpecConst3023427243[[#This Row],[Revised Contract]]</f>
        <v>0</v>
      </c>
      <c r="K388" s="218"/>
      <c r="L388" s="217"/>
      <c r="M388" s="184"/>
      <c r="T388" s="165"/>
      <c r="U388" s="165"/>
      <c r="Y388" s="166"/>
      <c r="Z388" s="166"/>
    </row>
    <row r="389" spans="1:26" x14ac:dyDescent="0.35">
      <c r="A389" s="219"/>
      <c r="B389" s="220"/>
      <c r="C389" s="220"/>
      <c r="D389" s="208" t="s">
        <v>259</v>
      </c>
      <c r="E389" s="209">
        <f>SUM(SpecConst3023427243[Original Contract])</f>
        <v>0</v>
      </c>
      <c r="F389" s="209">
        <f>SUM(SpecConst3023427243[Actual Buyout])</f>
        <v>0</v>
      </c>
      <c r="G389" s="209">
        <f>SUM(SpecConst3023427243[Change Orders])</f>
        <v>0</v>
      </c>
      <c r="H389" s="209">
        <f>SUM(SpecConst3023427243[Revised Contract])</f>
        <v>0</v>
      </c>
      <c r="I389" s="209">
        <f>SUM(SpecConst3023427243[Total completed and Stored])</f>
        <v>0</v>
      </c>
      <c r="J389" s="209">
        <f>SUM(SpecConst3023427243[Delta])</f>
        <v>0</v>
      </c>
      <c r="K389" s="221"/>
      <c r="L389" s="184"/>
      <c r="M389" s="184"/>
    </row>
    <row r="390" spans="1:26" x14ac:dyDescent="0.35">
      <c r="A390" s="164" t="s">
        <v>145</v>
      </c>
      <c r="B390" s="164" t="s">
        <v>587</v>
      </c>
      <c r="C390" s="164" t="s">
        <v>242</v>
      </c>
      <c r="D390" s="164" t="s">
        <v>243</v>
      </c>
      <c r="E390" s="164" t="s">
        <v>244</v>
      </c>
      <c r="F390" s="198" t="s">
        <v>245</v>
      </c>
      <c r="G390" s="198" t="s">
        <v>246</v>
      </c>
      <c r="H390" s="198" t="s">
        <v>247</v>
      </c>
      <c r="I390" s="211" t="s">
        <v>250</v>
      </c>
      <c r="J390" s="222" t="s">
        <v>249</v>
      </c>
      <c r="K390" s="218"/>
      <c r="L390" s="216"/>
      <c r="M390" s="184"/>
      <c r="T390" s="165"/>
      <c r="U390" s="165"/>
      <c r="Y390" s="166"/>
      <c r="Z390" s="166"/>
    </row>
    <row r="391" spans="1:26" x14ac:dyDescent="0.35">
      <c r="A391" s="201">
        <v>14</v>
      </c>
      <c r="B391" s="202" t="s">
        <v>587</v>
      </c>
      <c r="C391" s="202" t="s">
        <v>588</v>
      </c>
      <c r="D391" s="203" t="s">
        <v>589</v>
      </c>
      <c r="E391" s="443">
        <v>0</v>
      </c>
      <c r="F391" s="443">
        <v>0</v>
      </c>
      <c r="G391" s="443">
        <v>0</v>
      </c>
      <c r="H391" s="204">
        <f>IF(ABS(Elevators3123527344[[#This Row],[Actual Buyout]])+ABS(Elevators3123527344[[#This Row],[Change Orders]])=0,Elevators3123527344[[#This Row],[Original Contract]],Elevators3123527344[[#This Row],[Actual Buyout]]+Elevators3123527344[[#This Row],[Change Orders]])</f>
        <v>0</v>
      </c>
      <c r="I391" s="443">
        <v>0</v>
      </c>
      <c r="J391" s="213">
        <f>Elevators3123527344[[#This Row],[Original Contract]]-Elevators3123527344[[#This Row],[Revised Contract]]</f>
        <v>0</v>
      </c>
      <c r="K391" s="218"/>
      <c r="L391" s="217"/>
      <c r="M391" s="184"/>
      <c r="T391" s="165"/>
      <c r="U391" s="165"/>
      <c r="Y391" s="166"/>
      <c r="Z391" s="166"/>
    </row>
    <row r="392" spans="1:26" x14ac:dyDescent="0.35">
      <c r="A392" s="201">
        <v>14</v>
      </c>
      <c r="B392" s="202" t="s">
        <v>590</v>
      </c>
      <c r="C392" s="202" t="s">
        <v>591</v>
      </c>
      <c r="D392" s="203" t="s">
        <v>592</v>
      </c>
      <c r="E392" s="443">
        <v>0</v>
      </c>
      <c r="F392" s="443">
        <v>0</v>
      </c>
      <c r="G392" s="443">
        <v>0</v>
      </c>
      <c r="H392" s="204">
        <f>IF(ABS(Elevators3123527344[[#This Row],[Actual Buyout]])+ABS(Elevators3123527344[[#This Row],[Change Orders]])=0,Elevators3123527344[[#This Row],[Original Contract]],Elevators3123527344[[#This Row],[Actual Buyout]]+Elevators3123527344[[#This Row],[Change Orders]])</f>
        <v>0</v>
      </c>
      <c r="I392" s="443">
        <v>0</v>
      </c>
      <c r="J392" s="213">
        <f>Elevators3123527344[[#This Row],[Original Contract]]-Elevators3123527344[[#This Row],[Revised Contract]]</f>
        <v>0</v>
      </c>
      <c r="K392" s="218"/>
      <c r="L392" s="217"/>
      <c r="M392" s="184"/>
      <c r="T392" s="165"/>
      <c r="U392" s="165"/>
      <c r="Y392" s="166"/>
      <c r="Z392" s="166"/>
    </row>
    <row r="393" spans="1:26" x14ac:dyDescent="0.35">
      <c r="A393" s="201">
        <v>14</v>
      </c>
      <c r="B393" s="202"/>
      <c r="C393" s="202"/>
      <c r="D393" s="580" t="s">
        <v>258</v>
      </c>
      <c r="E393" s="443">
        <v>0</v>
      </c>
      <c r="F393" s="443">
        <v>0</v>
      </c>
      <c r="G393" s="443">
        <v>0</v>
      </c>
      <c r="H393" s="204">
        <f>IF(ABS(Elevators3123527344[[#This Row],[Actual Buyout]])+ABS(Elevators3123527344[[#This Row],[Change Orders]])=0,Elevators3123527344[[#This Row],[Original Contract]],Elevators3123527344[[#This Row],[Actual Buyout]]+Elevators3123527344[[#This Row],[Change Orders]])</f>
        <v>0</v>
      </c>
      <c r="I393" s="443">
        <v>0</v>
      </c>
      <c r="J393" s="213">
        <f>Elevators3123527344[[#This Row],[Original Contract]]-Elevators3123527344[[#This Row],[Revised Contract]]</f>
        <v>0</v>
      </c>
      <c r="K393" s="218"/>
      <c r="L393" s="217"/>
      <c r="M393" s="184"/>
      <c r="T393" s="165"/>
      <c r="U393" s="165"/>
      <c r="Y393" s="166"/>
      <c r="Z393" s="166"/>
    </row>
    <row r="394" spans="1:26" x14ac:dyDescent="0.35">
      <c r="A394" s="201">
        <v>14</v>
      </c>
      <c r="B394" s="202"/>
      <c r="C394" s="202"/>
      <c r="D394" s="580" t="s">
        <v>258</v>
      </c>
      <c r="E394" s="443">
        <v>0</v>
      </c>
      <c r="F394" s="443">
        <v>0</v>
      </c>
      <c r="G394" s="443">
        <v>0</v>
      </c>
      <c r="H394" s="204">
        <f>IF(ABS(Elevators3123527344[[#This Row],[Actual Buyout]])+ABS(Elevators3123527344[[#This Row],[Change Orders]])=0,Elevators3123527344[[#This Row],[Original Contract]],Elevators3123527344[[#This Row],[Actual Buyout]]+Elevators3123527344[[#This Row],[Change Orders]])</f>
        <v>0</v>
      </c>
      <c r="I394" s="443">
        <v>0</v>
      </c>
      <c r="J394" s="213">
        <f>Elevators3123527344[[#This Row],[Original Contract]]-Elevators3123527344[[#This Row],[Revised Contract]]</f>
        <v>0</v>
      </c>
      <c r="K394" s="218"/>
      <c r="L394" s="217"/>
      <c r="M394" s="184"/>
      <c r="T394" s="165"/>
      <c r="U394" s="165"/>
      <c r="Y394" s="166"/>
      <c r="Z394" s="166"/>
    </row>
    <row r="395" spans="1:26" x14ac:dyDescent="0.35">
      <c r="A395" s="201">
        <v>14</v>
      </c>
      <c r="B395" s="202"/>
      <c r="C395" s="202"/>
      <c r="D395" s="580" t="s">
        <v>258</v>
      </c>
      <c r="E395" s="443">
        <v>0</v>
      </c>
      <c r="F395" s="443">
        <v>0</v>
      </c>
      <c r="G395" s="443">
        <v>0</v>
      </c>
      <c r="H395" s="204">
        <f>IF(ABS(Elevators3123527344[[#This Row],[Actual Buyout]])+ABS(Elevators3123527344[[#This Row],[Change Orders]])=0,Elevators3123527344[[#This Row],[Original Contract]],Elevators3123527344[[#This Row],[Actual Buyout]]+Elevators3123527344[[#This Row],[Change Orders]])</f>
        <v>0</v>
      </c>
      <c r="I395" s="443">
        <v>0</v>
      </c>
      <c r="J395" s="213">
        <f>Elevators3123527344[[#This Row],[Original Contract]]-Elevators3123527344[[#This Row],[Revised Contract]]</f>
        <v>0</v>
      </c>
      <c r="K395" s="218"/>
      <c r="L395" s="217"/>
      <c r="M395" s="184"/>
      <c r="T395" s="165"/>
      <c r="U395" s="165"/>
      <c r="Y395" s="166"/>
      <c r="Z395" s="166"/>
    </row>
    <row r="396" spans="1:26" x14ac:dyDescent="0.35">
      <c r="A396" s="201">
        <v>14</v>
      </c>
      <c r="B396" s="202"/>
      <c r="C396" s="202"/>
      <c r="D396" s="580" t="s">
        <v>258</v>
      </c>
      <c r="E396" s="443">
        <v>0</v>
      </c>
      <c r="F396" s="443">
        <v>0</v>
      </c>
      <c r="G396" s="443">
        <v>0</v>
      </c>
      <c r="H396" s="204">
        <f>IF(ABS(Elevators3123527344[[#This Row],[Actual Buyout]])+ABS(Elevators3123527344[[#This Row],[Change Orders]])=0,Elevators3123527344[[#This Row],[Original Contract]],Elevators3123527344[[#This Row],[Actual Buyout]]+Elevators3123527344[[#This Row],[Change Orders]])</f>
        <v>0</v>
      </c>
      <c r="I396" s="443">
        <v>0</v>
      </c>
      <c r="J396" s="213">
        <f>Elevators3123527344[[#This Row],[Original Contract]]-Elevators3123527344[[#This Row],[Revised Contract]]</f>
        <v>0</v>
      </c>
      <c r="K396" s="218"/>
      <c r="L396" s="217"/>
      <c r="M396" s="184"/>
      <c r="T396" s="165"/>
      <c r="U396" s="165"/>
      <c r="Y396" s="166"/>
      <c r="Z396" s="166"/>
    </row>
    <row r="397" spans="1:26" x14ac:dyDescent="0.35">
      <c r="A397" s="201">
        <v>14</v>
      </c>
      <c r="B397" s="202"/>
      <c r="C397" s="202"/>
      <c r="D397" s="580" t="s">
        <v>258</v>
      </c>
      <c r="E397" s="443">
        <v>0</v>
      </c>
      <c r="F397" s="443">
        <v>0</v>
      </c>
      <c r="G397" s="443">
        <v>0</v>
      </c>
      <c r="H397" s="204">
        <f>IF(ABS(Elevators3123527344[[#This Row],[Actual Buyout]])+ABS(Elevators3123527344[[#This Row],[Change Orders]])=0,Elevators3123527344[[#This Row],[Original Contract]],Elevators3123527344[[#This Row],[Actual Buyout]]+Elevators3123527344[[#This Row],[Change Orders]])</f>
        <v>0</v>
      </c>
      <c r="I397" s="443">
        <v>0</v>
      </c>
      <c r="J397" s="213">
        <f>Elevators3123527344[[#This Row],[Original Contract]]-Elevators3123527344[[#This Row],[Revised Contract]]</f>
        <v>0</v>
      </c>
      <c r="K397" s="218"/>
      <c r="L397" s="217"/>
      <c r="M397" s="184"/>
      <c r="T397" s="165"/>
      <c r="U397" s="165"/>
      <c r="Y397" s="166"/>
      <c r="Z397" s="166"/>
    </row>
    <row r="398" spans="1:26" x14ac:dyDescent="0.35">
      <c r="A398" s="219"/>
      <c r="B398" s="220"/>
      <c r="C398" s="220"/>
      <c r="D398" s="208" t="s">
        <v>259</v>
      </c>
      <c r="E398" s="209">
        <f>SUM(Elevators3123527344[Original Contract])</f>
        <v>0</v>
      </c>
      <c r="F398" s="209">
        <f>SUM(Elevators3123527344[Actual Buyout])</f>
        <v>0</v>
      </c>
      <c r="G398" s="209">
        <f>SUM(Elevators3123527344[Change Orders])</f>
        <v>0</v>
      </c>
      <c r="H398" s="209">
        <f>SUM(Elevators3123527344[Revised Contract])</f>
        <v>0</v>
      </c>
      <c r="I398" s="209">
        <f>SUM(Elevators3123527344[Total completed and Stored])</f>
        <v>0</v>
      </c>
      <c r="J398" s="209">
        <f>SUM(Elevators3123527344[Delta])</f>
        <v>0</v>
      </c>
      <c r="K398" s="221"/>
      <c r="L398" s="184"/>
      <c r="M398" s="184"/>
    </row>
    <row r="399" spans="1:26" x14ac:dyDescent="0.35">
      <c r="A399" s="164" t="s">
        <v>147</v>
      </c>
      <c r="B399" s="164" t="s">
        <v>148</v>
      </c>
      <c r="C399" s="164" t="s">
        <v>242</v>
      </c>
      <c r="D399" s="164" t="s">
        <v>243</v>
      </c>
      <c r="E399" s="164" t="s">
        <v>244</v>
      </c>
      <c r="F399" s="198" t="s">
        <v>245</v>
      </c>
      <c r="G399" s="198" t="s">
        <v>246</v>
      </c>
      <c r="H399" s="198" t="s">
        <v>247</v>
      </c>
      <c r="I399" s="211" t="s">
        <v>250</v>
      </c>
      <c r="J399" s="222" t="s">
        <v>249</v>
      </c>
      <c r="K399" s="218"/>
      <c r="L399" s="216"/>
      <c r="M399" s="184"/>
      <c r="T399" s="165"/>
      <c r="U399" s="165"/>
      <c r="Y399" s="166"/>
      <c r="Z399" s="166"/>
    </row>
    <row r="400" spans="1:26" x14ac:dyDescent="0.35">
      <c r="A400" s="201">
        <v>21</v>
      </c>
      <c r="B400" s="202" t="s">
        <v>593</v>
      </c>
      <c r="C400" s="202" t="s">
        <v>594</v>
      </c>
      <c r="D400" s="203" t="s">
        <v>595</v>
      </c>
      <c r="E400" s="443">
        <v>0</v>
      </c>
      <c r="F400" s="443">
        <v>0</v>
      </c>
      <c r="G400" s="443">
        <v>0</v>
      </c>
      <c r="H400" s="204">
        <f>IF(ABS(Fire3223627445[[#This Row],[Actual Buyout]])+ABS(Fire3223627445[[#This Row],[Change Orders]])=0,Fire3223627445[[#This Row],[Original Contract]],Fire3223627445[[#This Row],[Actual Buyout]]+Fire3223627445[[#This Row],[Change Orders]])</f>
        <v>0</v>
      </c>
      <c r="I400" s="443">
        <v>0</v>
      </c>
      <c r="J400" s="213">
        <f>Fire3223627445[[#This Row],[Original Contract]]-Fire3223627445[[#This Row],[Revised Contract]]</f>
        <v>0</v>
      </c>
      <c r="K400" s="218"/>
      <c r="L400" s="217"/>
      <c r="M400" s="184"/>
      <c r="T400" s="165"/>
      <c r="U400" s="165"/>
      <c r="Y400" s="166"/>
      <c r="Z400" s="166"/>
    </row>
    <row r="401" spans="1:26" x14ac:dyDescent="0.35">
      <c r="A401" s="201">
        <v>21</v>
      </c>
      <c r="B401" s="202" t="s">
        <v>596</v>
      </c>
      <c r="C401" s="202" t="s">
        <v>597</v>
      </c>
      <c r="D401" s="203" t="s">
        <v>598</v>
      </c>
      <c r="E401" s="443">
        <v>0</v>
      </c>
      <c r="F401" s="443">
        <v>0</v>
      </c>
      <c r="G401" s="443">
        <v>0</v>
      </c>
      <c r="H401" s="204">
        <f>IF(ABS(Fire3223627445[[#This Row],[Actual Buyout]])+ABS(Fire3223627445[[#This Row],[Change Orders]])=0,Fire3223627445[[#This Row],[Original Contract]],Fire3223627445[[#This Row],[Actual Buyout]]+Fire3223627445[[#This Row],[Change Orders]])</f>
        <v>0</v>
      </c>
      <c r="I401" s="443">
        <v>0</v>
      </c>
      <c r="J401" s="213">
        <f>Fire3223627445[[#This Row],[Original Contract]]-Fire3223627445[[#This Row],[Revised Contract]]</f>
        <v>0</v>
      </c>
      <c r="K401" s="218"/>
      <c r="L401" s="217"/>
      <c r="M401" s="184"/>
      <c r="T401" s="165"/>
      <c r="U401" s="165"/>
      <c r="Y401" s="166"/>
      <c r="Z401" s="166"/>
    </row>
    <row r="402" spans="1:26" x14ac:dyDescent="0.35">
      <c r="A402" s="201">
        <v>21</v>
      </c>
      <c r="B402" s="202" t="s">
        <v>599</v>
      </c>
      <c r="C402" s="202" t="s">
        <v>600</v>
      </c>
      <c r="D402" s="203" t="s">
        <v>601</v>
      </c>
      <c r="E402" s="443">
        <v>0</v>
      </c>
      <c r="F402" s="443">
        <v>0</v>
      </c>
      <c r="G402" s="443">
        <v>0</v>
      </c>
      <c r="H402" s="204">
        <f>IF(ABS(Fire3223627445[[#This Row],[Actual Buyout]])+ABS(Fire3223627445[[#This Row],[Change Orders]])=0,Fire3223627445[[#This Row],[Original Contract]],Fire3223627445[[#This Row],[Actual Buyout]]+Fire3223627445[[#This Row],[Change Orders]])</f>
        <v>0</v>
      </c>
      <c r="I402" s="443">
        <v>0</v>
      </c>
      <c r="J402" s="213">
        <f>Fire3223627445[[#This Row],[Original Contract]]-Fire3223627445[[#This Row],[Revised Contract]]</f>
        <v>0</v>
      </c>
      <c r="K402" s="218"/>
      <c r="L402" s="217"/>
      <c r="M402" s="184"/>
      <c r="T402" s="165"/>
      <c r="U402" s="165"/>
      <c r="Y402" s="166"/>
      <c r="Z402" s="166"/>
    </row>
    <row r="403" spans="1:26" x14ac:dyDescent="0.35">
      <c r="A403" s="201">
        <v>21</v>
      </c>
      <c r="B403" s="202" t="s">
        <v>602</v>
      </c>
      <c r="C403" s="202" t="s">
        <v>603</v>
      </c>
      <c r="D403" s="203" t="s">
        <v>604</v>
      </c>
      <c r="E403" s="443">
        <v>0</v>
      </c>
      <c r="F403" s="443">
        <v>0</v>
      </c>
      <c r="G403" s="443">
        <v>0</v>
      </c>
      <c r="H403" s="204">
        <f>IF(ABS(Fire3223627445[[#This Row],[Actual Buyout]])+ABS(Fire3223627445[[#This Row],[Change Orders]])=0,Fire3223627445[[#This Row],[Original Contract]],Fire3223627445[[#This Row],[Actual Buyout]]+Fire3223627445[[#This Row],[Change Orders]])</f>
        <v>0</v>
      </c>
      <c r="I403" s="443">
        <v>0</v>
      </c>
      <c r="J403" s="213">
        <f>Fire3223627445[[#This Row],[Original Contract]]-Fire3223627445[[#This Row],[Revised Contract]]</f>
        <v>0</v>
      </c>
      <c r="K403" s="218"/>
      <c r="L403" s="217"/>
      <c r="M403" s="184"/>
      <c r="T403" s="165"/>
      <c r="U403" s="165"/>
      <c r="Y403" s="166"/>
      <c r="Z403" s="166"/>
    </row>
    <row r="404" spans="1:26" x14ac:dyDescent="0.35">
      <c r="A404" s="201">
        <v>21</v>
      </c>
      <c r="B404" s="202" t="s">
        <v>593</v>
      </c>
      <c r="C404" s="202" t="s">
        <v>594</v>
      </c>
      <c r="D404" s="203" t="s">
        <v>605</v>
      </c>
      <c r="E404" s="443">
        <v>0</v>
      </c>
      <c r="F404" s="443">
        <v>0</v>
      </c>
      <c r="G404" s="443">
        <v>0</v>
      </c>
      <c r="H404" s="204">
        <f>IF(ABS(Fire3223627445[[#This Row],[Actual Buyout]])+ABS(Fire3223627445[[#This Row],[Change Orders]])=0,Fire3223627445[[#This Row],[Original Contract]],Fire3223627445[[#This Row],[Actual Buyout]]+Fire3223627445[[#This Row],[Change Orders]])</f>
        <v>0</v>
      </c>
      <c r="I404" s="443">
        <v>0</v>
      </c>
      <c r="J404" s="213">
        <f>Fire3223627445[[#This Row],[Original Contract]]-Fire3223627445[[#This Row],[Revised Contract]]</f>
        <v>0</v>
      </c>
      <c r="K404" s="218"/>
      <c r="L404" s="217"/>
      <c r="M404" s="184"/>
      <c r="T404" s="165"/>
      <c r="U404" s="165"/>
      <c r="Y404" s="166"/>
      <c r="Z404" s="166"/>
    </row>
    <row r="405" spans="1:26" x14ac:dyDescent="0.35">
      <c r="A405" s="201">
        <v>21</v>
      </c>
      <c r="B405" s="202" t="s">
        <v>593</v>
      </c>
      <c r="C405" s="202" t="s">
        <v>594</v>
      </c>
      <c r="D405" s="203" t="s">
        <v>606</v>
      </c>
      <c r="E405" s="443">
        <v>0</v>
      </c>
      <c r="F405" s="443">
        <v>0</v>
      </c>
      <c r="G405" s="443">
        <v>0</v>
      </c>
      <c r="H405" s="204">
        <f>IF(ABS(Fire3223627445[[#This Row],[Actual Buyout]])+ABS(Fire3223627445[[#This Row],[Change Orders]])=0,Fire3223627445[[#This Row],[Original Contract]],Fire3223627445[[#This Row],[Actual Buyout]]+Fire3223627445[[#This Row],[Change Orders]])</f>
        <v>0</v>
      </c>
      <c r="I405" s="443">
        <v>0</v>
      </c>
      <c r="J405" s="213">
        <f>Fire3223627445[[#This Row],[Original Contract]]-Fire3223627445[[#This Row],[Revised Contract]]</f>
        <v>0</v>
      </c>
      <c r="K405" s="218"/>
      <c r="L405" s="217"/>
      <c r="M405" s="184"/>
      <c r="T405" s="165"/>
      <c r="U405" s="165"/>
      <c r="Y405" s="166"/>
      <c r="Z405" s="166"/>
    </row>
    <row r="406" spans="1:26" x14ac:dyDescent="0.35">
      <c r="A406" s="201">
        <v>21</v>
      </c>
      <c r="B406" s="202" t="s">
        <v>593</v>
      </c>
      <c r="C406" s="202" t="s">
        <v>594</v>
      </c>
      <c r="D406" s="203" t="s">
        <v>607</v>
      </c>
      <c r="E406" s="443">
        <v>0</v>
      </c>
      <c r="F406" s="443">
        <v>0</v>
      </c>
      <c r="G406" s="443">
        <v>0</v>
      </c>
      <c r="H406" s="204">
        <f>IF(ABS(Fire3223627445[[#This Row],[Actual Buyout]])+ABS(Fire3223627445[[#This Row],[Change Orders]])=0,Fire3223627445[[#This Row],[Original Contract]],Fire3223627445[[#This Row],[Actual Buyout]]+Fire3223627445[[#This Row],[Change Orders]])</f>
        <v>0</v>
      </c>
      <c r="I406" s="443">
        <v>0</v>
      </c>
      <c r="J406" s="213">
        <f>Fire3223627445[[#This Row],[Original Contract]]-Fire3223627445[[#This Row],[Revised Contract]]</f>
        <v>0</v>
      </c>
      <c r="K406" s="218"/>
      <c r="L406" s="217"/>
      <c r="M406" s="184"/>
      <c r="T406" s="165"/>
      <c r="U406" s="165"/>
      <c r="Y406" s="166"/>
      <c r="Z406" s="166"/>
    </row>
    <row r="407" spans="1:26" x14ac:dyDescent="0.35">
      <c r="A407" s="201">
        <v>21</v>
      </c>
      <c r="B407" s="202" t="s">
        <v>593</v>
      </c>
      <c r="C407" s="202" t="s">
        <v>594</v>
      </c>
      <c r="D407" s="203" t="s">
        <v>608</v>
      </c>
      <c r="E407" s="443">
        <v>0</v>
      </c>
      <c r="F407" s="443">
        <v>0</v>
      </c>
      <c r="G407" s="443">
        <v>0</v>
      </c>
      <c r="H407" s="204">
        <f>IF(ABS(Fire3223627445[[#This Row],[Actual Buyout]])+ABS(Fire3223627445[[#This Row],[Change Orders]])=0,Fire3223627445[[#This Row],[Original Contract]],Fire3223627445[[#This Row],[Actual Buyout]]+Fire3223627445[[#This Row],[Change Orders]])</f>
        <v>0</v>
      </c>
      <c r="I407" s="443">
        <v>0</v>
      </c>
      <c r="J407" s="213">
        <f>Fire3223627445[[#This Row],[Original Contract]]-Fire3223627445[[#This Row],[Revised Contract]]</f>
        <v>0</v>
      </c>
      <c r="K407" s="218"/>
      <c r="L407" s="217"/>
      <c r="M407" s="184"/>
      <c r="T407" s="165"/>
      <c r="U407" s="165"/>
      <c r="Y407" s="166"/>
      <c r="Z407" s="166"/>
    </row>
    <row r="408" spans="1:26" x14ac:dyDescent="0.35">
      <c r="A408" s="201">
        <v>21</v>
      </c>
      <c r="B408" s="202" t="s">
        <v>593</v>
      </c>
      <c r="C408" s="202" t="s">
        <v>594</v>
      </c>
      <c r="D408" s="203" t="s">
        <v>609</v>
      </c>
      <c r="E408" s="443">
        <v>0</v>
      </c>
      <c r="F408" s="443">
        <v>0</v>
      </c>
      <c r="G408" s="443">
        <v>0</v>
      </c>
      <c r="H408" s="204">
        <f>IF(ABS(Fire3223627445[[#This Row],[Actual Buyout]])+ABS(Fire3223627445[[#This Row],[Change Orders]])=0,Fire3223627445[[#This Row],[Original Contract]],Fire3223627445[[#This Row],[Actual Buyout]]+Fire3223627445[[#This Row],[Change Orders]])</f>
        <v>0</v>
      </c>
      <c r="I408" s="443">
        <v>0</v>
      </c>
      <c r="J408" s="213">
        <f>Fire3223627445[[#This Row],[Original Contract]]-Fire3223627445[[#This Row],[Revised Contract]]</f>
        <v>0</v>
      </c>
      <c r="K408" s="218"/>
      <c r="L408" s="217"/>
      <c r="M408" s="184"/>
      <c r="T408" s="165"/>
      <c r="U408" s="165"/>
      <c r="Y408" s="166"/>
      <c r="Z408" s="166"/>
    </row>
    <row r="409" spans="1:26" x14ac:dyDescent="0.35">
      <c r="A409" s="201">
        <v>21</v>
      </c>
      <c r="B409" s="202"/>
      <c r="C409" s="202"/>
      <c r="D409" s="580" t="s">
        <v>258</v>
      </c>
      <c r="E409" s="443">
        <v>0</v>
      </c>
      <c r="F409" s="443">
        <v>0</v>
      </c>
      <c r="G409" s="443">
        <v>0</v>
      </c>
      <c r="H409" s="204">
        <f>IF(ABS(Fire3223627445[[#This Row],[Actual Buyout]])+ABS(Fire3223627445[[#This Row],[Change Orders]])=0,Fire3223627445[[#This Row],[Original Contract]],Fire3223627445[[#This Row],[Actual Buyout]]+Fire3223627445[[#This Row],[Change Orders]])</f>
        <v>0</v>
      </c>
      <c r="I409" s="443">
        <v>0</v>
      </c>
      <c r="J409" s="213">
        <f>Fire3223627445[[#This Row],[Original Contract]]-Fire3223627445[[#This Row],[Revised Contract]]</f>
        <v>0</v>
      </c>
      <c r="K409" s="218"/>
      <c r="L409" s="217"/>
      <c r="M409" s="184"/>
      <c r="T409" s="165"/>
      <c r="U409" s="165"/>
      <c r="Y409" s="166"/>
      <c r="Z409" s="166"/>
    </row>
    <row r="410" spans="1:26" x14ac:dyDescent="0.35">
      <c r="A410" s="201">
        <v>21</v>
      </c>
      <c r="B410" s="202"/>
      <c r="C410" s="202"/>
      <c r="D410" s="580" t="s">
        <v>258</v>
      </c>
      <c r="E410" s="443">
        <v>0</v>
      </c>
      <c r="F410" s="443">
        <v>0</v>
      </c>
      <c r="G410" s="443">
        <v>0</v>
      </c>
      <c r="H410" s="204">
        <f>IF(ABS(Fire3223627445[[#This Row],[Actual Buyout]])+ABS(Fire3223627445[[#This Row],[Change Orders]])=0,Fire3223627445[[#This Row],[Original Contract]],Fire3223627445[[#This Row],[Actual Buyout]]+Fire3223627445[[#This Row],[Change Orders]])</f>
        <v>0</v>
      </c>
      <c r="I410" s="443">
        <v>0</v>
      </c>
      <c r="J410" s="213">
        <f>Fire3223627445[[#This Row],[Original Contract]]-Fire3223627445[[#This Row],[Revised Contract]]</f>
        <v>0</v>
      </c>
      <c r="K410" s="218"/>
      <c r="L410" s="217"/>
      <c r="M410" s="184"/>
      <c r="T410" s="165"/>
      <c r="U410" s="165"/>
      <c r="Y410" s="166"/>
      <c r="Z410" s="166"/>
    </row>
    <row r="411" spans="1:26" x14ac:dyDescent="0.35">
      <c r="A411" s="201">
        <v>21</v>
      </c>
      <c r="B411" s="202"/>
      <c r="C411" s="202"/>
      <c r="D411" s="580" t="s">
        <v>258</v>
      </c>
      <c r="E411" s="443">
        <v>0</v>
      </c>
      <c r="F411" s="443">
        <v>0</v>
      </c>
      <c r="G411" s="443">
        <v>0</v>
      </c>
      <c r="H411" s="204">
        <f>IF(ABS(Fire3223627445[[#This Row],[Actual Buyout]])+ABS(Fire3223627445[[#This Row],[Change Orders]])=0,Fire3223627445[[#This Row],[Original Contract]],Fire3223627445[[#This Row],[Actual Buyout]]+Fire3223627445[[#This Row],[Change Orders]])</f>
        <v>0</v>
      </c>
      <c r="I411" s="443">
        <v>0</v>
      </c>
      <c r="J411" s="213">
        <f>Fire3223627445[[#This Row],[Original Contract]]-Fire3223627445[[#This Row],[Revised Contract]]</f>
        <v>0</v>
      </c>
      <c r="K411" s="218"/>
      <c r="L411" s="217"/>
      <c r="M411" s="184"/>
      <c r="T411" s="165"/>
      <c r="U411" s="165"/>
      <c r="Y411" s="166"/>
      <c r="Z411" s="166"/>
    </row>
    <row r="412" spans="1:26" x14ac:dyDescent="0.35">
      <c r="A412" s="201">
        <v>21</v>
      </c>
      <c r="B412" s="202"/>
      <c r="C412" s="202"/>
      <c r="D412" s="580" t="s">
        <v>258</v>
      </c>
      <c r="E412" s="443">
        <v>0</v>
      </c>
      <c r="F412" s="443">
        <v>0</v>
      </c>
      <c r="G412" s="443">
        <v>0</v>
      </c>
      <c r="H412" s="204">
        <f>IF(ABS(Fire3223627445[[#This Row],[Actual Buyout]])+ABS(Fire3223627445[[#This Row],[Change Orders]])=0,Fire3223627445[[#This Row],[Original Contract]],Fire3223627445[[#This Row],[Actual Buyout]]+Fire3223627445[[#This Row],[Change Orders]])</f>
        <v>0</v>
      </c>
      <c r="I412" s="443">
        <v>0</v>
      </c>
      <c r="J412" s="213">
        <f>Fire3223627445[[#This Row],[Original Contract]]-Fire3223627445[[#This Row],[Revised Contract]]</f>
        <v>0</v>
      </c>
      <c r="K412" s="218"/>
      <c r="L412" s="217"/>
      <c r="M412" s="184"/>
      <c r="T412" s="165"/>
      <c r="U412" s="165"/>
      <c r="Y412" s="166"/>
      <c r="Z412" s="166"/>
    </row>
    <row r="413" spans="1:26" x14ac:dyDescent="0.35">
      <c r="A413" s="201">
        <v>21</v>
      </c>
      <c r="B413" s="202"/>
      <c r="C413" s="202"/>
      <c r="D413" s="580" t="s">
        <v>258</v>
      </c>
      <c r="E413" s="443">
        <v>0</v>
      </c>
      <c r="F413" s="443">
        <v>0</v>
      </c>
      <c r="G413" s="443">
        <v>0</v>
      </c>
      <c r="H413" s="204">
        <f>IF(ABS(Fire3223627445[[#This Row],[Actual Buyout]])+ABS(Fire3223627445[[#This Row],[Change Orders]])=0,Fire3223627445[[#This Row],[Original Contract]],Fire3223627445[[#This Row],[Actual Buyout]]+Fire3223627445[[#This Row],[Change Orders]])</f>
        <v>0</v>
      </c>
      <c r="I413" s="443">
        <v>0</v>
      </c>
      <c r="J413" s="213">
        <f>Fire3223627445[[#This Row],[Original Contract]]-Fire3223627445[[#This Row],[Revised Contract]]</f>
        <v>0</v>
      </c>
      <c r="K413" s="218"/>
      <c r="L413" s="217"/>
      <c r="M413" s="184"/>
      <c r="T413" s="165"/>
      <c r="U413" s="165"/>
      <c r="Y413" s="166"/>
      <c r="Z413" s="166"/>
    </row>
    <row r="414" spans="1:26" x14ac:dyDescent="0.35">
      <c r="A414" s="201">
        <v>21</v>
      </c>
      <c r="B414" s="223"/>
      <c r="C414" s="223"/>
      <c r="D414" s="581" t="s">
        <v>258</v>
      </c>
      <c r="E414" s="443">
        <v>0</v>
      </c>
      <c r="F414" s="443">
        <v>0</v>
      </c>
      <c r="G414" s="443">
        <v>0</v>
      </c>
      <c r="H414" s="204">
        <f>IF(ABS(Fire3223627445[[#This Row],[Actual Buyout]])+ABS(Fire3223627445[[#This Row],[Change Orders]])=0,Fire3223627445[[#This Row],[Original Contract]],Fire3223627445[[#This Row],[Actual Buyout]]+Fire3223627445[[#This Row],[Change Orders]])</f>
        <v>0</v>
      </c>
      <c r="I414" s="443">
        <v>0</v>
      </c>
      <c r="J414" s="213">
        <f>Fire3223627445[[#This Row],[Original Contract]]-Fire3223627445[[#This Row],[Revised Contract]]</f>
        <v>0</v>
      </c>
      <c r="K414" s="218"/>
      <c r="L414" s="217"/>
      <c r="M414" s="184"/>
      <c r="T414" s="165"/>
      <c r="U414" s="165"/>
      <c r="Y414" s="166"/>
      <c r="Z414" s="166"/>
    </row>
    <row r="415" spans="1:26" x14ac:dyDescent="0.35">
      <c r="A415" s="219"/>
      <c r="B415" s="220"/>
      <c r="C415" s="220"/>
      <c r="D415" s="208" t="s">
        <v>259</v>
      </c>
      <c r="E415" s="209">
        <f>SUM(Fire3223627445[Original Contract])</f>
        <v>0</v>
      </c>
      <c r="F415" s="209">
        <f>SUM(Fire3223627445[Actual Buyout])</f>
        <v>0</v>
      </c>
      <c r="G415" s="209">
        <f>SUM(Fire3223627445[Change Orders])</f>
        <v>0</v>
      </c>
      <c r="H415" s="209">
        <f>SUM(Fire3223627445[Revised Contract])</f>
        <v>0</v>
      </c>
      <c r="I415" s="209">
        <f>SUM(Fire3223627445[Total completed and Stored])</f>
        <v>0</v>
      </c>
      <c r="J415" s="209">
        <f>SUM(Fire3223627445[Delta])</f>
        <v>0</v>
      </c>
      <c r="K415" s="221"/>
      <c r="L415" s="184"/>
      <c r="M415" s="184"/>
    </row>
    <row r="416" spans="1:26" x14ac:dyDescent="0.35">
      <c r="A416" s="164" t="s">
        <v>149</v>
      </c>
      <c r="B416" s="164" t="s">
        <v>150</v>
      </c>
      <c r="C416" s="164" t="s">
        <v>242</v>
      </c>
      <c r="D416" s="164" t="s">
        <v>243</v>
      </c>
      <c r="E416" s="164" t="s">
        <v>244</v>
      </c>
      <c r="F416" s="198" t="s">
        <v>245</v>
      </c>
      <c r="G416" s="198" t="s">
        <v>246</v>
      </c>
      <c r="H416" s="198" t="s">
        <v>247</v>
      </c>
      <c r="I416" s="211" t="s">
        <v>250</v>
      </c>
      <c r="J416" s="222" t="s">
        <v>249</v>
      </c>
      <c r="K416" s="218"/>
      <c r="L416" s="216"/>
      <c r="M416" s="184"/>
      <c r="T416" s="165"/>
      <c r="U416" s="165"/>
      <c r="Y416" s="166"/>
      <c r="Z416" s="166"/>
    </row>
    <row r="417" spans="1:26" x14ac:dyDescent="0.35">
      <c r="A417" s="201">
        <v>22</v>
      </c>
      <c r="B417" s="202" t="s">
        <v>610</v>
      </c>
      <c r="C417" s="202" t="s">
        <v>611</v>
      </c>
      <c r="D417" s="203" t="s">
        <v>612</v>
      </c>
      <c r="E417" s="443">
        <v>0</v>
      </c>
      <c r="F417" s="443">
        <v>0</v>
      </c>
      <c r="G417" s="443">
        <v>0</v>
      </c>
      <c r="H417" s="204">
        <f>IF(ABS(Plumbing3323727546[[#This Row],[Actual Buyout]])+ABS(Plumbing3323727546[[#This Row],[Change Orders]])=0,Plumbing3323727546[[#This Row],[Original Contract]],Plumbing3323727546[[#This Row],[Actual Buyout]]+Plumbing3323727546[[#This Row],[Change Orders]])</f>
        <v>0</v>
      </c>
      <c r="I417" s="443">
        <v>0</v>
      </c>
      <c r="J417" s="213">
        <f>Plumbing3323727546[[#This Row],[Original Contract]]-Plumbing3323727546[[#This Row],[Revised Contract]]</f>
        <v>0</v>
      </c>
      <c r="K417" s="218"/>
      <c r="L417" s="217"/>
      <c r="M417" s="184"/>
      <c r="T417" s="165"/>
      <c r="U417" s="165"/>
      <c r="Y417" s="166"/>
      <c r="Z417" s="166"/>
    </row>
    <row r="418" spans="1:26" x14ac:dyDescent="0.35">
      <c r="A418" s="201">
        <v>22</v>
      </c>
      <c r="B418" s="202" t="s">
        <v>610</v>
      </c>
      <c r="C418" s="202" t="s">
        <v>611</v>
      </c>
      <c r="D418" s="203" t="s">
        <v>613</v>
      </c>
      <c r="E418" s="443">
        <v>0</v>
      </c>
      <c r="F418" s="443">
        <v>0</v>
      </c>
      <c r="G418" s="443">
        <v>0</v>
      </c>
      <c r="H418" s="204">
        <f>IF(ABS(Plumbing3323727546[[#This Row],[Actual Buyout]])+ABS(Plumbing3323727546[[#This Row],[Change Orders]])=0,Plumbing3323727546[[#This Row],[Original Contract]],Plumbing3323727546[[#This Row],[Actual Buyout]]+Plumbing3323727546[[#This Row],[Change Orders]])</f>
        <v>0</v>
      </c>
      <c r="I418" s="443">
        <v>0</v>
      </c>
      <c r="J418" s="213">
        <f>Plumbing3323727546[[#This Row],[Original Contract]]-Plumbing3323727546[[#This Row],[Revised Contract]]</f>
        <v>0</v>
      </c>
      <c r="K418" s="218"/>
      <c r="L418" s="217"/>
      <c r="M418" s="184"/>
      <c r="T418" s="165"/>
      <c r="U418" s="165"/>
      <c r="Y418" s="166"/>
      <c r="Z418" s="166"/>
    </row>
    <row r="419" spans="1:26" x14ac:dyDescent="0.35">
      <c r="A419" s="201">
        <v>22</v>
      </c>
      <c r="B419" s="202" t="s">
        <v>610</v>
      </c>
      <c r="C419" s="202" t="s">
        <v>611</v>
      </c>
      <c r="D419" s="203" t="s">
        <v>614</v>
      </c>
      <c r="E419" s="443">
        <v>0</v>
      </c>
      <c r="F419" s="443">
        <v>0</v>
      </c>
      <c r="G419" s="443">
        <v>0</v>
      </c>
      <c r="H419" s="204">
        <f>IF(ABS(Plumbing3323727546[[#This Row],[Actual Buyout]])+ABS(Plumbing3323727546[[#This Row],[Change Orders]])=0,Plumbing3323727546[[#This Row],[Original Contract]],Plumbing3323727546[[#This Row],[Actual Buyout]]+Plumbing3323727546[[#This Row],[Change Orders]])</f>
        <v>0</v>
      </c>
      <c r="I419" s="443">
        <v>0</v>
      </c>
      <c r="J419" s="213">
        <f>Plumbing3323727546[[#This Row],[Original Contract]]-Plumbing3323727546[[#This Row],[Revised Contract]]</f>
        <v>0</v>
      </c>
      <c r="K419" s="218"/>
      <c r="L419" s="217"/>
      <c r="M419" s="184"/>
      <c r="T419" s="165"/>
      <c r="U419" s="165"/>
      <c r="Y419" s="166"/>
      <c r="Z419" s="166"/>
    </row>
    <row r="420" spans="1:26" x14ac:dyDescent="0.35">
      <c r="A420" s="201">
        <v>22</v>
      </c>
      <c r="B420" s="202" t="s">
        <v>610</v>
      </c>
      <c r="C420" s="202" t="s">
        <v>611</v>
      </c>
      <c r="D420" s="203" t="s">
        <v>615</v>
      </c>
      <c r="E420" s="443">
        <v>0</v>
      </c>
      <c r="F420" s="443">
        <v>0</v>
      </c>
      <c r="G420" s="443">
        <v>0</v>
      </c>
      <c r="H420" s="204">
        <f>IF(ABS(Plumbing3323727546[[#This Row],[Actual Buyout]])+ABS(Plumbing3323727546[[#This Row],[Change Orders]])=0,Plumbing3323727546[[#This Row],[Original Contract]],Plumbing3323727546[[#This Row],[Actual Buyout]]+Plumbing3323727546[[#This Row],[Change Orders]])</f>
        <v>0</v>
      </c>
      <c r="I420" s="443">
        <v>0</v>
      </c>
      <c r="J420" s="213">
        <f>Plumbing3323727546[[#This Row],[Original Contract]]-Plumbing3323727546[[#This Row],[Revised Contract]]</f>
        <v>0</v>
      </c>
      <c r="K420" s="218"/>
      <c r="L420" s="217"/>
      <c r="M420" s="184"/>
      <c r="T420" s="165"/>
      <c r="U420" s="165"/>
      <c r="Y420" s="166"/>
      <c r="Z420" s="166"/>
    </row>
    <row r="421" spans="1:26" x14ac:dyDescent="0.35">
      <c r="A421" s="201">
        <v>22</v>
      </c>
      <c r="B421" s="202" t="s">
        <v>616</v>
      </c>
      <c r="C421" s="202" t="s">
        <v>617</v>
      </c>
      <c r="D421" s="203" t="s">
        <v>618</v>
      </c>
      <c r="E421" s="443">
        <v>0</v>
      </c>
      <c r="F421" s="443">
        <v>0</v>
      </c>
      <c r="G421" s="443">
        <v>0</v>
      </c>
      <c r="H421" s="204">
        <f>IF(ABS(Plumbing3323727546[[#This Row],[Actual Buyout]])+ABS(Plumbing3323727546[[#This Row],[Change Orders]])=0,Plumbing3323727546[[#This Row],[Original Contract]],Plumbing3323727546[[#This Row],[Actual Buyout]]+Plumbing3323727546[[#This Row],[Change Orders]])</f>
        <v>0</v>
      </c>
      <c r="I421" s="443">
        <v>0</v>
      </c>
      <c r="J421" s="213">
        <f>Plumbing3323727546[[#This Row],[Original Contract]]-Plumbing3323727546[[#This Row],[Revised Contract]]</f>
        <v>0</v>
      </c>
      <c r="K421" s="218"/>
      <c r="L421" s="217"/>
      <c r="M421" s="184"/>
      <c r="T421" s="165"/>
      <c r="U421" s="165"/>
      <c r="Y421" s="166"/>
      <c r="Z421" s="166"/>
    </row>
    <row r="422" spans="1:26" x14ac:dyDescent="0.35">
      <c r="A422" s="201">
        <v>22</v>
      </c>
      <c r="B422" s="202" t="s">
        <v>610</v>
      </c>
      <c r="C422" s="202" t="s">
        <v>611</v>
      </c>
      <c r="D422" s="203" t="s">
        <v>619</v>
      </c>
      <c r="E422" s="443">
        <v>0</v>
      </c>
      <c r="F422" s="443">
        <v>0</v>
      </c>
      <c r="G422" s="443">
        <v>0</v>
      </c>
      <c r="H422" s="204">
        <f>IF(ABS(Plumbing3323727546[[#This Row],[Actual Buyout]])+ABS(Plumbing3323727546[[#This Row],[Change Orders]])=0,Plumbing3323727546[[#This Row],[Original Contract]],Plumbing3323727546[[#This Row],[Actual Buyout]]+Plumbing3323727546[[#This Row],[Change Orders]])</f>
        <v>0</v>
      </c>
      <c r="I422" s="443">
        <v>0</v>
      </c>
      <c r="J422" s="213">
        <f>Plumbing3323727546[[#This Row],[Original Contract]]-Plumbing3323727546[[#This Row],[Revised Contract]]</f>
        <v>0</v>
      </c>
      <c r="K422" s="218"/>
      <c r="L422" s="217"/>
      <c r="M422" s="184"/>
      <c r="T422" s="165"/>
      <c r="U422" s="165"/>
      <c r="Y422" s="166"/>
      <c r="Z422" s="166"/>
    </row>
    <row r="423" spans="1:26" x14ac:dyDescent="0.35">
      <c r="A423" s="201">
        <v>22</v>
      </c>
      <c r="B423" s="202" t="s">
        <v>610</v>
      </c>
      <c r="C423" s="202" t="s">
        <v>611</v>
      </c>
      <c r="D423" s="203" t="s">
        <v>620</v>
      </c>
      <c r="E423" s="443">
        <v>0</v>
      </c>
      <c r="F423" s="443">
        <v>0</v>
      </c>
      <c r="G423" s="443">
        <v>0</v>
      </c>
      <c r="H423" s="204">
        <f>IF(ABS(Plumbing3323727546[[#This Row],[Actual Buyout]])+ABS(Plumbing3323727546[[#This Row],[Change Orders]])=0,Plumbing3323727546[[#This Row],[Original Contract]],Plumbing3323727546[[#This Row],[Actual Buyout]]+Plumbing3323727546[[#This Row],[Change Orders]])</f>
        <v>0</v>
      </c>
      <c r="I423" s="443">
        <v>0</v>
      </c>
      <c r="J423" s="213">
        <f>Plumbing3323727546[[#This Row],[Original Contract]]-Plumbing3323727546[[#This Row],[Revised Contract]]</f>
        <v>0</v>
      </c>
      <c r="K423" s="218"/>
      <c r="L423" s="217"/>
      <c r="M423" s="184"/>
      <c r="T423" s="165"/>
      <c r="U423" s="165"/>
      <c r="Y423" s="166"/>
      <c r="Z423" s="166"/>
    </row>
    <row r="424" spans="1:26" x14ac:dyDescent="0.35">
      <c r="A424" s="201">
        <v>22</v>
      </c>
      <c r="B424" s="202"/>
      <c r="C424" s="202"/>
      <c r="D424" s="203" t="s">
        <v>621</v>
      </c>
      <c r="E424" s="443">
        <v>0</v>
      </c>
      <c r="F424" s="443">
        <v>0</v>
      </c>
      <c r="G424" s="443">
        <v>0</v>
      </c>
      <c r="H424" s="204">
        <f>IF(ABS(Plumbing3323727546[[#This Row],[Actual Buyout]])+ABS(Plumbing3323727546[[#This Row],[Change Orders]])=0,Plumbing3323727546[[#This Row],[Original Contract]],Plumbing3323727546[[#This Row],[Actual Buyout]]+Plumbing3323727546[[#This Row],[Change Orders]])</f>
        <v>0</v>
      </c>
      <c r="I424" s="443">
        <v>0</v>
      </c>
      <c r="J424" s="213">
        <f>Plumbing3323727546[[#This Row],[Original Contract]]-Plumbing3323727546[[#This Row],[Revised Contract]]</f>
        <v>0</v>
      </c>
      <c r="K424" s="218"/>
      <c r="L424" s="217"/>
      <c r="M424" s="184"/>
      <c r="T424" s="165"/>
      <c r="U424" s="165"/>
      <c r="Y424" s="166"/>
      <c r="Z424" s="166"/>
    </row>
    <row r="425" spans="1:26" x14ac:dyDescent="0.35">
      <c r="A425" s="201">
        <v>22</v>
      </c>
      <c r="B425" s="202"/>
      <c r="C425" s="202"/>
      <c r="D425" s="580" t="s">
        <v>258</v>
      </c>
      <c r="E425" s="443">
        <v>0</v>
      </c>
      <c r="F425" s="443">
        <v>0</v>
      </c>
      <c r="G425" s="443">
        <v>0</v>
      </c>
      <c r="H425" s="204">
        <f>IF(ABS(Plumbing3323727546[[#This Row],[Actual Buyout]])+ABS(Plumbing3323727546[[#This Row],[Change Orders]])=0,Plumbing3323727546[[#This Row],[Original Contract]],Plumbing3323727546[[#This Row],[Actual Buyout]]+Plumbing3323727546[[#This Row],[Change Orders]])</f>
        <v>0</v>
      </c>
      <c r="I425" s="443">
        <v>0</v>
      </c>
      <c r="J425" s="213">
        <f>Plumbing3323727546[[#This Row],[Original Contract]]-Plumbing3323727546[[#This Row],[Revised Contract]]</f>
        <v>0</v>
      </c>
      <c r="K425" s="218"/>
      <c r="L425" s="217"/>
      <c r="M425" s="184"/>
      <c r="T425" s="165"/>
      <c r="U425" s="165"/>
      <c r="Y425" s="166"/>
      <c r="Z425" s="166"/>
    </row>
    <row r="426" spans="1:26" x14ac:dyDescent="0.35">
      <c r="A426" s="201">
        <v>22</v>
      </c>
      <c r="B426" s="202"/>
      <c r="C426" s="202"/>
      <c r="D426" s="580" t="s">
        <v>258</v>
      </c>
      <c r="E426" s="443">
        <v>0</v>
      </c>
      <c r="F426" s="443">
        <v>0</v>
      </c>
      <c r="G426" s="443">
        <v>0</v>
      </c>
      <c r="H426" s="204">
        <f>IF(ABS(Plumbing3323727546[[#This Row],[Actual Buyout]])+ABS(Plumbing3323727546[[#This Row],[Change Orders]])=0,Plumbing3323727546[[#This Row],[Original Contract]],Plumbing3323727546[[#This Row],[Actual Buyout]]+Plumbing3323727546[[#This Row],[Change Orders]])</f>
        <v>0</v>
      </c>
      <c r="I426" s="443">
        <v>0</v>
      </c>
      <c r="J426" s="213">
        <f>Plumbing3323727546[[#This Row],[Original Contract]]-Plumbing3323727546[[#This Row],[Revised Contract]]</f>
        <v>0</v>
      </c>
      <c r="K426" s="218"/>
      <c r="L426" s="217"/>
      <c r="M426" s="184"/>
      <c r="T426" s="165"/>
      <c r="U426" s="165"/>
      <c r="Y426" s="166"/>
      <c r="Z426" s="166"/>
    </row>
    <row r="427" spans="1:26" x14ac:dyDescent="0.35">
      <c r="A427" s="201">
        <v>22</v>
      </c>
      <c r="B427" s="202"/>
      <c r="C427" s="202"/>
      <c r="D427" s="580" t="s">
        <v>258</v>
      </c>
      <c r="E427" s="443">
        <v>0</v>
      </c>
      <c r="F427" s="443">
        <v>0</v>
      </c>
      <c r="G427" s="443">
        <v>0</v>
      </c>
      <c r="H427" s="204">
        <f>IF(ABS(Plumbing3323727546[[#This Row],[Actual Buyout]])+ABS(Plumbing3323727546[[#This Row],[Change Orders]])=0,Plumbing3323727546[[#This Row],[Original Contract]],Plumbing3323727546[[#This Row],[Actual Buyout]]+Plumbing3323727546[[#This Row],[Change Orders]])</f>
        <v>0</v>
      </c>
      <c r="I427" s="443">
        <v>0</v>
      </c>
      <c r="J427" s="213">
        <f>Plumbing3323727546[[#This Row],[Original Contract]]-Plumbing3323727546[[#This Row],[Revised Contract]]</f>
        <v>0</v>
      </c>
      <c r="K427" s="218"/>
      <c r="L427" s="217"/>
      <c r="M427" s="184"/>
      <c r="T427" s="165"/>
      <c r="U427" s="165"/>
      <c r="Y427" s="166"/>
      <c r="Z427" s="166"/>
    </row>
    <row r="428" spans="1:26" x14ac:dyDescent="0.35">
      <c r="A428" s="201">
        <v>22</v>
      </c>
      <c r="B428" s="202"/>
      <c r="C428" s="202"/>
      <c r="D428" s="580" t="s">
        <v>258</v>
      </c>
      <c r="E428" s="443">
        <v>0</v>
      </c>
      <c r="F428" s="443">
        <v>0</v>
      </c>
      <c r="G428" s="443">
        <v>0</v>
      </c>
      <c r="H428" s="204">
        <f>IF(ABS(Plumbing3323727546[[#This Row],[Actual Buyout]])+ABS(Plumbing3323727546[[#This Row],[Change Orders]])=0,Plumbing3323727546[[#This Row],[Original Contract]],Plumbing3323727546[[#This Row],[Actual Buyout]]+Plumbing3323727546[[#This Row],[Change Orders]])</f>
        <v>0</v>
      </c>
      <c r="I428" s="443">
        <v>0</v>
      </c>
      <c r="J428" s="213">
        <f>Plumbing3323727546[[#This Row],[Original Contract]]-Plumbing3323727546[[#This Row],[Revised Contract]]</f>
        <v>0</v>
      </c>
      <c r="K428" s="218"/>
      <c r="L428" s="217"/>
      <c r="M428" s="184"/>
      <c r="T428" s="165"/>
      <c r="U428" s="165"/>
      <c r="Y428" s="166"/>
      <c r="Z428" s="166"/>
    </row>
    <row r="429" spans="1:26" x14ac:dyDescent="0.35">
      <c r="A429" s="219"/>
      <c r="B429" s="220"/>
      <c r="C429" s="220"/>
      <c r="D429" s="208" t="s">
        <v>259</v>
      </c>
      <c r="E429" s="209">
        <f>SUM(Plumbing3323727546[Original Contract])</f>
        <v>0</v>
      </c>
      <c r="F429" s="209">
        <f>SUM(Plumbing3323727546[Actual Buyout])</f>
        <v>0</v>
      </c>
      <c r="G429" s="209">
        <f>SUM(Plumbing3323727546[Change Orders])</f>
        <v>0</v>
      </c>
      <c r="H429" s="209">
        <f>SUM(Plumbing3323727546[Revised Contract])</f>
        <v>0</v>
      </c>
      <c r="I429" s="209">
        <f>SUM(Plumbing3323727546[Total completed and Stored])</f>
        <v>0</v>
      </c>
      <c r="J429" s="209">
        <f>SUM(Plumbing3323727546[Delta])</f>
        <v>0</v>
      </c>
      <c r="K429" s="221"/>
      <c r="L429" s="184"/>
      <c r="M429" s="184"/>
    </row>
    <row r="430" spans="1:26" x14ac:dyDescent="0.35">
      <c r="A430" s="164" t="s">
        <v>151</v>
      </c>
      <c r="B430" s="164" t="s">
        <v>152</v>
      </c>
      <c r="C430" s="164" t="s">
        <v>242</v>
      </c>
      <c r="D430" s="164" t="s">
        <v>243</v>
      </c>
      <c r="E430" s="164" t="s">
        <v>244</v>
      </c>
      <c r="F430" s="198" t="s">
        <v>245</v>
      </c>
      <c r="G430" s="198" t="s">
        <v>246</v>
      </c>
      <c r="H430" s="198" t="s">
        <v>247</v>
      </c>
      <c r="I430" s="211" t="s">
        <v>250</v>
      </c>
      <c r="J430" s="222" t="s">
        <v>249</v>
      </c>
      <c r="K430" s="218"/>
      <c r="L430" s="216"/>
      <c r="M430" s="184"/>
      <c r="T430" s="165"/>
      <c r="U430" s="165"/>
      <c r="Y430" s="166"/>
      <c r="Z430" s="166"/>
    </row>
    <row r="431" spans="1:26" x14ac:dyDescent="0.35">
      <c r="A431" s="201">
        <v>23</v>
      </c>
      <c r="B431" s="202" t="s">
        <v>622</v>
      </c>
      <c r="C431" s="202" t="s">
        <v>623</v>
      </c>
      <c r="D431" s="203" t="s">
        <v>624</v>
      </c>
      <c r="E431" s="443">
        <v>0</v>
      </c>
      <c r="F431" s="443">
        <v>0</v>
      </c>
      <c r="G431" s="443">
        <v>0</v>
      </c>
      <c r="H431" s="204">
        <f>IF(ABS(HVAC3423827647[[#This Row],[Actual Buyout]])+ABS(HVAC3423827647[[#This Row],[Change Orders]])=0,HVAC3423827647[[#This Row],[Original Contract]],HVAC3423827647[[#This Row],[Actual Buyout]]+HVAC3423827647[[#This Row],[Change Orders]])</f>
        <v>0</v>
      </c>
      <c r="I431" s="443">
        <v>0</v>
      </c>
      <c r="J431" s="213">
        <f>HVAC3423827647[[#This Row],[Original Contract]]-HVAC3423827647[[#This Row],[Revised Contract]]</f>
        <v>0</v>
      </c>
      <c r="K431" s="218"/>
      <c r="L431" s="217"/>
      <c r="M431" s="184"/>
      <c r="T431" s="165"/>
      <c r="U431" s="165"/>
      <c r="Y431" s="166"/>
      <c r="Z431" s="166"/>
    </row>
    <row r="432" spans="1:26" x14ac:dyDescent="0.35">
      <c r="A432" s="201">
        <v>23</v>
      </c>
      <c r="B432" s="202" t="s">
        <v>625</v>
      </c>
      <c r="C432" s="202" t="s">
        <v>626</v>
      </c>
      <c r="D432" s="203" t="s">
        <v>627</v>
      </c>
      <c r="E432" s="443">
        <v>0</v>
      </c>
      <c r="F432" s="443">
        <v>0</v>
      </c>
      <c r="G432" s="443">
        <v>0</v>
      </c>
      <c r="H432" s="204">
        <f>IF(ABS(HVAC3423827647[[#This Row],[Actual Buyout]])+ABS(HVAC3423827647[[#This Row],[Change Orders]])=0,HVAC3423827647[[#This Row],[Original Contract]],HVAC3423827647[[#This Row],[Actual Buyout]]+HVAC3423827647[[#This Row],[Change Orders]])</f>
        <v>0</v>
      </c>
      <c r="I432" s="443">
        <v>0</v>
      </c>
      <c r="J432" s="213">
        <f>HVAC3423827647[[#This Row],[Original Contract]]-HVAC3423827647[[#This Row],[Revised Contract]]</f>
        <v>0</v>
      </c>
      <c r="K432" s="218"/>
      <c r="L432" s="217"/>
      <c r="M432" s="184"/>
      <c r="T432" s="165"/>
      <c r="U432" s="165"/>
      <c r="Y432" s="166"/>
      <c r="Z432" s="166"/>
    </row>
    <row r="433" spans="1:26" x14ac:dyDescent="0.35">
      <c r="A433" s="201">
        <v>23</v>
      </c>
      <c r="B433" s="202" t="s">
        <v>622</v>
      </c>
      <c r="C433" s="202" t="s">
        <v>623</v>
      </c>
      <c r="D433" s="203" t="s">
        <v>628</v>
      </c>
      <c r="E433" s="443">
        <v>0</v>
      </c>
      <c r="F433" s="443">
        <v>0</v>
      </c>
      <c r="G433" s="443">
        <v>0</v>
      </c>
      <c r="H433" s="204">
        <f>IF(ABS(HVAC3423827647[[#This Row],[Actual Buyout]])+ABS(HVAC3423827647[[#This Row],[Change Orders]])=0,HVAC3423827647[[#This Row],[Original Contract]],HVAC3423827647[[#This Row],[Actual Buyout]]+HVAC3423827647[[#This Row],[Change Orders]])</f>
        <v>0</v>
      </c>
      <c r="I433" s="443">
        <v>0</v>
      </c>
      <c r="J433" s="213">
        <f>HVAC3423827647[[#This Row],[Original Contract]]-HVAC3423827647[[#This Row],[Revised Contract]]</f>
        <v>0</v>
      </c>
      <c r="K433" s="218"/>
      <c r="L433" s="217"/>
      <c r="M433" s="184"/>
      <c r="T433" s="165"/>
      <c r="U433" s="165"/>
      <c r="Y433" s="166"/>
      <c r="Z433" s="166"/>
    </row>
    <row r="434" spans="1:26" x14ac:dyDescent="0.35">
      <c r="A434" s="201">
        <v>23</v>
      </c>
      <c r="B434" s="202" t="s">
        <v>629</v>
      </c>
      <c r="C434" s="202" t="s">
        <v>630</v>
      </c>
      <c r="D434" s="203" t="s">
        <v>631</v>
      </c>
      <c r="E434" s="443">
        <v>0</v>
      </c>
      <c r="F434" s="443">
        <v>0</v>
      </c>
      <c r="G434" s="443">
        <v>0</v>
      </c>
      <c r="H434" s="204">
        <f>IF(ABS(HVAC3423827647[[#This Row],[Actual Buyout]])+ABS(HVAC3423827647[[#This Row],[Change Orders]])=0,HVAC3423827647[[#This Row],[Original Contract]],HVAC3423827647[[#This Row],[Actual Buyout]]+HVAC3423827647[[#This Row],[Change Orders]])</f>
        <v>0</v>
      </c>
      <c r="I434" s="443">
        <v>0</v>
      </c>
      <c r="J434" s="213">
        <f>HVAC3423827647[[#This Row],[Original Contract]]-HVAC3423827647[[#This Row],[Revised Contract]]</f>
        <v>0</v>
      </c>
      <c r="K434" s="218"/>
      <c r="L434" s="217"/>
      <c r="M434" s="184"/>
      <c r="T434" s="165"/>
      <c r="U434" s="165"/>
      <c r="Y434" s="166"/>
      <c r="Z434" s="166"/>
    </row>
    <row r="435" spans="1:26" x14ac:dyDescent="0.35">
      <c r="A435" s="201">
        <v>23</v>
      </c>
      <c r="B435" s="202" t="s">
        <v>632</v>
      </c>
      <c r="C435" s="202" t="s">
        <v>633</v>
      </c>
      <c r="D435" s="203" t="s">
        <v>634</v>
      </c>
      <c r="E435" s="443">
        <v>0</v>
      </c>
      <c r="F435" s="443">
        <v>0</v>
      </c>
      <c r="G435" s="443">
        <v>0</v>
      </c>
      <c r="H435" s="204">
        <f>IF(ABS(HVAC3423827647[[#This Row],[Actual Buyout]])+ABS(HVAC3423827647[[#This Row],[Change Orders]])=0,HVAC3423827647[[#This Row],[Original Contract]],HVAC3423827647[[#This Row],[Actual Buyout]]+HVAC3423827647[[#This Row],[Change Orders]])</f>
        <v>0</v>
      </c>
      <c r="I435" s="443">
        <v>0</v>
      </c>
      <c r="J435" s="213">
        <f>HVAC3423827647[[#This Row],[Original Contract]]-HVAC3423827647[[#This Row],[Revised Contract]]</f>
        <v>0</v>
      </c>
      <c r="K435" s="218"/>
      <c r="L435" s="217"/>
      <c r="M435" s="184"/>
      <c r="T435" s="165"/>
      <c r="U435" s="165"/>
      <c r="Y435" s="166"/>
      <c r="Z435" s="166"/>
    </row>
    <row r="436" spans="1:26" x14ac:dyDescent="0.35">
      <c r="A436" s="201">
        <v>23</v>
      </c>
      <c r="B436" s="202" t="s">
        <v>622</v>
      </c>
      <c r="C436" s="202" t="s">
        <v>623</v>
      </c>
      <c r="D436" s="203" t="s">
        <v>635</v>
      </c>
      <c r="E436" s="443">
        <v>0</v>
      </c>
      <c r="F436" s="443">
        <v>0</v>
      </c>
      <c r="G436" s="443">
        <v>0</v>
      </c>
      <c r="H436" s="204">
        <f>IF(ABS(HVAC3423827647[[#This Row],[Actual Buyout]])+ABS(HVAC3423827647[[#This Row],[Change Orders]])=0,HVAC3423827647[[#This Row],[Original Contract]],HVAC3423827647[[#This Row],[Actual Buyout]]+HVAC3423827647[[#This Row],[Change Orders]])</f>
        <v>0</v>
      </c>
      <c r="I436" s="443">
        <v>0</v>
      </c>
      <c r="J436" s="213">
        <f>HVAC3423827647[[#This Row],[Original Contract]]-HVAC3423827647[[#This Row],[Revised Contract]]</f>
        <v>0</v>
      </c>
      <c r="K436" s="218"/>
      <c r="L436" s="217"/>
      <c r="M436" s="184"/>
      <c r="T436" s="165"/>
      <c r="U436" s="165"/>
      <c r="Y436" s="166"/>
      <c r="Z436" s="166"/>
    </row>
    <row r="437" spans="1:26" x14ac:dyDescent="0.35">
      <c r="A437" s="201">
        <v>23</v>
      </c>
      <c r="B437" s="202" t="s">
        <v>636</v>
      </c>
      <c r="C437" s="202" t="s">
        <v>637</v>
      </c>
      <c r="D437" s="203" t="s">
        <v>638</v>
      </c>
      <c r="E437" s="443">
        <v>0</v>
      </c>
      <c r="F437" s="443">
        <v>0</v>
      </c>
      <c r="G437" s="443">
        <v>0</v>
      </c>
      <c r="H437" s="204">
        <f>IF(ABS(HVAC3423827647[[#This Row],[Actual Buyout]])+ABS(HVAC3423827647[[#This Row],[Change Orders]])=0,HVAC3423827647[[#This Row],[Original Contract]],HVAC3423827647[[#This Row],[Actual Buyout]]+HVAC3423827647[[#This Row],[Change Orders]])</f>
        <v>0</v>
      </c>
      <c r="I437" s="443">
        <v>0</v>
      </c>
      <c r="J437" s="213">
        <f>HVAC3423827647[[#This Row],[Original Contract]]-HVAC3423827647[[#This Row],[Revised Contract]]</f>
        <v>0</v>
      </c>
      <c r="K437" s="218"/>
      <c r="L437" s="217"/>
      <c r="M437" s="184"/>
      <c r="T437" s="165"/>
      <c r="U437" s="165"/>
      <c r="Y437" s="166"/>
      <c r="Z437" s="166"/>
    </row>
    <row r="438" spans="1:26" x14ac:dyDescent="0.35">
      <c r="A438" s="201">
        <v>23</v>
      </c>
      <c r="B438" s="202"/>
      <c r="C438" s="202"/>
      <c r="D438" s="580" t="s">
        <v>258</v>
      </c>
      <c r="E438" s="443">
        <v>0</v>
      </c>
      <c r="F438" s="443">
        <v>0</v>
      </c>
      <c r="G438" s="443">
        <v>0</v>
      </c>
      <c r="H438" s="204">
        <f>IF(ABS(HVAC3423827647[[#This Row],[Actual Buyout]])+ABS(HVAC3423827647[[#This Row],[Change Orders]])=0,HVAC3423827647[[#This Row],[Original Contract]],HVAC3423827647[[#This Row],[Actual Buyout]]+HVAC3423827647[[#This Row],[Change Orders]])</f>
        <v>0</v>
      </c>
      <c r="I438" s="443">
        <v>0</v>
      </c>
      <c r="J438" s="213">
        <f>HVAC3423827647[[#This Row],[Original Contract]]-HVAC3423827647[[#This Row],[Revised Contract]]</f>
        <v>0</v>
      </c>
      <c r="K438" s="218"/>
      <c r="L438" s="217"/>
      <c r="M438" s="184"/>
      <c r="T438" s="165"/>
      <c r="U438" s="165"/>
      <c r="Y438" s="166"/>
      <c r="Z438" s="166"/>
    </row>
    <row r="439" spans="1:26" x14ac:dyDescent="0.35">
      <c r="A439" s="201">
        <v>23</v>
      </c>
      <c r="B439" s="202"/>
      <c r="C439" s="202"/>
      <c r="D439" s="580" t="s">
        <v>258</v>
      </c>
      <c r="E439" s="443">
        <v>0</v>
      </c>
      <c r="F439" s="443">
        <v>0</v>
      </c>
      <c r="G439" s="443">
        <v>0</v>
      </c>
      <c r="H439" s="204">
        <f>IF(ABS(HVAC3423827647[[#This Row],[Actual Buyout]])+ABS(HVAC3423827647[[#This Row],[Change Orders]])=0,HVAC3423827647[[#This Row],[Original Contract]],HVAC3423827647[[#This Row],[Actual Buyout]]+HVAC3423827647[[#This Row],[Change Orders]])</f>
        <v>0</v>
      </c>
      <c r="I439" s="443">
        <v>0</v>
      </c>
      <c r="J439" s="213">
        <f>HVAC3423827647[[#This Row],[Original Contract]]-HVAC3423827647[[#This Row],[Revised Contract]]</f>
        <v>0</v>
      </c>
      <c r="K439" s="218"/>
      <c r="L439" s="217"/>
      <c r="M439" s="184"/>
      <c r="T439" s="165"/>
      <c r="U439" s="165"/>
      <c r="Y439" s="166"/>
      <c r="Z439" s="166"/>
    </row>
    <row r="440" spans="1:26" x14ac:dyDescent="0.35">
      <c r="A440" s="201">
        <v>23</v>
      </c>
      <c r="B440" s="202"/>
      <c r="C440" s="202"/>
      <c r="D440" s="580" t="s">
        <v>258</v>
      </c>
      <c r="E440" s="443">
        <v>0</v>
      </c>
      <c r="F440" s="443">
        <v>0</v>
      </c>
      <c r="G440" s="443">
        <v>0</v>
      </c>
      <c r="H440" s="204">
        <f>IF(ABS(HVAC3423827647[[#This Row],[Actual Buyout]])+ABS(HVAC3423827647[[#This Row],[Change Orders]])=0,HVAC3423827647[[#This Row],[Original Contract]],HVAC3423827647[[#This Row],[Actual Buyout]]+HVAC3423827647[[#This Row],[Change Orders]])</f>
        <v>0</v>
      </c>
      <c r="I440" s="443">
        <v>0</v>
      </c>
      <c r="J440" s="213">
        <f>HVAC3423827647[[#This Row],[Original Contract]]-HVAC3423827647[[#This Row],[Revised Contract]]</f>
        <v>0</v>
      </c>
      <c r="K440" s="218"/>
      <c r="L440" s="217"/>
      <c r="M440" s="184"/>
      <c r="T440" s="165"/>
      <c r="U440" s="165"/>
      <c r="Y440" s="166"/>
      <c r="Z440" s="166"/>
    </row>
    <row r="441" spans="1:26" x14ac:dyDescent="0.35">
      <c r="A441" s="201">
        <v>23</v>
      </c>
      <c r="B441" s="202"/>
      <c r="C441" s="202"/>
      <c r="D441" s="580" t="s">
        <v>258</v>
      </c>
      <c r="E441" s="443">
        <v>0</v>
      </c>
      <c r="F441" s="443">
        <v>0</v>
      </c>
      <c r="G441" s="443">
        <v>0</v>
      </c>
      <c r="H441" s="204">
        <f>IF(ABS(HVAC3423827647[[#This Row],[Actual Buyout]])+ABS(HVAC3423827647[[#This Row],[Change Orders]])=0,HVAC3423827647[[#This Row],[Original Contract]],HVAC3423827647[[#This Row],[Actual Buyout]]+HVAC3423827647[[#This Row],[Change Orders]])</f>
        <v>0</v>
      </c>
      <c r="I441" s="443">
        <v>0</v>
      </c>
      <c r="J441" s="213">
        <f>HVAC3423827647[[#This Row],[Original Contract]]-HVAC3423827647[[#This Row],[Revised Contract]]</f>
        <v>0</v>
      </c>
      <c r="K441" s="218"/>
      <c r="L441" s="217"/>
      <c r="M441" s="184"/>
      <c r="T441" s="165"/>
      <c r="U441" s="165"/>
      <c r="Y441" s="166"/>
      <c r="Z441" s="166"/>
    </row>
    <row r="442" spans="1:26" x14ac:dyDescent="0.35">
      <c r="A442" s="201">
        <v>23</v>
      </c>
      <c r="B442" s="202"/>
      <c r="C442" s="202"/>
      <c r="D442" s="580" t="s">
        <v>258</v>
      </c>
      <c r="E442" s="443">
        <v>0</v>
      </c>
      <c r="F442" s="443">
        <v>0</v>
      </c>
      <c r="G442" s="443">
        <v>0</v>
      </c>
      <c r="H442" s="204">
        <f>IF(ABS(HVAC3423827647[[#This Row],[Actual Buyout]])+ABS(HVAC3423827647[[#This Row],[Change Orders]])=0,HVAC3423827647[[#This Row],[Original Contract]],HVAC3423827647[[#This Row],[Actual Buyout]]+HVAC3423827647[[#This Row],[Change Orders]])</f>
        <v>0</v>
      </c>
      <c r="I442" s="443">
        <v>0</v>
      </c>
      <c r="J442" s="213">
        <f>HVAC3423827647[[#This Row],[Original Contract]]-HVAC3423827647[[#This Row],[Revised Contract]]</f>
        <v>0</v>
      </c>
      <c r="K442" s="218"/>
      <c r="L442" s="217"/>
      <c r="M442" s="184"/>
      <c r="T442" s="165"/>
      <c r="U442" s="165"/>
      <c r="Y442" s="166"/>
      <c r="Z442" s="166"/>
    </row>
    <row r="443" spans="1:26" x14ac:dyDescent="0.35">
      <c r="A443" s="219"/>
      <c r="B443" s="220"/>
      <c r="C443" s="220"/>
      <c r="D443" s="208" t="s">
        <v>259</v>
      </c>
      <c r="E443" s="209">
        <f>SUM(HVAC3423827647[Original Contract])</f>
        <v>0</v>
      </c>
      <c r="F443" s="209">
        <f>SUM(HVAC3423827647[Actual Buyout])</f>
        <v>0</v>
      </c>
      <c r="G443" s="209">
        <f>SUM(HVAC3423827647[Change Orders])</f>
        <v>0</v>
      </c>
      <c r="H443" s="209">
        <f>SUM(HVAC3423827647[Revised Contract])</f>
        <v>0</v>
      </c>
      <c r="I443" s="209">
        <f>SUM(HVAC3423827647[Total completed and Stored])</f>
        <v>0</v>
      </c>
      <c r="J443" s="209">
        <f>SUM(HVAC3423827647[Delta])</f>
        <v>0</v>
      </c>
      <c r="K443" s="221"/>
      <c r="L443" s="184"/>
      <c r="M443" s="184"/>
    </row>
    <row r="444" spans="1:26" x14ac:dyDescent="0.35">
      <c r="A444" s="164" t="s">
        <v>153</v>
      </c>
      <c r="B444" s="164" t="s">
        <v>154</v>
      </c>
      <c r="C444" s="164" t="s">
        <v>242</v>
      </c>
      <c r="D444" s="164" t="s">
        <v>243</v>
      </c>
      <c r="E444" s="164" t="s">
        <v>244</v>
      </c>
      <c r="F444" s="198" t="s">
        <v>245</v>
      </c>
      <c r="G444" s="198" t="s">
        <v>246</v>
      </c>
      <c r="H444" s="198" t="s">
        <v>247</v>
      </c>
      <c r="I444" s="211" t="s">
        <v>250</v>
      </c>
      <c r="J444" s="222" t="s">
        <v>249</v>
      </c>
      <c r="K444" s="218"/>
      <c r="L444" s="216"/>
      <c r="M444" s="184"/>
      <c r="T444" s="165"/>
      <c r="U444" s="165"/>
      <c r="Y444" s="166"/>
      <c r="Z444" s="166"/>
    </row>
    <row r="445" spans="1:26" x14ac:dyDescent="0.35">
      <c r="A445" s="201">
        <v>26</v>
      </c>
      <c r="B445" s="202" t="s">
        <v>639</v>
      </c>
      <c r="C445" s="202" t="s">
        <v>640</v>
      </c>
      <c r="D445" s="203" t="s">
        <v>641</v>
      </c>
      <c r="E445" s="443">
        <v>0</v>
      </c>
      <c r="F445" s="443">
        <v>0</v>
      </c>
      <c r="G445" s="443">
        <v>0</v>
      </c>
      <c r="H445" s="204">
        <f>IF(ABS(Electrical3523927748[[#This Row],[Actual Buyout]])+ABS(Electrical3523927748[[#This Row],[Change Orders]])=0,Electrical3523927748[[#This Row],[Original Contract]],Electrical3523927748[[#This Row],[Actual Buyout]]+Electrical3523927748[[#This Row],[Change Orders]])</f>
        <v>0</v>
      </c>
      <c r="I445" s="443">
        <v>0</v>
      </c>
      <c r="J445" s="213">
        <f>Electrical3523927748[[#This Row],[Original Contract]]-Electrical3523927748[[#This Row],[Revised Contract]]</f>
        <v>0</v>
      </c>
      <c r="K445" s="218"/>
      <c r="L445" s="217"/>
      <c r="M445" s="184"/>
      <c r="T445" s="165"/>
      <c r="U445" s="165"/>
      <c r="Y445" s="166"/>
      <c r="Z445" s="166"/>
    </row>
    <row r="446" spans="1:26" x14ac:dyDescent="0.35">
      <c r="A446" s="201">
        <v>26</v>
      </c>
      <c r="B446" s="202" t="s">
        <v>642</v>
      </c>
      <c r="C446" s="202" t="s">
        <v>643</v>
      </c>
      <c r="D446" s="203" t="s">
        <v>644</v>
      </c>
      <c r="E446" s="443">
        <v>0</v>
      </c>
      <c r="F446" s="443">
        <v>0</v>
      </c>
      <c r="G446" s="443">
        <v>0</v>
      </c>
      <c r="H446" s="204">
        <f>IF(ABS(Electrical3523927748[[#This Row],[Actual Buyout]])+ABS(Electrical3523927748[[#This Row],[Change Orders]])=0,Electrical3523927748[[#This Row],[Original Contract]],Electrical3523927748[[#This Row],[Actual Buyout]]+Electrical3523927748[[#This Row],[Change Orders]])</f>
        <v>0</v>
      </c>
      <c r="I446" s="443">
        <v>0</v>
      </c>
      <c r="J446" s="213">
        <f>Electrical3523927748[[#This Row],[Original Contract]]-Electrical3523927748[[#This Row],[Revised Contract]]</f>
        <v>0</v>
      </c>
      <c r="K446" s="218"/>
      <c r="L446" s="217"/>
      <c r="M446" s="184"/>
      <c r="T446" s="165"/>
      <c r="U446" s="165"/>
      <c r="Y446" s="166"/>
      <c r="Z446" s="166"/>
    </row>
    <row r="447" spans="1:26" x14ac:dyDescent="0.35">
      <c r="A447" s="201">
        <v>26</v>
      </c>
      <c r="B447" s="202" t="s">
        <v>642</v>
      </c>
      <c r="C447" s="202" t="s">
        <v>643</v>
      </c>
      <c r="D447" s="203" t="s">
        <v>645</v>
      </c>
      <c r="E447" s="443">
        <v>0</v>
      </c>
      <c r="F447" s="443">
        <v>0</v>
      </c>
      <c r="G447" s="443">
        <v>0</v>
      </c>
      <c r="H447" s="204">
        <f>IF(ABS(Electrical3523927748[[#This Row],[Actual Buyout]])+ABS(Electrical3523927748[[#This Row],[Change Orders]])=0,Electrical3523927748[[#This Row],[Original Contract]],Electrical3523927748[[#This Row],[Actual Buyout]]+Electrical3523927748[[#This Row],[Change Orders]])</f>
        <v>0</v>
      </c>
      <c r="I447" s="443">
        <v>0</v>
      </c>
      <c r="J447" s="213">
        <f>Electrical3523927748[[#This Row],[Original Contract]]-Electrical3523927748[[#This Row],[Revised Contract]]</f>
        <v>0</v>
      </c>
      <c r="K447" s="218"/>
      <c r="L447" s="217"/>
      <c r="M447" s="184"/>
      <c r="T447" s="165"/>
      <c r="U447" s="165"/>
      <c r="Y447" s="166"/>
      <c r="Z447" s="166"/>
    </row>
    <row r="448" spans="1:26" x14ac:dyDescent="0.35">
      <c r="A448" s="201">
        <v>26</v>
      </c>
      <c r="B448" s="202" t="s">
        <v>646</v>
      </c>
      <c r="C448" s="202" t="s">
        <v>647</v>
      </c>
      <c r="D448" s="203" t="s">
        <v>648</v>
      </c>
      <c r="E448" s="443">
        <v>0</v>
      </c>
      <c r="F448" s="443">
        <v>0</v>
      </c>
      <c r="G448" s="443">
        <v>0</v>
      </c>
      <c r="H448" s="204">
        <f>IF(ABS(Electrical3523927748[[#This Row],[Actual Buyout]])+ABS(Electrical3523927748[[#This Row],[Change Orders]])=0,Electrical3523927748[[#This Row],[Original Contract]],Electrical3523927748[[#This Row],[Actual Buyout]]+Electrical3523927748[[#This Row],[Change Orders]])</f>
        <v>0</v>
      </c>
      <c r="I448" s="443">
        <v>0</v>
      </c>
      <c r="J448" s="213">
        <f>Electrical3523927748[[#This Row],[Original Contract]]-Electrical3523927748[[#This Row],[Revised Contract]]</f>
        <v>0</v>
      </c>
      <c r="K448" s="218"/>
      <c r="L448" s="217"/>
      <c r="M448" s="184"/>
      <c r="T448" s="165"/>
      <c r="U448" s="165"/>
      <c r="Y448" s="166"/>
      <c r="Z448" s="166"/>
    </row>
    <row r="449" spans="1:26" x14ac:dyDescent="0.35">
      <c r="A449" s="201">
        <v>26</v>
      </c>
      <c r="B449" s="202" t="s">
        <v>646</v>
      </c>
      <c r="C449" s="202" t="s">
        <v>647</v>
      </c>
      <c r="D449" s="203" t="s">
        <v>649</v>
      </c>
      <c r="E449" s="443">
        <v>0</v>
      </c>
      <c r="F449" s="443">
        <v>0</v>
      </c>
      <c r="G449" s="443">
        <v>0</v>
      </c>
      <c r="H449" s="204">
        <f>IF(ABS(Electrical3523927748[[#This Row],[Actual Buyout]])+ABS(Electrical3523927748[[#This Row],[Change Orders]])=0,Electrical3523927748[[#This Row],[Original Contract]],Electrical3523927748[[#This Row],[Actual Buyout]]+Electrical3523927748[[#This Row],[Change Orders]])</f>
        <v>0</v>
      </c>
      <c r="I449" s="443">
        <v>0</v>
      </c>
      <c r="J449" s="213">
        <f>Electrical3523927748[[#This Row],[Original Contract]]-Electrical3523927748[[#This Row],[Revised Contract]]</f>
        <v>0</v>
      </c>
      <c r="K449" s="218"/>
      <c r="L449" s="217"/>
      <c r="M449" s="184"/>
      <c r="T449" s="165"/>
      <c r="U449" s="165"/>
      <c r="Y449" s="166"/>
      <c r="Z449" s="166"/>
    </row>
    <row r="450" spans="1:26" x14ac:dyDescent="0.35">
      <c r="A450" s="201">
        <v>26</v>
      </c>
      <c r="B450" s="202" t="s">
        <v>646</v>
      </c>
      <c r="C450" s="202" t="s">
        <v>647</v>
      </c>
      <c r="D450" s="203" t="s">
        <v>650</v>
      </c>
      <c r="E450" s="443">
        <v>0</v>
      </c>
      <c r="F450" s="443">
        <v>0</v>
      </c>
      <c r="G450" s="443">
        <v>0</v>
      </c>
      <c r="H450" s="204">
        <f>IF(ABS(Electrical3523927748[[#This Row],[Actual Buyout]])+ABS(Electrical3523927748[[#This Row],[Change Orders]])=0,Electrical3523927748[[#This Row],[Original Contract]],Electrical3523927748[[#This Row],[Actual Buyout]]+Electrical3523927748[[#This Row],[Change Orders]])</f>
        <v>0</v>
      </c>
      <c r="I450" s="443">
        <v>0</v>
      </c>
      <c r="J450" s="213">
        <f>Electrical3523927748[[#This Row],[Original Contract]]-Electrical3523927748[[#This Row],[Revised Contract]]</f>
        <v>0</v>
      </c>
      <c r="K450" s="218"/>
      <c r="L450" s="217"/>
      <c r="M450" s="184"/>
      <c r="T450" s="165"/>
      <c r="U450" s="165"/>
      <c r="Y450" s="166"/>
      <c r="Z450" s="166"/>
    </row>
    <row r="451" spans="1:26" x14ac:dyDescent="0.35">
      <c r="A451" s="201">
        <v>26</v>
      </c>
      <c r="B451" s="202" t="s">
        <v>651</v>
      </c>
      <c r="C451" s="202" t="s">
        <v>652</v>
      </c>
      <c r="D451" s="203" t="s">
        <v>653</v>
      </c>
      <c r="E451" s="443">
        <v>0</v>
      </c>
      <c r="F451" s="443">
        <v>0</v>
      </c>
      <c r="G451" s="443">
        <v>0</v>
      </c>
      <c r="H451" s="204">
        <f>IF(ABS(Electrical3523927748[[#This Row],[Actual Buyout]])+ABS(Electrical3523927748[[#This Row],[Change Orders]])=0,Electrical3523927748[[#This Row],[Original Contract]],Electrical3523927748[[#This Row],[Actual Buyout]]+Electrical3523927748[[#This Row],[Change Orders]])</f>
        <v>0</v>
      </c>
      <c r="I451" s="443">
        <v>0</v>
      </c>
      <c r="J451" s="213">
        <f>Electrical3523927748[[#This Row],[Original Contract]]-Electrical3523927748[[#This Row],[Revised Contract]]</f>
        <v>0</v>
      </c>
      <c r="K451" s="218"/>
      <c r="L451" s="217"/>
      <c r="M451" s="184"/>
      <c r="T451" s="165"/>
      <c r="U451" s="165"/>
      <c r="Y451" s="166"/>
      <c r="Z451" s="166"/>
    </row>
    <row r="452" spans="1:26" x14ac:dyDescent="0.35">
      <c r="A452" s="201">
        <v>26</v>
      </c>
      <c r="B452" s="202" t="s">
        <v>639</v>
      </c>
      <c r="C452" s="202" t="s">
        <v>640</v>
      </c>
      <c r="D452" s="203" t="s">
        <v>654</v>
      </c>
      <c r="E452" s="443">
        <v>0</v>
      </c>
      <c r="F452" s="443">
        <v>0</v>
      </c>
      <c r="G452" s="443">
        <v>0</v>
      </c>
      <c r="H452" s="204">
        <f>IF(ABS(Electrical3523927748[[#This Row],[Actual Buyout]])+ABS(Electrical3523927748[[#This Row],[Change Orders]])=0,Electrical3523927748[[#This Row],[Original Contract]],Electrical3523927748[[#This Row],[Actual Buyout]]+Electrical3523927748[[#This Row],[Change Orders]])</f>
        <v>0</v>
      </c>
      <c r="I452" s="443">
        <v>0</v>
      </c>
      <c r="J452" s="213">
        <f>Electrical3523927748[[#This Row],[Original Contract]]-Electrical3523927748[[#This Row],[Revised Contract]]</f>
        <v>0</v>
      </c>
      <c r="K452" s="218"/>
      <c r="L452" s="217"/>
      <c r="M452" s="184"/>
      <c r="T452" s="165"/>
      <c r="U452" s="165"/>
      <c r="Y452" s="166"/>
      <c r="Z452" s="166"/>
    </row>
    <row r="453" spans="1:26" x14ac:dyDescent="0.35">
      <c r="A453" s="201">
        <v>26</v>
      </c>
      <c r="B453" s="202" t="s">
        <v>646</v>
      </c>
      <c r="C453" s="202" t="s">
        <v>647</v>
      </c>
      <c r="D453" s="203" t="s">
        <v>655</v>
      </c>
      <c r="E453" s="443">
        <v>0</v>
      </c>
      <c r="F453" s="443">
        <v>0</v>
      </c>
      <c r="G453" s="443">
        <v>0</v>
      </c>
      <c r="H453" s="204">
        <f>IF(ABS(Electrical3523927748[[#This Row],[Actual Buyout]])+ABS(Electrical3523927748[[#This Row],[Change Orders]])=0,Electrical3523927748[[#This Row],[Original Contract]],Electrical3523927748[[#This Row],[Actual Buyout]]+Electrical3523927748[[#This Row],[Change Orders]])</f>
        <v>0</v>
      </c>
      <c r="I453" s="443">
        <v>0</v>
      </c>
      <c r="J453" s="213">
        <f>Electrical3523927748[[#This Row],[Original Contract]]-Electrical3523927748[[#This Row],[Revised Contract]]</f>
        <v>0</v>
      </c>
      <c r="K453" s="218"/>
      <c r="L453" s="217"/>
      <c r="M453" s="184"/>
      <c r="T453" s="165"/>
      <c r="U453" s="165"/>
      <c r="Y453" s="166"/>
      <c r="Z453" s="166"/>
    </row>
    <row r="454" spans="1:26" x14ac:dyDescent="0.35">
      <c r="A454" s="201">
        <v>26</v>
      </c>
      <c r="B454" s="202" t="s">
        <v>656</v>
      </c>
      <c r="C454" s="202" t="s">
        <v>657</v>
      </c>
      <c r="D454" s="203" t="s">
        <v>658</v>
      </c>
      <c r="E454" s="443">
        <v>0</v>
      </c>
      <c r="F454" s="443">
        <v>0</v>
      </c>
      <c r="G454" s="443">
        <v>0</v>
      </c>
      <c r="H454" s="204">
        <f>IF(ABS(Electrical3523927748[[#This Row],[Actual Buyout]])+ABS(Electrical3523927748[[#This Row],[Change Orders]])=0,Electrical3523927748[[#This Row],[Original Contract]],Electrical3523927748[[#This Row],[Actual Buyout]]+Electrical3523927748[[#This Row],[Change Orders]])</f>
        <v>0</v>
      </c>
      <c r="I454" s="443">
        <v>0</v>
      </c>
      <c r="J454" s="213">
        <f>Electrical3523927748[[#This Row],[Original Contract]]-Electrical3523927748[[#This Row],[Revised Contract]]</f>
        <v>0</v>
      </c>
      <c r="K454" s="218"/>
      <c r="L454" s="217"/>
      <c r="M454" s="184"/>
      <c r="T454" s="165"/>
      <c r="U454" s="165"/>
      <c r="Y454" s="166"/>
      <c r="Z454" s="166"/>
    </row>
    <row r="455" spans="1:26" x14ac:dyDescent="0.35">
      <c r="A455" s="201">
        <v>26</v>
      </c>
      <c r="B455" s="202" t="s">
        <v>642</v>
      </c>
      <c r="C455" s="202" t="s">
        <v>643</v>
      </c>
      <c r="D455" s="203" t="s">
        <v>659</v>
      </c>
      <c r="E455" s="443">
        <v>0</v>
      </c>
      <c r="F455" s="443">
        <v>0</v>
      </c>
      <c r="G455" s="443">
        <v>0</v>
      </c>
      <c r="H455" s="204">
        <f>IF(ABS(Electrical3523927748[[#This Row],[Actual Buyout]])+ABS(Electrical3523927748[[#This Row],[Change Orders]])=0,Electrical3523927748[[#This Row],[Original Contract]],Electrical3523927748[[#This Row],[Actual Buyout]]+Electrical3523927748[[#This Row],[Change Orders]])</f>
        <v>0</v>
      </c>
      <c r="I455" s="443">
        <v>0</v>
      </c>
      <c r="J455" s="213">
        <f>Electrical3523927748[[#This Row],[Original Contract]]-Electrical3523927748[[#This Row],[Revised Contract]]</f>
        <v>0</v>
      </c>
      <c r="K455" s="218"/>
      <c r="L455" s="217"/>
      <c r="M455" s="184"/>
      <c r="T455" s="165"/>
      <c r="U455" s="165"/>
      <c r="Y455" s="166"/>
      <c r="Z455" s="166"/>
    </row>
    <row r="456" spans="1:26" x14ac:dyDescent="0.35">
      <c r="A456" s="201">
        <v>26</v>
      </c>
      <c r="B456" s="202" t="s">
        <v>660</v>
      </c>
      <c r="C456" s="202" t="s">
        <v>661</v>
      </c>
      <c r="D456" s="203" t="s">
        <v>662</v>
      </c>
      <c r="E456" s="443">
        <v>0</v>
      </c>
      <c r="F456" s="443">
        <v>0</v>
      </c>
      <c r="G456" s="443">
        <v>0</v>
      </c>
      <c r="H456" s="204">
        <f>IF(ABS(Electrical3523927748[[#This Row],[Actual Buyout]])+ABS(Electrical3523927748[[#This Row],[Change Orders]])=0,Electrical3523927748[[#This Row],[Original Contract]],Electrical3523927748[[#This Row],[Actual Buyout]]+Electrical3523927748[[#This Row],[Change Orders]])</f>
        <v>0</v>
      </c>
      <c r="I456" s="443">
        <v>0</v>
      </c>
      <c r="J456" s="213">
        <f>Electrical3523927748[[#This Row],[Original Contract]]-Electrical3523927748[[#This Row],[Revised Contract]]</f>
        <v>0</v>
      </c>
      <c r="K456" s="218"/>
      <c r="L456" s="217"/>
      <c r="M456" s="184"/>
      <c r="T456" s="165"/>
      <c r="U456" s="165"/>
      <c r="Y456" s="166"/>
      <c r="Z456" s="166"/>
    </row>
    <row r="457" spans="1:26" x14ac:dyDescent="0.35">
      <c r="A457" s="201">
        <v>26</v>
      </c>
      <c r="B457" s="202" t="s">
        <v>642</v>
      </c>
      <c r="C457" s="202" t="s">
        <v>643</v>
      </c>
      <c r="D457" s="203" t="s">
        <v>663</v>
      </c>
      <c r="E457" s="443">
        <v>0</v>
      </c>
      <c r="F457" s="443">
        <v>0</v>
      </c>
      <c r="G457" s="443">
        <v>0</v>
      </c>
      <c r="H457" s="204">
        <f>IF(ABS(Electrical3523927748[[#This Row],[Actual Buyout]])+ABS(Electrical3523927748[[#This Row],[Change Orders]])=0,Electrical3523927748[[#This Row],[Original Contract]],Electrical3523927748[[#This Row],[Actual Buyout]]+Electrical3523927748[[#This Row],[Change Orders]])</f>
        <v>0</v>
      </c>
      <c r="I457" s="443">
        <v>0</v>
      </c>
      <c r="J457" s="213">
        <f>Electrical3523927748[[#This Row],[Original Contract]]-Electrical3523927748[[#This Row],[Revised Contract]]</f>
        <v>0</v>
      </c>
      <c r="K457" s="218"/>
      <c r="L457" s="217"/>
      <c r="M457" s="184"/>
      <c r="T457" s="165"/>
      <c r="U457" s="165"/>
      <c r="Y457" s="166"/>
      <c r="Z457" s="166"/>
    </row>
    <row r="458" spans="1:26" x14ac:dyDescent="0.35">
      <c r="A458" s="201">
        <v>26</v>
      </c>
      <c r="B458" s="202" t="s">
        <v>642</v>
      </c>
      <c r="C458" s="202" t="s">
        <v>640</v>
      </c>
      <c r="D458" s="203" t="s">
        <v>664</v>
      </c>
      <c r="E458" s="443">
        <v>0</v>
      </c>
      <c r="F458" s="443">
        <v>0</v>
      </c>
      <c r="G458" s="443">
        <v>0</v>
      </c>
      <c r="H458" s="204">
        <f>IF(ABS(Electrical3523927748[[#This Row],[Actual Buyout]])+ABS(Electrical3523927748[[#This Row],[Change Orders]])=0,Electrical3523927748[[#This Row],[Original Contract]],Electrical3523927748[[#This Row],[Actual Buyout]]+Electrical3523927748[[#This Row],[Change Orders]])</f>
        <v>0</v>
      </c>
      <c r="I458" s="443">
        <v>0</v>
      </c>
      <c r="J458" s="213">
        <f>Electrical3523927748[[#This Row],[Original Contract]]-Electrical3523927748[[#This Row],[Revised Contract]]</f>
        <v>0</v>
      </c>
      <c r="K458" s="218"/>
      <c r="L458" s="217"/>
      <c r="M458" s="184"/>
      <c r="T458" s="165"/>
      <c r="U458" s="165"/>
      <c r="Y458" s="166"/>
      <c r="Z458" s="166"/>
    </row>
    <row r="459" spans="1:26" x14ac:dyDescent="0.35">
      <c r="A459" s="201">
        <v>26</v>
      </c>
      <c r="B459" s="202"/>
      <c r="C459" s="202"/>
      <c r="D459" s="580" t="s">
        <v>258</v>
      </c>
      <c r="E459" s="443">
        <v>0</v>
      </c>
      <c r="F459" s="443">
        <v>0</v>
      </c>
      <c r="G459" s="443">
        <v>0</v>
      </c>
      <c r="H459" s="204">
        <f>IF(ABS(Electrical3523927748[[#This Row],[Actual Buyout]])+ABS(Electrical3523927748[[#This Row],[Change Orders]])=0,Electrical3523927748[[#This Row],[Original Contract]],Electrical3523927748[[#This Row],[Actual Buyout]]+Electrical3523927748[[#This Row],[Change Orders]])</f>
        <v>0</v>
      </c>
      <c r="I459" s="443">
        <v>0</v>
      </c>
      <c r="J459" s="213">
        <f>Electrical3523927748[[#This Row],[Original Contract]]-Electrical3523927748[[#This Row],[Revised Contract]]</f>
        <v>0</v>
      </c>
      <c r="K459" s="218"/>
      <c r="L459" s="217"/>
      <c r="M459" s="184"/>
      <c r="T459" s="165"/>
      <c r="U459" s="165"/>
      <c r="Y459" s="166"/>
      <c r="Z459" s="166"/>
    </row>
    <row r="460" spans="1:26" x14ac:dyDescent="0.35">
      <c r="A460" s="201">
        <v>26</v>
      </c>
      <c r="B460" s="202"/>
      <c r="C460" s="202"/>
      <c r="D460" s="580" t="s">
        <v>258</v>
      </c>
      <c r="E460" s="443">
        <v>0</v>
      </c>
      <c r="F460" s="443">
        <v>0</v>
      </c>
      <c r="G460" s="443">
        <v>0</v>
      </c>
      <c r="H460" s="204">
        <f>IF(ABS(Electrical3523927748[[#This Row],[Actual Buyout]])+ABS(Electrical3523927748[[#This Row],[Change Orders]])=0,Electrical3523927748[[#This Row],[Original Contract]],Electrical3523927748[[#This Row],[Actual Buyout]]+Electrical3523927748[[#This Row],[Change Orders]])</f>
        <v>0</v>
      </c>
      <c r="I460" s="443">
        <v>0</v>
      </c>
      <c r="J460" s="213">
        <f>Electrical3523927748[[#This Row],[Original Contract]]-Electrical3523927748[[#This Row],[Revised Contract]]</f>
        <v>0</v>
      </c>
      <c r="K460" s="218"/>
      <c r="L460" s="217"/>
      <c r="M460" s="184"/>
      <c r="T460" s="165"/>
      <c r="U460" s="165"/>
      <c r="Y460" s="166"/>
      <c r="Z460" s="166"/>
    </row>
    <row r="461" spans="1:26" x14ac:dyDescent="0.35">
      <c r="A461" s="201">
        <v>26</v>
      </c>
      <c r="B461" s="202"/>
      <c r="C461" s="202"/>
      <c r="D461" s="580" t="s">
        <v>258</v>
      </c>
      <c r="E461" s="443">
        <v>0</v>
      </c>
      <c r="F461" s="443">
        <v>0</v>
      </c>
      <c r="G461" s="443">
        <v>0</v>
      </c>
      <c r="H461" s="204">
        <f>IF(ABS(Electrical3523927748[[#This Row],[Actual Buyout]])+ABS(Electrical3523927748[[#This Row],[Change Orders]])=0,Electrical3523927748[[#This Row],[Original Contract]],Electrical3523927748[[#This Row],[Actual Buyout]]+Electrical3523927748[[#This Row],[Change Orders]])</f>
        <v>0</v>
      </c>
      <c r="I461" s="443">
        <v>0</v>
      </c>
      <c r="J461" s="213">
        <f>Electrical3523927748[[#This Row],[Original Contract]]-Electrical3523927748[[#This Row],[Revised Contract]]</f>
        <v>0</v>
      </c>
      <c r="K461" s="218"/>
      <c r="L461" s="217"/>
      <c r="M461" s="184"/>
      <c r="T461" s="165"/>
      <c r="U461" s="165"/>
      <c r="Y461" s="166"/>
      <c r="Z461" s="166"/>
    </row>
    <row r="462" spans="1:26" x14ac:dyDescent="0.35">
      <c r="A462" s="201">
        <v>26</v>
      </c>
      <c r="B462" s="202"/>
      <c r="C462" s="202"/>
      <c r="D462" s="580" t="s">
        <v>258</v>
      </c>
      <c r="E462" s="443">
        <v>0</v>
      </c>
      <c r="F462" s="443">
        <v>0</v>
      </c>
      <c r="G462" s="443">
        <v>0</v>
      </c>
      <c r="H462" s="204">
        <f>IF(ABS(Electrical3523927748[[#This Row],[Actual Buyout]])+ABS(Electrical3523927748[[#This Row],[Change Orders]])=0,Electrical3523927748[[#This Row],[Original Contract]],Electrical3523927748[[#This Row],[Actual Buyout]]+Electrical3523927748[[#This Row],[Change Orders]])</f>
        <v>0</v>
      </c>
      <c r="I462" s="443">
        <v>0</v>
      </c>
      <c r="J462" s="213">
        <f>Electrical3523927748[[#This Row],[Original Contract]]-Electrical3523927748[[#This Row],[Revised Contract]]</f>
        <v>0</v>
      </c>
      <c r="K462" s="218"/>
      <c r="L462" s="217"/>
      <c r="M462" s="184"/>
      <c r="T462" s="165"/>
      <c r="U462" s="165"/>
      <c r="Y462" s="166"/>
      <c r="Z462" s="166"/>
    </row>
    <row r="463" spans="1:26" x14ac:dyDescent="0.35">
      <c r="A463" s="201">
        <v>26</v>
      </c>
      <c r="B463" s="202"/>
      <c r="C463" s="202"/>
      <c r="D463" s="580" t="s">
        <v>258</v>
      </c>
      <c r="E463" s="443">
        <v>0</v>
      </c>
      <c r="F463" s="443">
        <v>0</v>
      </c>
      <c r="G463" s="443">
        <v>0</v>
      </c>
      <c r="H463" s="204">
        <f>IF(ABS(Electrical3523927748[[#This Row],[Actual Buyout]])+ABS(Electrical3523927748[[#This Row],[Change Orders]])=0,Electrical3523927748[[#This Row],[Original Contract]],Electrical3523927748[[#This Row],[Actual Buyout]]+Electrical3523927748[[#This Row],[Change Orders]])</f>
        <v>0</v>
      </c>
      <c r="I463" s="443">
        <v>0</v>
      </c>
      <c r="J463" s="213">
        <f>Electrical3523927748[[#This Row],[Original Contract]]-Electrical3523927748[[#This Row],[Revised Contract]]</f>
        <v>0</v>
      </c>
      <c r="K463" s="218"/>
      <c r="L463" s="217"/>
      <c r="M463" s="184"/>
      <c r="T463" s="165"/>
      <c r="U463" s="165"/>
      <c r="Y463" s="166"/>
      <c r="Z463" s="166"/>
    </row>
    <row r="464" spans="1:26" x14ac:dyDescent="0.35">
      <c r="A464" s="201">
        <v>26</v>
      </c>
      <c r="B464" s="202"/>
      <c r="C464" s="202"/>
      <c r="D464" s="580" t="s">
        <v>258</v>
      </c>
      <c r="E464" s="443">
        <v>0</v>
      </c>
      <c r="F464" s="443">
        <v>0</v>
      </c>
      <c r="G464" s="443">
        <v>0</v>
      </c>
      <c r="H464" s="204">
        <f>IF(ABS(Electrical3523927748[[#This Row],[Actual Buyout]])+ABS(Electrical3523927748[[#This Row],[Change Orders]])=0,Electrical3523927748[[#This Row],[Original Contract]],Electrical3523927748[[#This Row],[Actual Buyout]]+Electrical3523927748[[#This Row],[Change Orders]])</f>
        <v>0</v>
      </c>
      <c r="I464" s="443">
        <v>0</v>
      </c>
      <c r="J464" s="213">
        <f>Electrical3523927748[[#This Row],[Original Contract]]-Electrical3523927748[[#This Row],[Revised Contract]]</f>
        <v>0</v>
      </c>
      <c r="K464" s="218"/>
      <c r="L464" s="217"/>
      <c r="M464" s="184"/>
      <c r="T464" s="165"/>
      <c r="U464" s="165"/>
      <c r="Y464" s="166"/>
      <c r="Z464" s="166"/>
    </row>
    <row r="465" spans="1:26" x14ac:dyDescent="0.35">
      <c r="A465" s="201">
        <v>26</v>
      </c>
      <c r="B465" s="202"/>
      <c r="C465" s="202"/>
      <c r="D465" s="580" t="s">
        <v>258</v>
      </c>
      <c r="E465" s="443">
        <v>0</v>
      </c>
      <c r="F465" s="443">
        <v>0</v>
      </c>
      <c r="G465" s="443">
        <v>0</v>
      </c>
      <c r="H465" s="204">
        <f>IF(ABS(Electrical3523927748[[#This Row],[Actual Buyout]])+ABS(Electrical3523927748[[#This Row],[Change Orders]])=0,Electrical3523927748[[#This Row],[Original Contract]],Electrical3523927748[[#This Row],[Actual Buyout]]+Electrical3523927748[[#This Row],[Change Orders]])</f>
        <v>0</v>
      </c>
      <c r="I465" s="443">
        <v>0</v>
      </c>
      <c r="J465" s="213">
        <f>Electrical3523927748[[#This Row],[Original Contract]]-Electrical3523927748[[#This Row],[Revised Contract]]</f>
        <v>0</v>
      </c>
      <c r="K465" s="218"/>
      <c r="L465" s="217"/>
      <c r="M465" s="184"/>
      <c r="T465" s="165"/>
      <c r="U465" s="165"/>
      <c r="Y465" s="166"/>
      <c r="Z465" s="166"/>
    </row>
    <row r="466" spans="1:26" x14ac:dyDescent="0.35">
      <c r="A466" s="201">
        <v>26</v>
      </c>
      <c r="B466" s="202"/>
      <c r="C466" s="202"/>
      <c r="D466" s="580" t="s">
        <v>258</v>
      </c>
      <c r="E466" s="443">
        <v>0</v>
      </c>
      <c r="F466" s="443">
        <v>0</v>
      </c>
      <c r="G466" s="443">
        <v>0</v>
      </c>
      <c r="H466" s="204">
        <f>IF(ABS(Electrical3523927748[[#This Row],[Actual Buyout]])+ABS(Electrical3523927748[[#This Row],[Change Orders]])=0,Electrical3523927748[[#This Row],[Original Contract]],Electrical3523927748[[#This Row],[Actual Buyout]]+Electrical3523927748[[#This Row],[Change Orders]])</f>
        <v>0</v>
      </c>
      <c r="I466" s="443">
        <v>0</v>
      </c>
      <c r="J466" s="213">
        <f>Electrical3523927748[[#This Row],[Original Contract]]-Electrical3523927748[[#This Row],[Revised Contract]]</f>
        <v>0</v>
      </c>
      <c r="K466" s="218"/>
      <c r="L466" s="217"/>
      <c r="M466" s="184"/>
      <c r="T466" s="165"/>
      <c r="U466" s="165"/>
      <c r="Y466" s="166"/>
      <c r="Z466" s="166"/>
    </row>
    <row r="467" spans="1:26" x14ac:dyDescent="0.35">
      <c r="A467" s="219"/>
      <c r="B467" s="220"/>
      <c r="C467" s="220"/>
      <c r="D467" s="208" t="s">
        <v>259</v>
      </c>
      <c r="E467" s="209">
        <f>SUM(Electrical3523927748[Original Contract])</f>
        <v>0</v>
      </c>
      <c r="F467" s="209">
        <f>SUM(Electrical3523927748[Actual Buyout])</f>
        <v>0</v>
      </c>
      <c r="G467" s="209">
        <f>SUM(Electrical3523927748[Change Orders])</f>
        <v>0</v>
      </c>
      <c r="H467" s="209">
        <f>SUM(Electrical3523927748[Revised Contract])</f>
        <v>0</v>
      </c>
      <c r="I467" s="209">
        <f>SUM(Electrical3523927748[Total completed and Stored])</f>
        <v>0</v>
      </c>
      <c r="J467" s="209">
        <f>SUM(Electrical3523927748[Delta])</f>
        <v>0</v>
      </c>
      <c r="K467" s="221"/>
      <c r="L467" s="184"/>
      <c r="M467" s="184"/>
    </row>
    <row r="468" spans="1:26" x14ac:dyDescent="0.35">
      <c r="A468" s="164" t="s">
        <v>155</v>
      </c>
      <c r="B468" s="164" t="s">
        <v>156</v>
      </c>
      <c r="C468" s="164" t="s">
        <v>242</v>
      </c>
      <c r="D468" s="164" t="s">
        <v>243</v>
      </c>
      <c r="E468" s="164" t="s">
        <v>244</v>
      </c>
      <c r="F468" s="198" t="s">
        <v>245</v>
      </c>
      <c r="G468" s="198" t="s">
        <v>246</v>
      </c>
      <c r="H468" s="198" t="s">
        <v>247</v>
      </c>
      <c r="I468" s="211" t="s">
        <v>250</v>
      </c>
      <c r="J468" s="222" t="s">
        <v>249</v>
      </c>
      <c r="K468" s="218"/>
      <c r="L468" s="216"/>
      <c r="M468" s="184"/>
      <c r="T468" s="165"/>
      <c r="U468" s="165"/>
      <c r="Y468" s="166"/>
      <c r="Z468" s="166"/>
    </row>
    <row r="469" spans="1:26" x14ac:dyDescent="0.35">
      <c r="A469" s="201">
        <v>28</v>
      </c>
      <c r="B469" s="202" t="s">
        <v>665</v>
      </c>
      <c r="C469" s="202" t="s">
        <v>666</v>
      </c>
      <c r="D469" s="203" t="s">
        <v>667</v>
      </c>
      <c r="E469" s="443">
        <v>0</v>
      </c>
      <c r="F469" s="443">
        <v>0</v>
      </c>
      <c r="G469" s="443">
        <v>0</v>
      </c>
      <c r="H469" s="204">
        <f>IF(ABS(ElectricSafety3624027849[[#This Row],[Actual Buyout]])+ABS(ElectricSafety3624027849[[#This Row],[Change Orders]])=0,ElectricSafety3624027849[[#This Row],[Original Contract]],ElectricSafety3624027849[[#This Row],[Actual Buyout]]+ElectricSafety3624027849[[#This Row],[Change Orders]])</f>
        <v>0</v>
      </c>
      <c r="I469" s="443">
        <v>0</v>
      </c>
      <c r="J469" s="213">
        <f>ElectricSafety3624027849[[#This Row],[Original Contract]]-ElectricSafety3624027849[[#This Row],[Revised Contract]]</f>
        <v>0</v>
      </c>
      <c r="K469" s="218"/>
      <c r="L469" s="217"/>
      <c r="M469" s="184"/>
      <c r="T469" s="165"/>
      <c r="U469" s="165"/>
      <c r="Y469" s="166"/>
      <c r="Z469" s="166"/>
    </row>
    <row r="470" spans="1:26" x14ac:dyDescent="0.35">
      <c r="A470" s="201">
        <v>28</v>
      </c>
      <c r="B470" s="202" t="s">
        <v>665</v>
      </c>
      <c r="C470" s="202" t="s">
        <v>666</v>
      </c>
      <c r="D470" s="203" t="s">
        <v>668</v>
      </c>
      <c r="E470" s="443">
        <v>0</v>
      </c>
      <c r="F470" s="443">
        <v>0</v>
      </c>
      <c r="G470" s="443">
        <v>0</v>
      </c>
      <c r="H470" s="204">
        <f>IF(ABS(ElectricSafety3624027849[[#This Row],[Actual Buyout]])+ABS(ElectricSafety3624027849[[#This Row],[Change Orders]])=0,ElectricSafety3624027849[[#This Row],[Original Contract]],ElectricSafety3624027849[[#This Row],[Actual Buyout]]+ElectricSafety3624027849[[#This Row],[Change Orders]])</f>
        <v>0</v>
      </c>
      <c r="I470" s="443">
        <v>0</v>
      </c>
      <c r="J470" s="213">
        <f>ElectricSafety3624027849[[#This Row],[Original Contract]]-ElectricSafety3624027849[[#This Row],[Revised Contract]]</f>
        <v>0</v>
      </c>
      <c r="K470" s="218"/>
      <c r="L470" s="217"/>
      <c r="M470" s="184"/>
      <c r="T470" s="165"/>
      <c r="U470" s="165"/>
      <c r="Y470" s="166"/>
      <c r="Z470" s="166"/>
    </row>
    <row r="471" spans="1:26" x14ac:dyDescent="0.35">
      <c r="A471" s="201">
        <v>28</v>
      </c>
      <c r="B471" s="202" t="s">
        <v>665</v>
      </c>
      <c r="C471" s="202" t="s">
        <v>666</v>
      </c>
      <c r="D471" s="203" t="s">
        <v>669</v>
      </c>
      <c r="E471" s="443">
        <v>0</v>
      </c>
      <c r="F471" s="443">
        <v>0</v>
      </c>
      <c r="G471" s="443">
        <v>0</v>
      </c>
      <c r="H471" s="204">
        <f>IF(ABS(ElectricSafety3624027849[[#This Row],[Actual Buyout]])+ABS(ElectricSafety3624027849[[#This Row],[Change Orders]])=0,ElectricSafety3624027849[[#This Row],[Original Contract]],ElectricSafety3624027849[[#This Row],[Actual Buyout]]+ElectricSafety3624027849[[#This Row],[Change Orders]])</f>
        <v>0</v>
      </c>
      <c r="I471" s="443">
        <v>0</v>
      </c>
      <c r="J471" s="213">
        <f>ElectricSafety3624027849[[#This Row],[Original Contract]]-ElectricSafety3624027849[[#This Row],[Revised Contract]]</f>
        <v>0</v>
      </c>
      <c r="K471" s="218"/>
      <c r="L471" s="217"/>
      <c r="M471" s="184"/>
      <c r="T471" s="165"/>
      <c r="U471" s="165"/>
      <c r="Y471" s="166"/>
      <c r="Z471" s="166"/>
    </row>
    <row r="472" spans="1:26" x14ac:dyDescent="0.35">
      <c r="A472" s="201">
        <v>28</v>
      </c>
      <c r="B472" s="202" t="s">
        <v>665</v>
      </c>
      <c r="C472" s="202" t="s">
        <v>666</v>
      </c>
      <c r="D472" s="203" t="s">
        <v>670</v>
      </c>
      <c r="E472" s="443">
        <v>0</v>
      </c>
      <c r="F472" s="443">
        <v>0</v>
      </c>
      <c r="G472" s="443">
        <v>0</v>
      </c>
      <c r="H472" s="204">
        <f>IF(ABS(ElectricSafety3624027849[[#This Row],[Actual Buyout]])+ABS(ElectricSafety3624027849[[#This Row],[Change Orders]])=0,ElectricSafety3624027849[[#This Row],[Original Contract]],ElectricSafety3624027849[[#This Row],[Actual Buyout]]+ElectricSafety3624027849[[#This Row],[Change Orders]])</f>
        <v>0</v>
      </c>
      <c r="I472" s="443">
        <v>0</v>
      </c>
      <c r="J472" s="213">
        <f>ElectricSafety3624027849[[#This Row],[Original Contract]]-ElectricSafety3624027849[[#This Row],[Revised Contract]]</f>
        <v>0</v>
      </c>
      <c r="K472" s="218"/>
      <c r="L472" s="217"/>
      <c r="M472" s="184"/>
      <c r="T472" s="165"/>
      <c r="U472" s="165"/>
      <c r="Y472" s="166"/>
      <c r="Z472" s="166"/>
    </row>
    <row r="473" spans="1:26" x14ac:dyDescent="0.35">
      <c r="A473" s="201">
        <v>28</v>
      </c>
      <c r="B473" s="202" t="s">
        <v>671</v>
      </c>
      <c r="C473" s="202" t="s">
        <v>672</v>
      </c>
      <c r="D473" s="203" t="s">
        <v>671</v>
      </c>
      <c r="E473" s="443">
        <v>0</v>
      </c>
      <c r="F473" s="443">
        <v>0</v>
      </c>
      <c r="G473" s="443">
        <v>0</v>
      </c>
      <c r="H473" s="204">
        <f>IF(ABS(ElectricSafety3624027849[[#This Row],[Actual Buyout]])+ABS(ElectricSafety3624027849[[#This Row],[Change Orders]])=0,ElectricSafety3624027849[[#This Row],[Original Contract]],ElectricSafety3624027849[[#This Row],[Actual Buyout]]+ElectricSafety3624027849[[#This Row],[Change Orders]])</f>
        <v>0</v>
      </c>
      <c r="I473" s="443">
        <v>0</v>
      </c>
      <c r="J473" s="213">
        <f>ElectricSafety3624027849[[#This Row],[Original Contract]]-ElectricSafety3624027849[[#This Row],[Revised Contract]]</f>
        <v>0</v>
      </c>
      <c r="K473" s="218"/>
      <c r="L473" s="217"/>
      <c r="M473" s="184"/>
      <c r="T473" s="165"/>
      <c r="U473" s="165"/>
      <c r="Y473" s="166"/>
      <c r="Z473" s="166"/>
    </row>
    <row r="474" spans="1:26" x14ac:dyDescent="0.35">
      <c r="A474" s="201">
        <v>28</v>
      </c>
      <c r="B474" s="202" t="s">
        <v>673</v>
      </c>
      <c r="C474" s="202" t="s">
        <v>674</v>
      </c>
      <c r="D474" s="203" t="s">
        <v>675</v>
      </c>
      <c r="E474" s="443">
        <v>0</v>
      </c>
      <c r="F474" s="443">
        <v>0</v>
      </c>
      <c r="G474" s="443">
        <v>0</v>
      </c>
      <c r="H474" s="204">
        <f>IF(ABS(ElectricSafety3624027849[[#This Row],[Actual Buyout]])+ABS(ElectricSafety3624027849[[#This Row],[Change Orders]])=0,ElectricSafety3624027849[[#This Row],[Original Contract]],ElectricSafety3624027849[[#This Row],[Actual Buyout]]+ElectricSafety3624027849[[#This Row],[Change Orders]])</f>
        <v>0</v>
      </c>
      <c r="I474" s="443">
        <v>0</v>
      </c>
      <c r="J474" s="213">
        <f>ElectricSafety3624027849[[#This Row],[Original Contract]]-ElectricSafety3624027849[[#This Row],[Revised Contract]]</f>
        <v>0</v>
      </c>
      <c r="K474" s="218"/>
      <c r="L474" s="217"/>
      <c r="M474" s="184"/>
      <c r="T474" s="165"/>
      <c r="U474" s="165"/>
      <c r="Y474" s="166"/>
      <c r="Z474" s="166"/>
    </row>
    <row r="475" spans="1:26" x14ac:dyDescent="0.35">
      <c r="A475" s="201">
        <v>28</v>
      </c>
      <c r="B475" s="202"/>
      <c r="C475" s="202"/>
      <c r="D475" s="203" t="s">
        <v>676</v>
      </c>
      <c r="E475" s="443">
        <v>0</v>
      </c>
      <c r="F475" s="443">
        <v>0</v>
      </c>
      <c r="G475" s="443">
        <v>0</v>
      </c>
      <c r="H475" s="204">
        <f>IF(ABS(ElectricSafety3624027849[[#This Row],[Actual Buyout]])+ABS(ElectricSafety3624027849[[#This Row],[Change Orders]])=0,ElectricSafety3624027849[[#This Row],[Original Contract]],ElectricSafety3624027849[[#This Row],[Actual Buyout]]+ElectricSafety3624027849[[#This Row],[Change Orders]])</f>
        <v>0</v>
      </c>
      <c r="I475" s="443">
        <v>0</v>
      </c>
      <c r="J475" s="213">
        <f>ElectricSafety3624027849[[#This Row],[Original Contract]]-ElectricSafety3624027849[[#This Row],[Revised Contract]]</f>
        <v>0</v>
      </c>
      <c r="K475" s="218"/>
      <c r="L475" s="217"/>
      <c r="M475" s="184"/>
      <c r="T475" s="165"/>
      <c r="U475" s="165"/>
      <c r="Y475" s="166"/>
      <c r="Z475" s="166"/>
    </row>
    <row r="476" spans="1:26" x14ac:dyDescent="0.35">
      <c r="A476" s="201">
        <v>28</v>
      </c>
      <c r="B476" s="202"/>
      <c r="C476" s="202"/>
      <c r="D476" s="203" t="s">
        <v>677</v>
      </c>
      <c r="E476" s="443">
        <v>0</v>
      </c>
      <c r="F476" s="443">
        <v>0</v>
      </c>
      <c r="G476" s="443">
        <v>0</v>
      </c>
      <c r="H476" s="204">
        <f>IF(ABS(ElectricSafety3624027849[[#This Row],[Actual Buyout]])+ABS(ElectricSafety3624027849[[#This Row],[Change Orders]])=0,ElectricSafety3624027849[[#This Row],[Original Contract]],ElectricSafety3624027849[[#This Row],[Actual Buyout]]+ElectricSafety3624027849[[#This Row],[Change Orders]])</f>
        <v>0</v>
      </c>
      <c r="I476" s="443">
        <v>0</v>
      </c>
      <c r="J476" s="213">
        <f>ElectricSafety3624027849[[#This Row],[Original Contract]]-ElectricSafety3624027849[[#This Row],[Revised Contract]]</f>
        <v>0</v>
      </c>
      <c r="K476" s="218"/>
      <c r="L476" s="217"/>
      <c r="M476" s="184"/>
      <c r="T476" s="165"/>
      <c r="U476" s="165"/>
      <c r="Y476" s="166"/>
      <c r="Z476" s="166"/>
    </row>
    <row r="477" spans="1:26" x14ac:dyDescent="0.35">
      <c r="A477" s="201">
        <v>28</v>
      </c>
      <c r="B477" s="202"/>
      <c r="C477" s="202"/>
      <c r="D477" s="203" t="s">
        <v>678</v>
      </c>
      <c r="E477" s="443">
        <v>0</v>
      </c>
      <c r="F477" s="443">
        <v>0</v>
      </c>
      <c r="G477" s="443">
        <v>0</v>
      </c>
      <c r="H477" s="204">
        <f>IF(ABS(ElectricSafety3624027849[[#This Row],[Actual Buyout]])+ABS(ElectricSafety3624027849[[#This Row],[Change Orders]])=0,ElectricSafety3624027849[[#This Row],[Original Contract]],ElectricSafety3624027849[[#This Row],[Actual Buyout]]+ElectricSafety3624027849[[#This Row],[Change Orders]])</f>
        <v>0</v>
      </c>
      <c r="I477" s="443">
        <v>0</v>
      </c>
      <c r="J477" s="213">
        <f>ElectricSafety3624027849[[#This Row],[Original Contract]]-ElectricSafety3624027849[[#This Row],[Revised Contract]]</f>
        <v>0</v>
      </c>
      <c r="K477" s="218"/>
      <c r="L477" s="217"/>
      <c r="M477" s="184"/>
      <c r="T477" s="165"/>
      <c r="U477" s="165"/>
      <c r="Y477" s="166"/>
      <c r="Z477" s="166"/>
    </row>
    <row r="478" spans="1:26" x14ac:dyDescent="0.35">
      <c r="A478" s="201">
        <v>28</v>
      </c>
      <c r="B478" s="202"/>
      <c r="C478" s="202"/>
      <c r="D478" s="580" t="s">
        <v>258</v>
      </c>
      <c r="E478" s="443">
        <v>0</v>
      </c>
      <c r="F478" s="443">
        <v>0</v>
      </c>
      <c r="G478" s="443">
        <v>0</v>
      </c>
      <c r="H478" s="204">
        <f>IF(ABS(ElectricSafety3624027849[[#This Row],[Actual Buyout]])+ABS(ElectricSafety3624027849[[#This Row],[Change Orders]])=0,ElectricSafety3624027849[[#This Row],[Original Contract]],ElectricSafety3624027849[[#This Row],[Actual Buyout]]+ElectricSafety3624027849[[#This Row],[Change Orders]])</f>
        <v>0</v>
      </c>
      <c r="I478" s="443">
        <v>0</v>
      </c>
      <c r="J478" s="213">
        <f>ElectricSafety3624027849[[#This Row],[Original Contract]]-ElectricSafety3624027849[[#This Row],[Revised Contract]]</f>
        <v>0</v>
      </c>
      <c r="K478" s="218"/>
      <c r="L478" s="217"/>
      <c r="M478" s="184"/>
      <c r="T478" s="165"/>
      <c r="U478" s="165"/>
      <c r="Y478" s="166"/>
      <c r="Z478" s="166"/>
    </row>
    <row r="479" spans="1:26" x14ac:dyDescent="0.35">
      <c r="A479" s="201">
        <v>28</v>
      </c>
      <c r="B479" s="202"/>
      <c r="C479" s="202"/>
      <c r="D479" s="580" t="s">
        <v>258</v>
      </c>
      <c r="E479" s="443">
        <v>0</v>
      </c>
      <c r="F479" s="443">
        <v>0</v>
      </c>
      <c r="G479" s="443">
        <v>0</v>
      </c>
      <c r="H479" s="204">
        <f>IF(ABS(ElectricSafety3624027849[[#This Row],[Actual Buyout]])+ABS(ElectricSafety3624027849[[#This Row],[Change Orders]])=0,ElectricSafety3624027849[[#This Row],[Original Contract]],ElectricSafety3624027849[[#This Row],[Actual Buyout]]+ElectricSafety3624027849[[#This Row],[Change Orders]])</f>
        <v>0</v>
      </c>
      <c r="I479" s="443">
        <v>0</v>
      </c>
      <c r="J479" s="213">
        <f>ElectricSafety3624027849[[#This Row],[Original Contract]]-ElectricSafety3624027849[[#This Row],[Revised Contract]]</f>
        <v>0</v>
      </c>
      <c r="K479" s="218"/>
      <c r="L479" s="217"/>
      <c r="M479" s="184"/>
      <c r="T479" s="165"/>
      <c r="U479" s="165"/>
      <c r="Y479" s="166"/>
      <c r="Z479" s="166"/>
    </row>
    <row r="480" spans="1:26" x14ac:dyDescent="0.35">
      <c r="A480" s="201">
        <v>28</v>
      </c>
      <c r="B480" s="202"/>
      <c r="C480" s="202"/>
      <c r="D480" s="580" t="s">
        <v>258</v>
      </c>
      <c r="E480" s="443">
        <v>0</v>
      </c>
      <c r="F480" s="443">
        <v>0</v>
      </c>
      <c r="G480" s="443">
        <v>0</v>
      </c>
      <c r="H480" s="204">
        <f>IF(ABS(ElectricSafety3624027849[[#This Row],[Actual Buyout]])+ABS(ElectricSafety3624027849[[#This Row],[Change Orders]])=0,ElectricSafety3624027849[[#This Row],[Original Contract]],ElectricSafety3624027849[[#This Row],[Actual Buyout]]+ElectricSafety3624027849[[#This Row],[Change Orders]])</f>
        <v>0</v>
      </c>
      <c r="I480" s="443">
        <v>0</v>
      </c>
      <c r="J480" s="213">
        <f>ElectricSafety3624027849[[#This Row],[Original Contract]]-ElectricSafety3624027849[[#This Row],[Revised Contract]]</f>
        <v>0</v>
      </c>
      <c r="K480" s="218"/>
      <c r="L480" s="217"/>
      <c r="M480" s="184"/>
      <c r="T480" s="165"/>
      <c r="U480" s="165"/>
      <c r="Y480" s="166"/>
      <c r="Z480" s="166"/>
    </row>
    <row r="481" spans="1:26" x14ac:dyDescent="0.35">
      <c r="A481" s="219"/>
      <c r="B481" s="220"/>
      <c r="C481" s="220"/>
      <c r="D481" s="208" t="s">
        <v>259</v>
      </c>
      <c r="E481" s="209">
        <f>SUM(ElectricSafety3624027849[Original Contract])</f>
        <v>0</v>
      </c>
      <c r="F481" s="209">
        <f>SUM(ElectricSafety3624027849[Actual Buyout])</f>
        <v>0</v>
      </c>
      <c r="G481" s="209">
        <f>SUM(ElectricSafety3624027849[Change Orders])</f>
        <v>0</v>
      </c>
      <c r="H481" s="209">
        <f>SUM(ElectricSafety3624027849[Revised Contract])</f>
        <v>0</v>
      </c>
      <c r="I481" s="209">
        <f>SUM(ElectricSafety3624027849[Total completed and Stored])</f>
        <v>0</v>
      </c>
      <c r="J481" s="209">
        <f>SUM(ElectricSafety3624027849[Delta])</f>
        <v>0</v>
      </c>
      <c r="K481" s="221"/>
      <c r="L481" s="184"/>
      <c r="M481" s="184"/>
    </row>
    <row r="482" spans="1:26" x14ac:dyDescent="0.35">
      <c r="A482" s="164" t="s">
        <v>157</v>
      </c>
      <c r="B482" s="164" t="s">
        <v>158</v>
      </c>
      <c r="C482" s="164" t="s">
        <v>242</v>
      </c>
      <c r="D482" s="164" t="s">
        <v>243</v>
      </c>
      <c r="E482" s="164" t="s">
        <v>244</v>
      </c>
      <c r="F482" s="198" t="s">
        <v>245</v>
      </c>
      <c r="G482" s="198" t="s">
        <v>246</v>
      </c>
      <c r="H482" s="198" t="s">
        <v>247</v>
      </c>
      <c r="I482" s="211" t="s">
        <v>250</v>
      </c>
      <c r="J482" s="222" t="s">
        <v>249</v>
      </c>
      <c r="K482" s="218"/>
      <c r="L482" s="216"/>
      <c r="M482" s="184"/>
      <c r="T482" s="165"/>
      <c r="U482" s="165"/>
      <c r="Y482" s="166"/>
      <c r="Z482" s="166"/>
    </row>
    <row r="483" spans="1:26" x14ac:dyDescent="0.35">
      <c r="A483" s="201"/>
      <c r="B483" s="202"/>
      <c r="C483" s="202"/>
      <c r="D483" s="203" t="s">
        <v>679</v>
      </c>
      <c r="E483" s="443">
        <v>0</v>
      </c>
      <c r="F483" s="443">
        <v>0</v>
      </c>
      <c r="G483" s="443">
        <v>0</v>
      </c>
      <c r="H483" s="204">
        <f>IF(ABS(Misc3724127950[[#This Row],[Actual Buyout]])+ABS(Misc3724127950[[#This Row],[Change Orders]])=0,Misc3724127950[[#This Row],[Original Contract]],Misc3724127950[[#This Row],[Actual Buyout]]+Misc3724127950[[#This Row],[Change Orders]])</f>
        <v>0</v>
      </c>
      <c r="I483" s="443">
        <v>0</v>
      </c>
      <c r="J483" s="213">
        <f>Misc3724127950[[#This Row],[Original Contract]]-Misc3724127950[[#This Row],[Revised Contract]]</f>
        <v>0</v>
      </c>
      <c r="K483" s="218"/>
      <c r="L483" s="217"/>
      <c r="M483" s="184"/>
      <c r="T483" s="165"/>
      <c r="U483" s="165"/>
      <c r="Y483" s="166"/>
      <c r="Z483" s="166"/>
    </row>
    <row r="484" spans="1:26" x14ac:dyDescent="0.35">
      <c r="A484" s="201"/>
      <c r="B484" s="202"/>
      <c r="C484" s="202"/>
      <c r="D484" s="203" t="s">
        <v>680</v>
      </c>
      <c r="E484" s="443">
        <v>0</v>
      </c>
      <c r="F484" s="443">
        <v>0</v>
      </c>
      <c r="G484" s="443">
        <v>0</v>
      </c>
      <c r="H484" s="204">
        <f>IF(ABS(Misc3724127950[[#This Row],[Actual Buyout]])+ABS(Misc3724127950[[#This Row],[Change Orders]])=0,Misc3724127950[[#This Row],[Original Contract]],Misc3724127950[[#This Row],[Actual Buyout]]+Misc3724127950[[#This Row],[Change Orders]])</f>
        <v>0</v>
      </c>
      <c r="I484" s="443">
        <v>0</v>
      </c>
      <c r="J484" s="213">
        <f>Misc3724127950[[#This Row],[Original Contract]]-Misc3724127950[[#This Row],[Revised Contract]]</f>
        <v>0</v>
      </c>
      <c r="K484" s="218"/>
      <c r="L484" s="217"/>
      <c r="M484" s="184"/>
      <c r="T484" s="165"/>
      <c r="U484" s="165"/>
      <c r="Y484" s="166"/>
      <c r="Z484" s="166"/>
    </row>
    <row r="485" spans="1:26" x14ac:dyDescent="0.35">
      <c r="A485" s="201"/>
      <c r="B485" s="202"/>
      <c r="C485" s="202"/>
      <c r="D485" s="203" t="s">
        <v>681</v>
      </c>
      <c r="E485" s="443">
        <v>0</v>
      </c>
      <c r="F485" s="443">
        <v>0</v>
      </c>
      <c r="G485" s="443">
        <v>0</v>
      </c>
      <c r="H485" s="204">
        <f>IF(ABS(Misc3724127950[[#This Row],[Actual Buyout]])+ABS(Misc3724127950[[#This Row],[Change Orders]])=0,Misc3724127950[[#This Row],[Original Contract]],Misc3724127950[[#This Row],[Actual Buyout]]+Misc3724127950[[#This Row],[Change Orders]])</f>
        <v>0</v>
      </c>
      <c r="I485" s="443">
        <v>0</v>
      </c>
      <c r="J485" s="213">
        <f>Misc3724127950[[#This Row],[Original Contract]]-Misc3724127950[[#This Row],[Revised Contract]]</f>
        <v>0</v>
      </c>
      <c r="K485" s="218"/>
      <c r="L485" s="217"/>
      <c r="M485" s="184"/>
      <c r="T485" s="165"/>
      <c r="U485" s="165"/>
      <c r="Y485" s="166"/>
      <c r="Z485" s="166"/>
    </row>
    <row r="486" spans="1:26" x14ac:dyDescent="0.35">
      <c r="A486" s="201"/>
      <c r="B486" s="202"/>
      <c r="C486" s="202"/>
      <c r="D486" s="203" t="s">
        <v>682</v>
      </c>
      <c r="E486" s="443">
        <v>0</v>
      </c>
      <c r="F486" s="443">
        <v>0</v>
      </c>
      <c r="G486" s="443">
        <v>0</v>
      </c>
      <c r="H486" s="204">
        <f>IF(ABS(Misc3724127950[[#This Row],[Actual Buyout]])+ABS(Misc3724127950[[#This Row],[Change Orders]])=0,Misc3724127950[[#This Row],[Original Contract]],Misc3724127950[[#This Row],[Actual Buyout]]+Misc3724127950[[#This Row],[Change Orders]])</f>
        <v>0</v>
      </c>
      <c r="I486" s="443">
        <v>0</v>
      </c>
      <c r="J486" s="213">
        <f>Misc3724127950[[#This Row],[Original Contract]]-Misc3724127950[[#This Row],[Revised Contract]]</f>
        <v>0</v>
      </c>
      <c r="K486" s="218"/>
      <c r="L486" s="217"/>
      <c r="M486" s="184"/>
      <c r="T486" s="165"/>
      <c r="U486" s="165"/>
      <c r="Y486" s="166"/>
      <c r="Z486" s="166"/>
    </row>
    <row r="487" spans="1:26" x14ac:dyDescent="0.35">
      <c r="A487" s="201"/>
      <c r="B487" s="202"/>
      <c r="C487" s="202"/>
      <c r="D487" s="580" t="s">
        <v>258</v>
      </c>
      <c r="E487" s="443">
        <v>0</v>
      </c>
      <c r="F487" s="443">
        <v>0</v>
      </c>
      <c r="G487" s="443">
        <v>0</v>
      </c>
      <c r="H487" s="204">
        <f>IF(ABS(Misc3724127950[[#This Row],[Actual Buyout]])+ABS(Misc3724127950[[#This Row],[Change Orders]])=0,Misc3724127950[[#This Row],[Original Contract]],Misc3724127950[[#This Row],[Actual Buyout]]+Misc3724127950[[#This Row],[Change Orders]])</f>
        <v>0</v>
      </c>
      <c r="I487" s="443">
        <v>0</v>
      </c>
      <c r="J487" s="213">
        <f>Misc3724127950[[#This Row],[Original Contract]]-Misc3724127950[[#This Row],[Revised Contract]]</f>
        <v>0</v>
      </c>
      <c r="K487" s="218"/>
      <c r="L487" s="217"/>
      <c r="M487" s="184"/>
      <c r="T487" s="165"/>
      <c r="U487" s="165"/>
      <c r="Y487" s="166"/>
      <c r="Z487" s="166"/>
    </row>
    <row r="488" spans="1:26" x14ac:dyDescent="0.35">
      <c r="A488" s="219"/>
      <c r="B488" s="220"/>
      <c r="C488" s="220"/>
      <c r="D488" s="208" t="s">
        <v>259</v>
      </c>
      <c r="E488" s="209">
        <f>SUM(Misc3724127950[Original Contract])</f>
        <v>0</v>
      </c>
      <c r="F488" s="209">
        <f>SUM(Misc3724127950[Actual Buyout])</f>
        <v>0</v>
      </c>
      <c r="G488" s="209">
        <f>SUM(Misc3724127950[Change Orders])</f>
        <v>0</v>
      </c>
      <c r="H488" s="209">
        <f>SUM(Misc3724127950[Revised Contract])</f>
        <v>0</v>
      </c>
      <c r="I488" s="209">
        <f>SUM(Misc3724127950[Total completed and Stored])</f>
        <v>0</v>
      </c>
      <c r="J488" s="209">
        <f>SUM(Misc3724127950[Delta])</f>
        <v>0</v>
      </c>
      <c r="K488" s="221"/>
      <c r="L488" s="184"/>
      <c r="M488" s="184"/>
    </row>
    <row r="489" spans="1:26" x14ac:dyDescent="0.35">
      <c r="A489" s="164" t="s">
        <v>157</v>
      </c>
      <c r="B489" s="164" t="s">
        <v>162</v>
      </c>
      <c r="C489" s="164" t="s">
        <v>242</v>
      </c>
      <c r="D489" s="164" t="s">
        <v>243</v>
      </c>
      <c r="E489" s="164" t="s">
        <v>244</v>
      </c>
      <c r="F489" s="198" t="s">
        <v>245</v>
      </c>
      <c r="G489" s="198" t="s">
        <v>246</v>
      </c>
      <c r="H489" s="198" t="s">
        <v>247</v>
      </c>
      <c r="I489" s="211" t="s">
        <v>250</v>
      </c>
      <c r="J489" s="222" t="s">
        <v>249</v>
      </c>
      <c r="K489" s="218"/>
      <c r="L489" s="216"/>
      <c r="M489" s="184"/>
      <c r="T489" s="165"/>
      <c r="U489" s="165"/>
      <c r="Y489" s="166"/>
      <c r="Z489" s="166"/>
    </row>
    <row r="490" spans="1:26" x14ac:dyDescent="0.35">
      <c r="A490" s="201"/>
      <c r="B490" s="226"/>
      <c r="C490" s="202"/>
      <c r="D490" s="578" t="s">
        <v>683</v>
      </c>
      <c r="E490" s="443">
        <v>0</v>
      </c>
      <c r="F490" s="443">
        <v>0</v>
      </c>
      <c r="G490" s="443">
        <v>0</v>
      </c>
      <c r="H490" s="204">
        <f>IF(ABS(TenantAllow3824228051[[#This Row],[Actual Buyout]])+ABS(TenantAllow3824228051[[#This Row],[Change Orders]])=0,TenantAllow3824228051[[#This Row],[Original Contract]],TenantAllow3824228051[[#This Row],[Actual Buyout]]+TenantAllow3824228051[[#This Row],[Change Orders]])</f>
        <v>0</v>
      </c>
      <c r="I490" s="443">
        <v>0</v>
      </c>
      <c r="J490" s="213">
        <f>TenantAllow3824228051[[#This Row],[Original Contract]]-TenantAllow3824228051[[#This Row],[Revised Contract]]</f>
        <v>0</v>
      </c>
      <c r="K490" s="218"/>
      <c r="L490" s="217"/>
      <c r="M490" s="184"/>
      <c r="T490" s="165"/>
      <c r="U490" s="165"/>
      <c r="Y490" s="166"/>
      <c r="Z490" s="166"/>
    </row>
    <row r="491" spans="1:26" x14ac:dyDescent="0.35">
      <c r="A491" s="201"/>
      <c r="B491" s="226"/>
      <c r="C491" s="202"/>
      <c r="D491" s="227" t="s">
        <v>684</v>
      </c>
      <c r="E491" s="443">
        <v>0</v>
      </c>
      <c r="F491" s="443">
        <v>0</v>
      </c>
      <c r="G491" s="443">
        <v>0</v>
      </c>
      <c r="H491" s="204">
        <f>IF(ABS(TenantAllow3824228051[[#This Row],[Actual Buyout]])+ABS(TenantAllow3824228051[[#This Row],[Change Orders]])=0,TenantAllow3824228051[[#This Row],[Original Contract]],TenantAllow3824228051[[#This Row],[Actual Buyout]]+TenantAllow3824228051[[#This Row],[Change Orders]])</f>
        <v>0</v>
      </c>
      <c r="I491" s="443">
        <v>0</v>
      </c>
      <c r="J491" s="213">
        <f>TenantAllow3824228051[[#This Row],[Original Contract]]-TenantAllow3824228051[[#This Row],[Revised Contract]]</f>
        <v>0</v>
      </c>
      <c r="K491" s="218"/>
      <c r="L491" s="217"/>
      <c r="M491" s="184"/>
      <c r="T491" s="165"/>
      <c r="U491" s="165"/>
      <c r="Y491" s="166"/>
      <c r="Z491" s="166"/>
    </row>
    <row r="492" spans="1:26" x14ac:dyDescent="0.35">
      <c r="A492" s="201"/>
      <c r="B492" s="226"/>
      <c r="C492" s="202"/>
      <c r="D492" s="227" t="s">
        <v>685</v>
      </c>
      <c r="E492" s="443">
        <v>0</v>
      </c>
      <c r="F492" s="443">
        <v>0</v>
      </c>
      <c r="G492" s="443">
        <v>0</v>
      </c>
      <c r="H492" s="204">
        <f>IF(ABS(TenantAllow3824228051[[#This Row],[Actual Buyout]])+ABS(TenantAllow3824228051[[#This Row],[Change Orders]])=0,TenantAllow3824228051[[#This Row],[Original Contract]],TenantAllow3824228051[[#This Row],[Actual Buyout]]+TenantAllow3824228051[[#This Row],[Change Orders]])</f>
        <v>0</v>
      </c>
      <c r="I492" s="443">
        <v>0</v>
      </c>
      <c r="J492" s="213">
        <f>TenantAllow3824228051[[#This Row],[Original Contract]]-TenantAllow3824228051[[#This Row],[Revised Contract]]</f>
        <v>0</v>
      </c>
      <c r="K492" s="218"/>
      <c r="L492" s="217"/>
      <c r="M492" s="184"/>
      <c r="T492" s="165"/>
      <c r="U492" s="165"/>
      <c r="Y492" s="166"/>
      <c r="Z492" s="166"/>
    </row>
    <row r="493" spans="1:26" x14ac:dyDescent="0.35">
      <c r="A493" s="201"/>
      <c r="B493" s="226"/>
      <c r="C493" s="202"/>
      <c r="D493" s="227" t="s">
        <v>686</v>
      </c>
      <c r="E493" s="443">
        <v>0</v>
      </c>
      <c r="F493" s="443">
        <v>0</v>
      </c>
      <c r="G493" s="443">
        <v>0</v>
      </c>
      <c r="H493" s="204">
        <f>IF(ABS(TenantAllow3824228051[[#This Row],[Actual Buyout]])+ABS(TenantAllow3824228051[[#This Row],[Change Orders]])=0,TenantAllow3824228051[[#This Row],[Original Contract]],TenantAllow3824228051[[#This Row],[Actual Buyout]]+TenantAllow3824228051[[#This Row],[Change Orders]])</f>
        <v>0</v>
      </c>
      <c r="I493" s="443">
        <v>0</v>
      </c>
      <c r="J493" s="213">
        <f>TenantAllow3824228051[[#This Row],[Original Contract]]-TenantAllow3824228051[[#This Row],[Revised Contract]]</f>
        <v>0</v>
      </c>
      <c r="K493" s="218"/>
      <c r="L493" s="217"/>
      <c r="M493" s="184"/>
      <c r="T493" s="165"/>
      <c r="U493" s="165"/>
      <c r="Y493" s="166"/>
      <c r="Z493" s="166"/>
    </row>
    <row r="494" spans="1:26" x14ac:dyDescent="0.35">
      <c r="A494" s="201"/>
      <c r="B494" s="202"/>
      <c r="C494" s="202"/>
      <c r="D494" s="203" t="s">
        <v>687</v>
      </c>
      <c r="E494" s="443">
        <v>0</v>
      </c>
      <c r="F494" s="443">
        <v>0</v>
      </c>
      <c r="G494" s="443">
        <v>0</v>
      </c>
      <c r="H494" s="204">
        <f>IF(ABS(TenantAllow3824228051[[#This Row],[Actual Buyout]])+ABS(TenantAllow3824228051[[#This Row],[Change Orders]])=0,TenantAllow3824228051[[#This Row],[Original Contract]],TenantAllow3824228051[[#This Row],[Actual Buyout]]+TenantAllow3824228051[[#This Row],[Change Orders]])</f>
        <v>0</v>
      </c>
      <c r="I494" s="443">
        <v>0</v>
      </c>
      <c r="J494" s="213">
        <f>TenantAllow3824228051[[#This Row],[Original Contract]]-TenantAllow3824228051[[#This Row],[Revised Contract]]</f>
        <v>0</v>
      </c>
      <c r="K494" s="218"/>
      <c r="L494" s="217"/>
      <c r="M494" s="184"/>
      <c r="T494" s="165"/>
      <c r="U494" s="165"/>
      <c r="Y494" s="166"/>
      <c r="Z494" s="166"/>
    </row>
    <row r="495" spans="1:26" x14ac:dyDescent="0.35">
      <c r="A495" s="201"/>
      <c r="B495" s="202"/>
      <c r="C495" s="202"/>
      <c r="D495" s="203" t="s">
        <v>688</v>
      </c>
      <c r="E495" s="443">
        <v>0</v>
      </c>
      <c r="F495" s="443">
        <v>0</v>
      </c>
      <c r="G495" s="443">
        <v>0</v>
      </c>
      <c r="H495" s="204">
        <f>IF(ABS(TenantAllow3824228051[[#This Row],[Actual Buyout]])+ABS(TenantAllow3824228051[[#This Row],[Change Orders]])=0,TenantAllow3824228051[[#This Row],[Original Contract]],TenantAllow3824228051[[#This Row],[Actual Buyout]]+TenantAllow3824228051[[#This Row],[Change Orders]])</f>
        <v>0</v>
      </c>
      <c r="I495" s="443">
        <v>0</v>
      </c>
      <c r="J495" s="213">
        <f>TenantAllow3824228051[[#This Row],[Original Contract]]-TenantAllow3824228051[[#This Row],[Revised Contract]]</f>
        <v>0</v>
      </c>
      <c r="K495" s="218"/>
      <c r="L495" s="217"/>
      <c r="M495" s="184"/>
      <c r="T495" s="165"/>
      <c r="U495" s="165"/>
      <c r="Y495" s="166"/>
      <c r="Z495" s="166"/>
    </row>
    <row r="496" spans="1:26" x14ac:dyDescent="0.35">
      <c r="A496" s="201"/>
      <c r="B496" s="202"/>
      <c r="C496" s="202"/>
      <c r="D496" s="203" t="s">
        <v>689</v>
      </c>
      <c r="E496" s="443">
        <v>0</v>
      </c>
      <c r="F496" s="443">
        <v>0</v>
      </c>
      <c r="G496" s="443">
        <v>0</v>
      </c>
      <c r="H496" s="204">
        <f>IF(ABS(TenantAllow3824228051[[#This Row],[Actual Buyout]])+ABS(TenantAllow3824228051[[#This Row],[Change Orders]])=0,TenantAllow3824228051[[#This Row],[Original Contract]],TenantAllow3824228051[[#This Row],[Actual Buyout]]+TenantAllow3824228051[[#This Row],[Change Orders]])</f>
        <v>0</v>
      </c>
      <c r="I496" s="443">
        <v>0</v>
      </c>
      <c r="J496" s="213">
        <f>TenantAllow3824228051[[#This Row],[Original Contract]]-TenantAllow3824228051[[#This Row],[Revised Contract]]</f>
        <v>0</v>
      </c>
      <c r="K496" s="218"/>
      <c r="L496" s="217"/>
      <c r="M496" s="184"/>
      <c r="T496" s="165"/>
      <c r="U496" s="165"/>
      <c r="Y496" s="166"/>
      <c r="Z496" s="166"/>
    </row>
    <row r="497" spans="1:26" x14ac:dyDescent="0.35">
      <c r="A497" s="201"/>
      <c r="B497" s="202"/>
      <c r="C497" s="202"/>
      <c r="D497" s="203" t="s">
        <v>690</v>
      </c>
      <c r="E497" s="443">
        <v>0</v>
      </c>
      <c r="F497" s="443">
        <v>0</v>
      </c>
      <c r="G497" s="443">
        <v>0</v>
      </c>
      <c r="H497" s="204">
        <f>IF(ABS(TenantAllow3824228051[[#This Row],[Actual Buyout]])+ABS(TenantAllow3824228051[[#This Row],[Change Orders]])=0,TenantAllow3824228051[[#This Row],[Original Contract]],TenantAllow3824228051[[#This Row],[Actual Buyout]]+TenantAllow3824228051[[#This Row],[Change Orders]])</f>
        <v>0</v>
      </c>
      <c r="I497" s="443">
        <v>0</v>
      </c>
      <c r="J497" s="213">
        <f>TenantAllow3824228051[[#This Row],[Original Contract]]-TenantAllow3824228051[[#This Row],[Revised Contract]]</f>
        <v>0</v>
      </c>
      <c r="K497" s="218"/>
      <c r="L497" s="217"/>
      <c r="M497" s="184"/>
      <c r="T497" s="165"/>
      <c r="U497" s="165"/>
      <c r="Y497" s="166"/>
      <c r="Z497" s="166"/>
    </row>
    <row r="498" spans="1:26" x14ac:dyDescent="0.35">
      <c r="A498" s="201"/>
      <c r="B498" s="202"/>
      <c r="C498" s="202"/>
      <c r="D498" s="580" t="s">
        <v>258</v>
      </c>
      <c r="E498" s="443">
        <v>0</v>
      </c>
      <c r="F498" s="443">
        <v>0</v>
      </c>
      <c r="G498" s="443">
        <v>0</v>
      </c>
      <c r="H498" s="204">
        <f>IF(ABS(TenantAllow3824228051[[#This Row],[Actual Buyout]])+ABS(TenantAllow3824228051[[#This Row],[Change Orders]])=0,TenantAllow3824228051[[#This Row],[Original Contract]],TenantAllow3824228051[[#This Row],[Actual Buyout]]+TenantAllow3824228051[[#This Row],[Change Orders]])</f>
        <v>0</v>
      </c>
      <c r="I498" s="443">
        <v>0</v>
      </c>
      <c r="J498" s="213">
        <f>TenantAllow3824228051[[#This Row],[Original Contract]]-TenantAllow3824228051[[#This Row],[Revised Contract]]</f>
        <v>0</v>
      </c>
      <c r="K498" s="218"/>
      <c r="L498" s="217"/>
      <c r="M498" s="184"/>
      <c r="T498" s="165"/>
      <c r="U498" s="165"/>
      <c r="Y498" s="166"/>
      <c r="Z498" s="166"/>
    </row>
    <row r="499" spans="1:26" x14ac:dyDescent="0.35">
      <c r="A499" s="219"/>
      <c r="B499" s="220"/>
      <c r="C499" s="220"/>
      <c r="D499" s="208" t="s">
        <v>259</v>
      </c>
      <c r="E499" s="209">
        <f>SUM(TenantAllow3824228051[Original Contract])</f>
        <v>0</v>
      </c>
      <c r="F499" s="209">
        <f>SUM(TenantAllow3824228051[Actual Buyout])</f>
        <v>0</v>
      </c>
      <c r="G499" s="209">
        <f>SUM(TenantAllow3824228051[Change Orders])</f>
        <v>0</v>
      </c>
      <c r="H499" s="209">
        <f>SUM(TenantAllow3824228051[Revised Contract])</f>
        <v>0</v>
      </c>
      <c r="I499" s="209">
        <f>SUM(TenantAllow3824228051[Total completed and Stored])</f>
        <v>0</v>
      </c>
      <c r="J499" s="209">
        <f>SUM(TenantAllow3824228051[Delta])</f>
        <v>0</v>
      </c>
      <c r="K499" s="221"/>
      <c r="L499" s="184"/>
      <c r="M499" s="184"/>
    </row>
    <row r="500" spans="1:26" x14ac:dyDescent="0.35">
      <c r="A500" s="164" t="s">
        <v>157</v>
      </c>
      <c r="B500" s="164" t="s">
        <v>159</v>
      </c>
      <c r="C500" s="164" t="s">
        <v>242</v>
      </c>
      <c r="D500" s="164" t="s">
        <v>243</v>
      </c>
      <c r="E500" s="164" t="s">
        <v>244</v>
      </c>
      <c r="F500" s="198" t="s">
        <v>245</v>
      </c>
      <c r="G500" s="198" t="s">
        <v>246</v>
      </c>
      <c r="H500" s="198" t="s">
        <v>247</v>
      </c>
      <c r="I500" s="211" t="s">
        <v>250</v>
      </c>
      <c r="J500" s="222" t="s">
        <v>249</v>
      </c>
      <c r="K500" s="218"/>
      <c r="L500" s="216"/>
      <c r="M500" s="184"/>
      <c r="T500" s="165"/>
      <c r="U500" s="165"/>
      <c r="Y500" s="166"/>
      <c r="Z500" s="166"/>
    </row>
    <row r="501" spans="1:26" x14ac:dyDescent="0.35">
      <c r="A501" s="201"/>
      <c r="B501" s="228"/>
      <c r="C501" s="202"/>
      <c r="D501" s="229" t="s">
        <v>691</v>
      </c>
      <c r="E501" s="443">
        <v>0</v>
      </c>
      <c r="F501" s="443">
        <v>0</v>
      </c>
      <c r="G501" s="443">
        <v>0</v>
      </c>
      <c r="H501" s="204">
        <f>IF(ABS(GCGenCon3924328152[[#This Row],[Actual Buyout]])+ABS(GCGenCon3924328152[[#This Row],[Change Orders]])=0,GCGenCon3924328152[[#This Row],[Original Contract]],GCGenCon3924328152[[#This Row],[Actual Buyout]]+GCGenCon3924328152[[#This Row],[Change Orders]])</f>
        <v>0</v>
      </c>
      <c r="I501" s="443">
        <v>0</v>
      </c>
      <c r="J501" s="213">
        <f>GCGenCon3924328152[[#This Row],[Original Contract]]-GCGenCon3924328152[[#This Row],[Revised Contract]]</f>
        <v>0</v>
      </c>
      <c r="K501" s="218"/>
      <c r="L501" s="217"/>
      <c r="M501" s="184"/>
      <c r="T501" s="165"/>
      <c r="U501" s="165"/>
      <c r="Y501" s="166"/>
      <c r="Z501" s="166"/>
    </row>
    <row r="502" spans="1:26" x14ac:dyDescent="0.35">
      <c r="A502" s="201"/>
      <c r="B502" s="202"/>
      <c r="C502" s="202"/>
      <c r="D502" s="203" t="s">
        <v>692</v>
      </c>
      <c r="E502" s="443">
        <v>0</v>
      </c>
      <c r="F502" s="443">
        <v>0</v>
      </c>
      <c r="G502" s="443">
        <v>0</v>
      </c>
      <c r="H502" s="204">
        <f>IF(ABS(GCGenCon3924328152[[#This Row],[Actual Buyout]])+ABS(GCGenCon3924328152[[#This Row],[Change Orders]])=0,GCGenCon3924328152[[#This Row],[Original Contract]],GCGenCon3924328152[[#This Row],[Actual Buyout]]+GCGenCon3924328152[[#This Row],[Change Orders]])</f>
        <v>0</v>
      </c>
      <c r="I502" s="443">
        <v>0</v>
      </c>
      <c r="J502" s="213">
        <f>GCGenCon3924328152[[#This Row],[Original Contract]]-GCGenCon3924328152[[#This Row],[Revised Contract]]</f>
        <v>0</v>
      </c>
      <c r="K502" s="218"/>
      <c r="L502" s="217"/>
      <c r="M502" s="184"/>
      <c r="T502" s="165"/>
      <c r="U502" s="165"/>
      <c r="Y502" s="166"/>
      <c r="Z502" s="166"/>
    </row>
    <row r="503" spans="1:26" x14ac:dyDescent="0.35">
      <c r="A503" s="201"/>
      <c r="B503" s="228"/>
      <c r="C503" s="202"/>
      <c r="D503" s="229" t="s">
        <v>693</v>
      </c>
      <c r="E503" s="443">
        <v>0</v>
      </c>
      <c r="F503" s="443">
        <v>0</v>
      </c>
      <c r="G503" s="443">
        <v>0</v>
      </c>
      <c r="H503" s="204">
        <f>IF(ABS(GCGenCon3924328152[[#This Row],[Actual Buyout]])+ABS(GCGenCon3924328152[[#This Row],[Change Orders]])=0,GCGenCon3924328152[[#This Row],[Original Contract]],GCGenCon3924328152[[#This Row],[Actual Buyout]]+GCGenCon3924328152[[#This Row],[Change Orders]])</f>
        <v>0</v>
      </c>
      <c r="I503" s="443">
        <v>0</v>
      </c>
      <c r="J503" s="213">
        <f>GCGenCon3924328152[[#This Row],[Original Contract]]-GCGenCon3924328152[[#This Row],[Revised Contract]]</f>
        <v>0</v>
      </c>
      <c r="K503" s="218"/>
      <c r="L503" s="217"/>
      <c r="M503" s="184"/>
      <c r="T503" s="165"/>
      <c r="U503" s="165"/>
      <c r="Y503" s="166"/>
      <c r="Z503" s="166"/>
    </row>
    <row r="504" spans="1:26" x14ac:dyDescent="0.35">
      <c r="A504" s="201"/>
      <c r="B504" s="202"/>
      <c r="C504" s="202"/>
      <c r="D504" s="203" t="s">
        <v>694</v>
      </c>
      <c r="E504" s="443">
        <v>0</v>
      </c>
      <c r="F504" s="443">
        <v>0</v>
      </c>
      <c r="G504" s="443">
        <v>0</v>
      </c>
      <c r="H504" s="204">
        <f>IF(ABS(GCGenCon3924328152[[#This Row],[Actual Buyout]])+ABS(GCGenCon3924328152[[#This Row],[Change Orders]])=0,GCGenCon3924328152[[#This Row],[Original Contract]],GCGenCon3924328152[[#This Row],[Actual Buyout]]+GCGenCon3924328152[[#This Row],[Change Orders]])</f>
        <v>0</v>
      </c>
      <c r="I504" s="443">
        <v>0</v>
      </c>
      <c r="J504" s="213">
        <f>GCGenCon3924328152[[#This Row],[Original Contract]]-GCGenCon3924328152[[#This Row],[Revised Contract]]</f>
        <v>0</v>
      </c>
      <c r="K504" s="218"/>
      <c r="L504" s="217"/>
      <c r="M504" s="184"/>
      <c r="T504" s="165"/>
      <c r="U504" s="165"/>
      <c r="Y504" s="166"/>
      <c r="Z504" s="166"/>
    </row>
    <row r="505" spans="1:26" x14ac:dyDescent="0.35">
      <c r="A505" s="201"/>
      <c r="B505" s="228"/>
      <c r="C505" s="202"/>
      <c r="D505" s="229" t="s">
        <v>695</v>
      </c>
      <c r="E505" s="443">
        <v>0</v>
      </c>
      <c r="F505" s="443">
        <v>0</v>
      </c>
      <c r="G505" s="443">
        <v>0</v>
      </c>
      <c r="H505" s="204">
        <f>IF(ABS(GCGenCon3924328152[[#This Row],[Actual Buyout]])+ABS(GCGenCon3924328152[[#This Row],[Change Orders]])=0,GCGenCon3924328152[[#This Row],[Original Contract]],GCGenCon3924328152[[#This Row],[Actual Buyout]]+GCGenCon3924328152[[#This Row],[Change Orders]])</f>
        <v>0</v>
      </c>
      <c r="I505" s="443">
        <v>0</v>
      </c>
      <c r="J505" s="213">
        <f>GCGenCon3924328152[[#This Row],[Original Contract]]-GCGenCon3924328152[[#This Row],[Revised Contract]]</f>
        <v>0</v>
      </c>
      <c r="K505" s="218"/>
      <c r="L505" s="217"/>
      <c r="M505" s="184"/>
      <c r="T505" s="165"/>
      <c r="U505" s="165"/>
      <c r="Y505" s="166"/>
      <c r="Z505" s="166"/>
    </row>
    <row r="506" spans="1:26" x14ac:dyDescent="0.35">
      <c r="A506" s="201"/>
      <c r="B506" s="202"/>
      <c r="C506" s="202"/>
      <c r="D506" s="203" t="s">
        <v>696</v>
      </c>
      <c r="E506" s="443">
        <v>0</v>
      </c>
      <c r="F506" s="443">
        <v>0</v>
      </c>
      <c r="G506" s="443">
        <v>0</v>
      </c>
      <c r="H506" s="204">
        <f>IF(ABS(GCGenCon3924328152[[#This Row],[Actual Buyout]])+ABS(GCGenCon3924328152[[#This Row],[Change Orders]])=0,GCGenCon3924328152[[#This Row],[Original Contract]],GCGenCon3924328152[[#This Row],[Actual Buyout]]+GCGenCon3924328152[[#This Row],[Change Orders]])</f>
        <v>0</v>
      </c>
      <c r="I506" s="443">
        <v>0</v>
      </c>
      <c r="J506" s="213">
        <f>GCGenCon3924328152[[#This Row],[Original Contract]]-GCGenCon3924328152[[#This Row],[Revised Contract]]</f>
        <v>0</v>
      </c>
      <c r="K506" s="218"/>
      <c r="L506" s="217"/>
      <c r="M506" s="184"/>
      <c r="T506" s="165"/>
      <c r="U506" s="165"/>
      <c r="Y506" s="166"/>
      <c r="Z506" s="166"/>
    </row>
    <row r="507" spans="1:26" x14ac:dyDescent="0.35">
      <c r="A507" s="201"/>
      <c r="B507" s="202"/>
      <c r="C507" s="202"/>
      <c r="D507" s="203" t="s">
        <v>697</v>
      </c>
      <c r="E507" s="443">
        <v>0</v>
      </c>
      <c r="F507" s="443">
        <v>0</v>
      </c>
      <c r="G507" s="443">
        <v>0</v>
      </c>
      <c r="H507" s="204">
        <f>IF(ABS(GCGenCon3924328152[[#This Row],[Actual Buyout]])+ABS(GCGenCon3924328152[[#This Row],[Change Orders]])=0,GCGenCon3924328152[[#This Row],[Original Contract]],GCGenCon3924328152[[#This Row],[Actual Buyout]]+GCGenCon3924328152[[#This Row],[Change Orders]])</f>
        <v>0</v>
      </c>
      <c r="I507" s="443">
        <v>0</v>
      </c>
      <c r="J507" s="213">
        <f>GCGenCon3924328152[[#This Row],[Original Contract]]-GCGenCon3924328152[[#This Row],[Revised Contract]]</f>
        <v>0</v>
      </c>
      <c r="K507" s="218"/>
      <c r="L507" s="217"/>
      <c r="M507" s="184"/>
      <c r="T507" s="165"/>
      <c r="U507" s="165"/>
      <c r="Y507" s="166"/>
      <c r="Z507" s="166"/>
    </row>
    <row r="508" spans="1:26" x14ac:dyDescent="0.35">
      <c r="A508" s="201"/>
      <c r="B508" s="202"/>
      <c r="C508" s="202"/>
      <c r="D508" s="203" t="s">
        <v>698</v>
      </c>
      <c r="E508" s="443">
        <v>0</v>
      </c>
      <c r="F508" s="443">
        <v>0</v>
      </c>
      <c r="G508" s="443">
        <v>0</v>
      </c>
      <c r="H508" s="204">
        <f>IF(ABS(GCGenCon3924328152[[#This Row],[Actual Buyout]])+ABS(GCGenCon3924328152[[#This Row],[Change Orders]])=0,GCGenCon3924328152[[#This Row],[Original Contract]],GCGenCon3924328152[[#This Row],[Actual Buyout]]+GCGenCon3924328152[[#This Row],[Change Orders]])</f>
        <v>0</v>
      </c>
      <c r="I508" s="443">
        <v>0</v>
      </c>
      <c r="J508" s="213">
        <f>GCGenCon3924328152[[#This Row],[Original Contract]]-GCGenCon3924328152[[#This Row],[Revised Contract]]</f>
        <v>0</v>
      </c>
      <c r="K508" s="218"/>
      <c r="L508" s="217"/>
      <c r="M508" s="184"/>
      <c r="T508" s="165"/>
      <c r="U508" s="165"/>
      <c r="Y508" s="166"/>
      <c r="Z508" s="166"/>
    </row>
    <row r="509" spans="1:26" x14ac:dyDescent="0.35">
      <c r="A509" s="201"/>
      <c r="B509" s="202"/>
      <c r="C509" s="202"/>
      <c r="D509" s="203" t="s">
        <v>699</v>
      </c>
      <c r="E509" s="443">
        <v>0</v>
      </c>
      <c r="F509" s="443">
        <v>0</v>
      </c>
      <c r="G509" s="443">
        <v>0</v>
      </c>
      <c r="H509" s="204">
        <f>IF(ABS(GCGenCon3924328152[[#This Row],[Actual Buyout]])+ABS(GCGenCon3924328152[[#This Row],[Change Orders]])=0,GCGenCon3924328152[[#This Row],[Original Contract]],GCGenCon3924328152[[#This Row],[Actual Buyout]]+GCGenCon3924328152[[#This Row],[Change Orders]])</f>
        <v>0</v>
      </c>
      <c r="I509" s="443">
        <v>0</v>
      </c>
      <c r="J509" s="213">
        <f>GCGenCon3924328152[[#This Row],[Original Contract]]-GCGenCon3924328152[[#This Row],[Revised Contract]]</f>
        <v>0</v>
      </c>
      <c r="K509" s="218"/>
      <c r="L509" s="217"/>
      <c r="M509" s="184"/>
      <c r="T509" s="165"/>
      <c r="U509" s="165"/>
      <c r="Y509" s="166"/>
      <c r="Z509" s="166"/>
    </row>
    <row r="510" spans="1:26" x14ac:dyDescent="0.35">
      <c r="A510" s="201"/>
      <c r="B510" s="202"/>
      <c r="C510" s="202"/>
      <c r="D510" s="580" t="s">
        <v>258</v>
      </c>
      <c r="E510" s="443">
        <v>0</v>
      </c>
      <c r="F510" s="443">
        <v>0</v>
      </c>
      <c r="G510" s="443">
        <v>0</v>
      </c>
      <c r="H510" s="204">
        <f>IF(ABS(GCGenCon3924328152[[#This Row],[Actual Buyout]])+ABS(GCGenCon3924328152[[#This Row],[Change Orders]])=0,GCGenCon3924328152[[#This Row],[Original Contract]],GCGenCon3924328152[[#This Row],[Actual Buyout]]+GCGenCon3924328152[[#This Row],[Change Orders]])</f>
        <v>0</v>
      </c>
      <c r="I510" s="443">
        <v>0</v>
      </c>
      <c r="J510" s="213">
        <f>GCGenCon3924328152[[#This Row],[Original Contract]]-GCGenCon3924328152[[#This Row],[Revised Contract]]</f>
        <v>0</v>
      </c>
      <c r="K510" s="218"/>
      <c r="L510" s="217"/>
      <c r="M510" s="184"/>
      <c r="T510" s="165"/>
      <c r="U510" s="165"/>
      <c r="Y510" s="166"/>
      <c r="Z510" s="166"/>
    </row>
    <row r="511" spans="1:26" x14ac:dyDescent="0.35">
      <c r="A511" s="201"/>
      <c r="B511" s="202"/>
      <c r="C511" s="202"/>
      <c r="D511" s="580" t="s">
        <v>258</v>
      </c>
      <c r="E511" s="443">
        <v>0</v>
      </c>
      <c r="F511" s="443">
        <v>0</v>
      </c>
      <c r="G511" s="443">
        <v>0</v>
      </c>
      <c r="H511" s="204">
        <f>IF(ABS(GCGenCon3924328152[[#This Row],[Actual Buyout]])+ABS(GCGenCon3924328152[[#This Row],[Change Orders]])=0,GCGenCon3924328152[[#This Row],[Original Contract]],GCGenCon3924328152[[#This Row],[Actual Buyout]]+GCGenCon3924328152[[#This Row],[Change Orders]])</f>
        <v>0</v>
      </c>
      <c r="I511" s="443">
        <v>0</v>
      </c>
      <c r="J511" s="213">
        <f>GCGenCon3924328152[[#This Row],[Original Contract]]-GCGenCon3924328152[[#This Row],[Revised Contract]]</f>
        <v>0</v>
      </c>
      <c r="K511" s="218"/>
      <c r="L511" s="217"/>
      <c r="M511" s="184"/>
      <c r="T511" s="165"/>
      <c r="U511" s="165"/>
      <c r="Y511" s="166"/>
      <c r="Z511" s="166"/>
    </row>
    <row r="512" spans="1:26" x14ac:dyDescent="0.35">
      <c r="A512" s="201"/>
      <c r="B512" s="202"/>
      <c r="C512" s="202"/>
      <c r="D512" s="580" t="s">
        <v>258</v>
      </c>
      <c r="E512" s="443">
        <v>0</v>
      </c>
      <c r="F512" s="443">
        <v>0</v>
      </c>
      <c r="G512" s="443">
        <v>0</v>
      </c>
      <c r="H512" s="204">
        <f>IF(ABS(GCGenCon3924328152[[#This Row],[Actual Buyout]])+ABS(GCGenCon3924328152[[#This Row],[Change Orders]])=0,GCGenCon3924328152[[#This Row],[Original Contract]],GCGenCon3924328152[[#This Row],[Actual Buyout]]+GCGenCon3924328152[[#This Row],[Change Orders]])</f>
        <v>0</v>
      </c>
      <c r="I512" s="443">
        <v>0</v>
      </c>
      <c r="J512" s="213">
        <f>GCGenCon3924328152[[#This Row],[Original Contract]]-GCGenCon3924328152[[#This Row],[Revised Contract]]</f>
        <v>0</v>
      </c>
      <c r="K512" s="218"/>
      <c r="L512" s="217"/>
      <c r="M512" s="184"/>
      <c r="T512" s="165"/>
      <c r="U512" s="165"/>
      <c r="Y512" s="166"/>
      <c r="Z512" s="166"/>
    </row>
    <row r="513" spans="1:13" ht="15" thickBot="1" x14ac:dyDescent="0.4">
      <c r="A513" s="206"/>
      <c r="B513" s="207"/>
      <c r="C513" s="207"/>
      <c r="D513" s="208" t="s">
        <v>259</v>
      </c>
      <c r="E513" s="209">
        <f>SUM(GCGenCon3924328152[Original Contract])</f>
        <v>0</v>
      </c>
      <c r="F513" s="209">
        <f>SUM(GCGenCon3924328152[Actual Buyout])</f>
        <v>0</v>
      </c>
      <c r="G513" s="209">
        <f>SUM(GCGenCon3924328152[Change Orders])</f>
        <v>0</v>
      </c>
      <c r="H513" s="209">
        <f>SUM(GCGenCon3924328152[Revised Contract])</f>
        <v>0</v>
      </c>
      <c r="I513" s="230">
        <f>SUM(GCGenCon3924328152[Total completed and Stored])</f>
        <v>0</v>
      </c>
      <c r="J513" s="209">
        <f>SUM(GCGenCon3924328152[Delta])</f>
        <v>0</v>
      </c>
      <c r="K513" s="221"/>
      <c r="L513" s="184"/>
      <c r="M513" s="184"/>
    </row>
    <row r="514" spans="1:13" ht="15" thickTop="1" x14ac:dyDescent="0.35">
      <c r="A514" s="231"/>
      <c r="B514" s="232"/>
      <c r="C514" s="232"/>
      <c r="D514" s="233"/>
      <c r="E514" s="234"/>
      <c r="F514" s="234"/>
      <c r="G514" s="234"/>
      <c r="H514" s="234"/>
      <c r="I514" s="184"/>
      <c r="J514" s="235"/>
      <c r="K514" s="221"/>
      <c r="L514" s="184"/>
    </row>
    <row r="515" spans="1:13" ht="15" thickBot="1" x14ac:dyDescent="0.4">
      <c r="A515" s="236"/>
      <c r="B515" s="237"/>
      <c r="C515" s="238"/>
      <c r="D515" s="239"/>
      <c r="E515" s="240"/>
      <c r="F515" s="240"/>
      <c r="G515" s="240"/>
      <c r="H515" s="240"/>
      <c r="I515" s="240"/>
      <c r="J515" s="241"/>
      <c r="K515" s="221"/>
      <c r="L515" s="184"/>
    </row>
    <row r="516" spans="1:13" ht="15.5" thickTop="1" thickBot="1" x14ac:dyDescent="0.4">
      <c r="A516" s="242"/>
      <c r="B516" s="237"/>
      <c r="C516" s="243"/>
      <c r="D516" s="244" t="s">
        <v>700</v>
      </c>
      <c r="E516" s="245">
        <f t="shared" ref="E516:J516" si="1">E513+E499+E488+E481+E467+E443+E429+E415+E398+E389+E380+E372+E356+E330+E316+E306+E294+E284+E274+E262+E249+E234+E223+E207+E185+E177+E158+E150+E141+E127+E117+E105+E93+E80+E71+E61+E48+E39</f>
        <v>0</v>
      </c>
      <c r="F516" s="245">
        <f t="shared" si="1"/>
        <v>0</v>
      </c>
      <c r="G516" s="245">
        <f t="shared" si="1"/>
        <v>0</v>
      </c>
      <c r="H516" s="245">
        <f t="shared" si="1"/>
        <v>0</v>
      </c>
      <c r="I516" s="245">
        <f t="shared" si="1"/>
        <v>0</v>
      </c>
      <c r="J516" s="246">
        <f t="shared" si="1"/>
        <v>0</v>
      </c>
    </row>
    <row r="517" spans="1:13" ht="15" thickTop="1" x14ac:dyDescent="0.35"/>
    <row r="520" spans="1:13" x14ac:dyDescent="0.35">
      <c r="I520" s="247" t="s">
        <v>701</v>
      </c>
    </row>
  </sheetData>
  <sheetProtection algorithmName="SHA-512" hashValue="cgAt0w+Wk90rPhVxTx1PnDhbkjZlfR+8bWLV/A5cD2ovxR7VlQpTmyyHQCK3/zHRuMpWpoBeUaC6aodt140N1w==" saltValue="g3OLJkP6pIOkhpzLcno5xg==" spinCount="100000" sheet="1" objects="1" scenarios="1"/>
  <mergeCells count="4">
    <mergeCell ref="E5:F5"/>
    <mergeCell ref="G5:H5"/>
    <mergeCell ref="G6:H6"/>
    <mergeCell ref="G7:H7"/>
  </mergeCells>
  <pageMargins left="0.7" right="0.7" top="0.75" bottom="0.75" header="0.3" footer="0.3"/>
  <pageSetup scale="46" fitToHeight="10" orientation="landscape" r:id="rId1"/>
  <drawing r:id="rId2"/>
  <legacyDrawing r:id="rId3"/>
  <tableParts count="38">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BCC3D-FEB4-41DA-AD59-91813E59EF62}">
  <sheetPr codeName="Sheet5"/>
  <dimension ref="A1:V70"/>
  <sheetViews>
    <sheetView topLeftCell="A13" zoomScaleNormal="100" workbookViewId="0">
      <selection activeCell="A26" sqref="A26:XFD26"/>
    </sheetView>
  </sheetViews>
  <sheetFormatPr defaultColWidth="10.81640625" defaultRowHeight="15.5" x14ac:dyDescent="0.35"/>
  <cols>
    <col min="1" max="1" width="2.453125" style="248" customWidth="1"/>
    <col min="2" max="2" width="10.81640625" style="248"/>
    <col min="3" max="4" width="20.54296875" style="248" customWidth="1"/>
    <col min="5" max="5" width="10.54296875" style="248" customWidth="1"/>
    <col min="6" max="6" width="27.54296875" style="248" customWidth="1"/>
    <col min="7" max="10" width="20.54296875" style="248" customWidth="1"/>
    <col min="11" max="11" width="11.453125" style="248" customWidth="1"/>
    <col min="12" max="15" width="20.54296875" style="248" customWidth="1"/>
    <col min="16" max="16" width="20.54296875" style="249" customWidth="1"/>
    <col min="17" max="17" width="10.54296875" style="248" customWidth="1"/>
    <col min="18" max="20" width="20.54296875" style="248" customWidth="1"/>
    <col min="21" max="21" width="53.453125" style="248" customWidth="1"/>
    <col min="22" max="16384" width="10.81640625" style="248"/>
  </cols>
  <sheetData>
    <row r="1" spans="2:16" x14ac:dyDescent="0.35">
      <c r="B1" s="35" t="s">
        <v>49</v>
      </c>
      <c r="C1" s="33"/>
      <c r="O1" s="164"/>
    </row>
    <row r="2" spans="2:16" x14ac:dyDescent="0.35">
      <c r="B2" s="34"/>
      <c r="C2" s="33"/>
      <c r="O2" s="164"/>
    </row>
    <row r="3" spans="2:16" x14ac:dyDescent="0.35">
      <c r="B3" s="35" t="s">
        <v>702</v>
      </c>
      <c r="C3" s="33"/>
      <c r="O3" s="164"/>
    </row>
    <row r="4" spans="2:16" ht="16" thickBot="1" x14ac:dyDescent="0.4">
      <c r="B4" s="34"/>
      <c r="C4" s="33"/>
      <c r="O4" s="164"/>
    </row>
    <row r="5" spans="2:16" ht="16" thickBot="1" x14ac:dyDescent="0.4">
      <c r="B5" s="42" t="s">
        <v>53</v>
      </c>
      <c r="C5" s="250">
        <f>'GMP-PO Breakdown'!C5</f>
        <v>0</v>
      </c>
      <c r="O5" s="164"/>
    </row>
    <row r="6" spans="2:16" ht="16" thickBot="1" x14ac:dyDescent="0.4">
      <c r="B6" s="165"/>
      <c r="C6" s="165"/>
      <c r="O6" s="164"/>
    </row>
    <row r="7" spans="2:16" x14ac:dyDescent="0.35">
      <c r="B7" s="171" t="s">
        <v>55</v>
      </c>
      <c r="C7" s="251">
        <f>'GMP-PO Breakdown'!C6</f>
        <v>0</v>
      </c>
      <c r="O7" s="164"/>
    </row>
    <row r="8" spans="2:16" x14ac:dyDescent="0.35">
      <c r="B8" s="44" t="s">
        <v>231</v>
      </c>
      <c r="C8" s="252">
        <f>'GMP-PO Breakdown'!C7</f>
        <v>0</v>
      </c>
      <c r="O8" s="164"/>
    </row>
    <row r="9" spans="2:16" x14ac:dyDescent="0.35">
      <c r="B9" s="44" t="s">
        <v>67</v>
      </c>
      <c r="C9" s="252">
        <f>'GMP-PO Breakdown'!C12</f>
        <v>0</v>
      </c>
      <c r="O9" s="164"/>
    </row>
    <row r="10" spans="2:16" x14ac:dyDescent="0.35">
      <c r="B10" s="44" t="s">
        <v>69</v>
      </c>
      <c r="C10" s="252">
        <f>'GMP-PO Breakdown'!C13</f>
        <v>0</v>
      </c>
      <c r="O10" s="164"/>
    </row>
    <row r="11" spans="2:16" ht="16" thickBot="1" x14ac:dyDescent="0.4">
      <c r="B11" s="49" t="s">
        <v>71</v>
      </c>
      <c r="C11" s="253">
        <f>'GMP-PO Breakdown'!C14</f>
        <v>0</v>
      </c>
      <c r="O11" s="164"/>
    </row>
    <row r="12" spans="2:16" x14ac:dyDescent="0.35">
      <c r="F12" s="630"/>
      <c r="G12" s="630"/>
      <c r="H12" s="630"/>
      <c r="I12" s="630"/>
      <c r="J12" s="254"/>
      <c r="K12" s="254"/>
      <c r="L12" s="254"/>
      <c r="N12" s="249"/>
      <c r="P12" s="248"/>
    </row>
    <row r="13" spans="2:16" x14ac:dyDescent="0.35">
      <c r="B13" s="637" t="s">
        <v>1035</v>
      </c>
      <c r="C13" s="638" t="s">
        <v>1036</v>
      </c>
      <c r="D13" s="536"/>
      <c r="F13" s="530"/>
      <c r="G13" s="530"/>
      <c r="H13" s="530"/>
      <c r="I13" s="530"/>
      <c r="J13" s="254"/>
      <c r="K13" s="254"/>
      <c r="L13" s="254"/>
      <c r="N13" s="249"/>
      <c r="P13" s="248"/>
    </row>
    <row r="14" spans="2:16" x14ac:dyDescent="0.35">
      <c r="B14" s="631" t="s">
        <v>703</v>
      </c>
      <c r="C14" s="632"/>
      <c r="D14" s="256">
        <f>'GMP-PO Breakdown'!E116</f>
        <v>0</v>
      </c>
      <c r="F14" s="531"/>
      <c r="G14" s="529"/>
      <c r="H14" s="529"/>
      <c r="I14" s="529"/>
      <c r="N14" s="249"/>
      <c r="P14" s="248"/>
    </row>
    <row r="15" spans="2:16" ht="15.65" customHeight="1" x14ac:dyDescent="0.35">
      <c r="B15" s="631" t="s">
        <v>704</v>
      </c>
      <c r="C15" s="632"/>
      <c r="D15" s="256">
        <f>O69</f>
        <v>0</v>
      </c>
      <c r="E15" s="254"/>
      <c r="F15" s="531"/>
      <c r="G15" s="529"/>
      <c r="H15" s="529"/>
      <c r="I15" s="529"/>
      <c r="J15" s="633" t="s">
        <v>705</v>
      </c>
      <c r="K15" s="633"/>
      <c r="N15" s="249"/>
      <c r="P15" s="248"/>
    </row>
    <row r="16" spans="2:16" x14ac:dyDescent="0.35">
      <c r="B16" s="631" t="s">
        <v>706</v>
      </c>
      <c r="C16" s="632"/>
      <c r="D16" s="256">
        <f>D14-D15</f>
        <v>0</v>
      </c>
      <c r="F16" s="531"/>
      <c r="G16" s="529"/>
      <c r="H16" s="529"/>
      <c r="I16" s="529"/>
      <c r="J16" s="633"/>
      <c r="K16" s="633"/>
      <c r="P16" s="248"/>
    </row>
    <row r="17" spans="1:22" x14ac:dyDescent="0.35">
      <c r="B17" s="631" t="s">
        <v>707</v>
      </c>
      <c r="C17" s="632"/>
      <c r="D17" s="256">
        <f>'GMP-PO Breakdown'!H5</f>
        <v>0</v>
      </c>
      <c r="F17" s="531"/>
      <c r="G17" s="529"/>
      <c r="H17" s="529"/>
      <c r="I17" s="529"/>
      <c r="J17" s="633"/>
      <c r="K17" s="633"/>
      <c r="N17" s="249"/>
      <c r="P17" s="248"/>
    </row>
    <row r="18" spans="1:22" ht="16" thickBot="1" x14ac:dyDescent="0.4">
      <c r="B18" s="631" t="s">
        <v>708</v>
      </c>
      <c r="C18" s="632"/>
      <c r="D18" s="256">
        <f>R69</f>
        <v>0</v>
      </c>
      <c r="F18" s="532"/>
      <c r="G18" s="456"/>
      <c r="H18" s="456"/>
      <c r="I18" s="456"/>
      <c r="J18" s="633"/>
      <c r="K18" s="633"/>
      <c r="N18" s="249"/>
      <c r="P18" s="248"/>
    </row>
    <row r="19" spans="1:22" ht="16" thickBot="1" x14ac:dyDescent="0.4">
      <c r="B19" s="631" t="s">
        <v>709</v>
      </c>
      <c r="C19" s="632"/>
      <c r="D19" s="256">
        <f>D17-D18</f>
        <v>0</v>
      </c>
      <c r="F19" s="257"/>
      <c r="G19" s="258" t="s">
        <v>710</v>
      </c>
      <c r="H19" s="258" t="s">
        <v>711</v>
      </c>
      <c r="I19" s="255" t="s">
        <v>712</v>
      </c>
      <c r="M19" s="249"/>
      <c r="P19" s="248"/>
    </row>
    <row r="20" spans="1:22" ht="16" thickBot="1" x14ac:dyDescent="0.4">
      <c r="B20" s="631" t="s">
        <v>1058</v>
      </c>
      <c r="C20" s="632"/>
      <c r="D20" s="256">
        <f>D15-D18</f>
        <v>0</v>
      </c>
      <c r="F20" s="259" t="s">
        <v>713</v>
      </c>
      <c r="G20" s="457"/>
      <c r="H20" s="458">
        <v>44853</v>
      </c>
      <c r="I20" s="489">
        <f>IF(G20="Amazon",('GMP-PO Breakdown'!G22+'GMP-PO Breakdown'!G23),'GMP-PO Breakdown'!G22)</f>
        <v>0</v>
      </c>
      <c r="M20" s="249"/>
      <c r="P20" s="248"/>
    </row>
    <row r="21" spans="1:22" ht="15.65" customHeight="1" x14ac:dyDescent="0.35">
      <c r="B21" s="631" t="s">
        <v>236</v>
      </c>
      <c r="C21" s="632"/>
      <c r="D21" s="260">
        <f>'Subcontractor Breakdown'!G13</f>
        <v>0</v>
      </c>
      <c r="H21" s="261"/>
      <c r="P21" s="248"/>
    </row>
    <row r="22" spans="1:22" ht="40" customHeight="1" thickBot="1" x14ac:dyDescent="0.5">
      <c r="B22" s="262" t="s">
        <v>714</v>
      </c>
      <c r="D22" s="263"/>
      <c r="F22" s="263"/>
      <c r="H22" s="263"/>
      <c r="I22" s="264" t="s">
        <v>715</v>
      </c>
      <c r="N22" s="263"/>
      <c r="P22" s="263"/>
      <c r="R22" s="263"/>
    </row>
    <row r="23" spans="1:22" s="262" customFormat="1" ht="20.149999999999999" customHeight="1" thickBot="1" x14ac:dyDescent="0.5">
      <c r="A23" s="496"/>
      <c r="C23" s="634" t="s">
        <v>716</v>
      </c>
      <c r="D23" s="635"/>
      <c r="E23" s="635"/>
      <c r="F23" s="635"/>
      <c r="G23" s="635"/>
      <c r="H23" s="635"/>
      <c r="I23" s="636" t="s">
        <v>717</v>
      </c>
      <c r="J23" s="636"/>
      <c r="K23" s="636"/>
      <c r="L23" s="636"/>
      <c r="M23" s="636"/>
      <c r="N23" s="636"/>
      <c r="O23" s="629" t="s">
        <v>718</v>
      </c>
      <c r="P23" s="629"/>
      <c r="Q23" s="629"/>
      <c r="R23" s="629"/>
      <c r="S23" s="629"/>
      <c r="T23" s="629"/>
      <c r="U23" s="265"/>
      <c r="V23" s="266"/>
    </row>
    <row r="24" spans="1:22" s="267" customFormat="1" ht="70" customHeight="1" thickBot="1" x14ac:dyDescent="0.4">
      <c r="A24" s="497"/>
      <c r="B24" s="268" t="s">
        <v>1028</v>
      </c>
      <c r="C24" s="269" t="s">
        <v>1059</v>
      </c>
      <c r="D24" s="269" t="s">
        <v>720</v>
      </c>
      <c r="E24" s="270" t="s">
        <v>721</v>
      </c>
      <c r="F24" s="269" t="s">
        <v>1060</v>
      </c>
      <c r="G24" s="269" t="s">
        <v>1061</v>
      </c>
      <c r="H24" s="271" t="s">
        <v>1062</v>
      </c>
      <c r="I24" s="272" t="s">
        <v>1063</v>
      </c>
      <c r="J24" s="273" t="s">
        <v>722</v>
      </c>
      <c r="K24" s="274" t="s">
        <v>723</v>
      </c>
      <c r="L24" s="275" t="s">
        <v>1064</v>
      </c>
      <c r="M24" s="275" t="s">
        <v>1065</v>
      </c>
      <c r="N24" s="275" t="s">
        <v>1066</v>
      </c>
      <c r="O24" s="276" t="s">
        <v>1067</v>
      </c>
      <c r="P24" s="276" t="s">
        <v>724</v>
      </c>
      <c r="Q24" s="277" t="s">
        <v>725</v>
      </c>
      <c r="R24" s="278" t="s">
        <v>1068</v>
      </c>
      <c r="S24" s="279" t="s">
        <v>1069</v>
      </c>
      <c r="T24" s="280" t="s">
        <v>1070</v>
      </c>
      <c r="U24" s="278" t="s">
        <v>726</v>
      </c>
    </row>
    <row r="25" spans="1:22" x14ac:dyDescent="0.35">
      <c r="A25" s="498">
        <f>DATE(YEAR(B25), MONTH(B25), 1)</f>
        <v>1</v>
      </c>
      <c r="B25" s="446"/>
      <c r="C25" s="447">
        <v>0</v>
      </c>
      <c r="D25" s="490">
        <f>C25</f>
        <v>0</v>
      </c>
      <c r="E25" s="491">
        <f>IFERROR(C25/$C$69,0)</f>
        <v>0</v>
      </c>
      <c r="F25" s="447">
        <v>0</v>
      </c>
      <c r="G25" s="447">
        <v>0</v>
      </c>
      <c r="H25" s="493">
        <f>IF(C25-F25 &lt;= 0, 0, C25-F25)</f>
        <v>0</v>
      </c>
      <c r="I25" s="594">
        <v>0</v>
      </c>
      <c r="J25" s="490">
        <f>I25</f>
        <v>0</v>
      </c>
      <c r="K25" s="491">
        <f>IFERROR(I25/$I$69,0)</f>
        <v>0</v>
      </c>
      <c r="L25" s="447">
        <v>0</v>
      </c>
      <c r="M25" s="447">
        <v>0</v>
      </c>
      <c r="N25" s="495">
        <f t="shared" ref="N25:N67" si="0">IF(I25-L25 &lt;= 0, 0, I25-L25)</f>
        <v>0</v>
      </c>
      <c r="O25" s="447">
        <v>0</v>
      </c>
      <c r="P25" s="490">
        <f>O25</f>
        <v>0</v>
      </c>
      <c r="Q25" s="499">
        <f>IFERROR(IF(P25&lt;&gt;0,P25/$D$14, 0), 0)</f>
        <v>0</v>
      </c>
      <c r="R25" s="447">
        <v>0</v>
      </c>
      <c r="S25" s="447">
        <v>0</v>
      </c>
      <c r="T25" s="490">
        <f>IF(O25-R25 &lt;= 0, 0, O25-R25)</f>
        <v>0</v>
      </c>
      <c r="U25" s="448"/>
    </row>
    <row r="26" spans="1:22" x14ac:dyDescent="0.35">
      <c r="A26" s="498">
        <f t="shared" ref="A26:A57" si="1">DATE(YEAR(B26), MONTH(B26), 1)</f>
        <v>1</v>
      </c>
      <c r="B26" s="449"/>
      <c r="C26" s="447">
        <v>0</v>
      </c>
      <c r="D26" s="490">
        <f>IF(NOT(ISBLANK(B26)),C26+D25, 0)</f>
        <v>0</v>
      </c>
      <c r="E26" s="491">
        <f>IFERROR(D26/$C$69,0)</f>
        <v>0</v>
      </c>
      <c r="F26" s="447">
        <v>0</v>
      </c>
      <c r="G26" s="447">
        <v>0</v>
      </c>
      <c r="H26" s="493">
        <f t="shared" ref="H26:H67" si="2">IF(C26-F26 &lt;= 0, 0, C26-F26)</f>
        <v>0</v>
      </c>
      <c r="I26" s="594">
        <v>0</v>
      </c>
      <c r="J26" s="490">
        <f>IF(NOT(ISBLANK(B26)),I26+J25, 0)</f>
        <v>0</v>
      </c>
      <c r="K26" s="491">
        <f>IFERROR(J26/$I$69,0)</f>
        <v>0</v>
      </c>
      <c r="L26" s="447">
        <v>0</v>
      </c>
      <c r="M26" s="447">
        <v>0</v>
      </c>
      <c r="N26" s="495">
        <f t="shared" si="0"/>
        <v>0</v>
      </c>
      <c r="O26" s="447">
        <v>0</v>
      </c>
      <c r="P26" s="490">
        <f t="shared" ref="P26:P67" si="3">IF(NOT(ISBLANK(B26)),O26+P25, 0)</f>
        <v>0</v>
      </c>
      <c r="Q26" s="499">
        <f>IFERROR(IF(P26&lt;&gt;0,P26/$D$14, 0), 0)</f>
        <v>0</v>
      </c>
      <c r="R26" s="447">
        <v>0</v>
      </c>
      <c r="S26" s="447">
        <v>0</v>
      </c>
      <c r="T26" s="490">
        <f t="shared" ref="T26:T67" si="4">IF(O26-R26 &lt;= 0, 0, O26-R26)</f>
        <v>0</v>
      </c>
      <c r="U26" s="448"/>
    </row>
    <row r="27" spans="1:22" x14ac:dyDescent="0.35">
      <c r="A27" s="498">
        <f t="shared" si="1"/>
        <v>1</v>
      </c>
      <c r="B27" s="500"/>
      <c r="C27" s="447">
        <v>0</v>
      </c>
      <c r="D27" s="490">
        <f t="shared" ref="D27:D68" si="5">IF(NOT(ISBLANK(B27)),C27+D26, 0)</f>
        <v>0</v>
      </c>
      <c r="E27" s="491">
        <f>IFERROR(D27/$C$69,0)</f>
        <v>0</v>
      </c>
      <c r="F27" s="447">
        <v>0</v>
      </c>
      <c r="G27" s="447">
        <v>0</v>
      </c>
      <c r="H27" s="493">
        <f t="shared" si="2"/>
        <v>0</v>
      </c>
      <c r="I27" s="594">
        <v>0</v>
      </c>
      <c r="J27" s="490">
        <f t="shared" ref="J27:J68" si="6">IF(NOT(ISBLANK(B27)),I27+J26, 0)</f>
        <v>0</v>
      </c>
      <c r="K27" s="491">
        <f t="shared" ref="K27:K68" si="7">IFERROR(J27/$I$69,0)</f>
        <v>0</v>
      </c>
      <c r="L27" s="447">
        <v>0</v>
      </c>
      <c r="M27" s="447">
        <v>0</v>
      </c>
      <c r="N27" s="495">
        <f t="shared" si="0"/>
        <v>0</v>
      </c>
      <c r="O27" s="447">
        <v>0</v>
      </c>
      <c r="P27" s="490">
        <f>IF(NOT(ISBLANK(B27)),O27+P26, 0)</f>
        <v>0</v>
      </c>
      <c r="Q27" s="499">
        <f t="shared" ref="Q27:Q67" si="8">IFERROR(IF(P27&lt;&gt;0,P27/$D$14, 0), 0)</f>
        <v>0</v>
      </c>
      <c r="R27" s="447">
        <v>0</v>
      </c>
      <c r="S27" s="447">
        <v>0</v>
      </c>
      <c r="T27" s="490">
        <f t="shared" si="4"/>
        <v>0</v>
      </c>
      <c r="U27" s="448"/>
    </row>
    <row r="28" spans="1:22" x14ac:dyDescent="0.35">
      <c r="A28" s="498">
        <f t="shared" si="1"/>
        <v>1</v>
      </c>
      <c r="B28" s="500"/>
      <c r="C28" s="447">
        <v>0</v>
      </c>
      <c r="D28" s="490">
        <f t="shared" si="5"/>
        <v>0</v>
      </c>
      <c r="E28" s="491">
        <f t="shared" ref="E28:E67" si="9">IFERROR(D28/$C$69,0)</f>
        <v>0</v>
      </c>
      <c r="F28" s="447">
        <v>0</v>
      </c>
      <c r="G28" s="447">
        <v>0</v>
      </c>
      <c r="H28" s="493">
        <f t="shared" si="2"/>
        <v>0</v>
      </c>
      <c r="I28" s="594">
        <v>0</v>
      </c>
      <c r="J28" s="490">
        <f t="shared" si="6"/>
        <v>0</v>
      </c>
      <c r="K28" s="491">
        <f t="shared" si="7"/>
        <v>0</v>
      </c>
      <c r="L28" s="447">
        <v>0</v>
      </c>
      <c r="M28" s="447">
        <v>0</v>
      </c>
      <c r="N28" s="495">
        <f t="shared" si="0"/>
        <v>0</v>
      </c>
      <c r="O28" s="447">
        <v>0</v>
      </c>
      <c r="P28" s="490">
        <f t="shared" si="3"/>
        <v>0</v>
      </c>
      <c r="Q28" s="499">
        <f t="shared" si="8"/>
        <v>0</v>
      </c>
      <c r="R28" s="447">
        <v>0</v>
      </c>
      <c r="S28" s="447">
        <v>0</v>
      </c>
      <c r="T28" s="490">
        <f t="shared" si="4"/>
        <v>0</v>
      </c>
      <c r="U28" s="448"/>
    </row>
    <row r="29" spans="1:22" x14ac:dyDescent="0.35">
      <c r="A29" s="498">
        <f t="shared" si="1"/>
        <v>1</v>
      </c>
      <c r="B29" s="500"/>
      <c r="C29" s="447">
        <v>0</v>
      </c>
      <c r="D29" s="490">
        <f t="shared" si="5"/>
        <v>0</v>
      </c>
      <c r="E29" s="491">
        <f t="shared" si="9"/>
        <v>0</v>
      </c>
      <c r="F29" s="447">
        <v>0</v>
      </c>
      <c r="G29" s="447">
        <v>0</v>
      </c>
      <c r="H29" s="493">
        <f t="shared" si="2"/>
        <v>0</v>
      </c>
      <c r="I29" s="594">
        <v>0</v>
      </c>
      <c r="J29" s="490">
        <f t="shared" si="6"/>
        <v>0</v>
      </c>
      <c r="K29" s="491">
        <f t="shared" si="7"/>
        <v>0</v>
      </c>
      <c r="L29" s="447">
        <v>0</v>
      </c>
      <c r="M29" s="447">
        <v>0</v>
      </c>
      <c r="N29" s="495">
        <f t="shared" si="0"/>
        <v>0</v>
      </c>
      <c r="O29" s="447">
        <v>0</v>
      </c>
      <c r="P29" s="490">
        <f t="shared" si="3"/>
        <v>0</v>
      </c>
      <c r="Q29" s="499">
        <f t="shared" si="8"/>
        <v>0</v>
      </c>
      <c r="R29" s="447">
        <v>0</v>
      </c>
      <c r="S29" s="447">
        <v>0</v>
      </c>
      <c r="T29" s="490">
        <f t="shared" si="4"/>
        <v>0</v>
      </c>
      <c r="U29" s="448"/>
    </row>
    <row r="30" spans="1:22" x14ac:dyDescent="0.35">
      <c r="A30" s="498">
        <f t="shared" si="1"/>
        <v>1</v>
      </c>
      <c r="B30" s="500"/>
      <c r="C30" s="447">
        <v>0</v>
      </c>
      <c r="D30" s="490">
        <f t="shared" si="5"/>
        <v>0</v>
      </c>
      <c r="E30" s="491">
        <f t="shared" si="9"/>
        <v>0</v>
      </c>
      <c r="F30" s="447">
        <v>0</v>
      </c>
      <c r="G30" s="447">
        <v>0</v>
      </c>
      <c r="H30" s="493">
        <f t="shared" si="2"/>
        <v>0</v>
      </c>
      <c r="I30" s="594">
        <v>0</v>
      </c>
      <c r="J30" s="490">
        <f t="shared" si="6"/>
        <v>0</v>
      </c>
      <c r="K30" s="491">
        <f t="shared" si="7"/>
        <v>0</v>
      </c>
      <c r="L30" s="447">
        <v>0</v>
      </c>
      <c r="M30" s="447">
        <v>0</v>
      </c>
      <c r="N30" s="495">
        <f t="shared" si="0"/>
        <v>0</v>
      </c>
      <c r="O30" s="447">
        <v>0</v>
      </c>
      <c r="P30" s="490">
        <f t="shared" si="3"/>
        <v>0</v>
      </c>
      <c r="Q30" s="499">
        <f t="shared" si="8"/>
        <v>0</v>
      </c>
      <c r="R30" s="447">
        <v>0</v>
      </c>
      <c r="S30" s="447">
        <v>0</v>
      </c>
      <c r="T30" s="490">
        <f t="shared" si="4"/>
        <v>0</v>
      </c>
      <c r="U30" s="448"/>
    </row>
    <row r="31" spans="1:22" x14ac:dyDescent="0.35">
      <c r="A31" s="498">
        <f t="shared" si="1"/>
        <v>1</v>
      </c>
      <c r="B31" s="500"/>
      <c r="C31" s="447">
        <v>0</v>
      </c>
      <c r="D31" s="490">
        <f t="shared" si="5"/>
        <v>0</v>
      </c>
      <c r="E31" s="491">
        <f t="shared" si="9"/>
        <v>0</v>
      </c>
      <c r="F31" s="447">
        <v>0</v>
      </c>
      <c r="G31" s="447">
        <v>0</v>
      </c>
      <c r="H31" s="493">
        <f t="shared" si="2"/>
        <v>0</v>
      </c>
      <c r="I31" s="594">
        <v>0</v>
      </c>
      <c r="J31" s="490">
        <f t="shared" si="6"/>
        <v>0</v>
      </c>
      <c r="K31" s="491">
        <f t="shared" si="7"/>
        <v>0</v>
      </c>
      <c r="L31" s="447">
        <v>0</v>
      </c>
      <c r="M31" s="447">
        <v>0</v>
      </c>
      <c r="N31" s="495">
        <f t="shared" si="0"/>
        <v>0</v>
      </c>
      <c r="O31" s="447">
        <v>0</v>
      </c>
      <c r="P31" s="490">
        <f t="shared" si="3"/>
        <v>0</v>
      </c>
      <c r="Q31" s="499">
        <f t="shared" si="8"/>
        <v>0</v>
      </c>
      <c r="R31" s="447">
        <v>0</v>
      </c>
      <c r="S31" s="447">
        <v>0</v>
      </c>
      <c r="T31" s="490">
        <f t="shared" si="4"/>
        <v>0</v>
      </c>
      <c r="U31" s="448"/>
    </row>
    <row r="32" spans="1:22" x14ac:dyDescent="0.35">
      <c r="A32" s="498">
        <f t="shared" si="1"/>
        <v>1</v>
      </c>
      <c r="B32" s="500"/>
      <c r="C32" s="447">
        <v>0</v>
      </c>
      <c r="D32" s="490">
        <f t="shared" si="5"/>
        <v>0</v>
      </c>
      <c r="E32" s="491">
        <f t="shared" si="9"/>
        <v>0</v>
      </c>
      <c r="F32" s="447">
        <v>0</v>
      </c>
      <c r="G32" s="447">
        <v>0</v>
      </c>
      <c r="H32" s="493">
        <f t="shared" si="2"/>
        <v>0</v>
      </c>
      <c r="I32" s="594">
        <v>0</v>
      </c>
      <c r="J32" s="490">
        <f t="shared" si="6"/>
        <v>0</v>
      </c>
      <c r="K32" s="491">
        <f t="shared" si="7"/>
        <v>0</v>
      </c>
      <c r="L32" s="447">
        <v>0</v>
      </c>
      <c r="M32" s="447">
        <v>0</v>
      </c>
      <c r="N32" s="495">
        <f t="shared" si="0"/>
        <v>0</v>
      </c>
      <c r="O32" s="447">
        <v>0</v>
      </c>
      <c r="P32" s="490">
        <f t="shared" si="3"/>
        <v>0</v>
      </c>
      <c r="Q32" s="499">
        <f t="shared" si="8"/>
        <v>0</v>
      </c>
      <c r="R32" s="447">
        <v>0</v>
      </c>
      <c r="S32" s="447">
        <v>0</v>
      </c>
      <c r="T32" s="490">
        <f t="shared" si="4"/>
        <v>0</v>
      </c>
      <c r="U32" s="448"/>
    </row>
    <row r="33" spans="1:21" x14ac:dyDescent="0.35">
      <c r="A33" s="498">
        <f t="shared" si="1"/>
        <v>1</v>
      </c>
      <c r="B33" s="500"/>
      <c r="C33" s="447">
        <v>0</v>
      </c>
      <c r="D33" s="490">
        <f t="shared" si="5"/>
        <v>0</v>
      </c>
      <c r="E33" s="491">
        <f t="shared" si="9"/>
        <v>0</v>
      </c>
      <c r="F33" s="447">
        <v>0</v>
      </c>
      <c r="G33" s="447">
        <v>0</v>
      </c>
      <c r="H33" s="493">
        <f t="shared" si="2"/>
        <v>0</v>
      </c>
      <c r="I33" s="594">
        <v>0</v>
      </c>
      <c r="J33" s="490">
        <f t="shared" si="6"/>
        <v>0</v>
      </c>
      <c r="K33" s="491">
        <f t="shared" si="7"/>
        <v>0</v>
      </c>
      <c r="L33" s="447">
        <v>0</v>
      </c>
      <c r="M33" s="447">
        <v>0</v>
      </c>
      <c r="N33" s="495">
        <f t="shared" si="0"/>
        <v>0</v>
      </c>
      <c r="O33" s="447">
        <v>0</v>
      </c>
      <c r="P33" s="490">
        <f t="shared" si="3"/>
        <v>0</v>
      </c>
      <c r="Q33" s="499">
        <f t="shared" si="8"/>
        <v>0</v>
      </c>
      <c r="R33" s="447">
        <v>0</v>
      </c>
      <c r="S33" s="447">
        <v>0</v>
      </c>
      <c r="T33" s="490">
        <f t="shared" si="4"/>
        <v>0</v>
      </c>
      <c r="U33" s="448"/>
    </row>
    <row r="34" spans="1:21" x14ac:dyDescent="0.35">
      <c r="A34" s="498">
        <f t="shared" si="1"/>
        <v>1</v>
      </c>
      <c r="B34" s="500"/>
      <c r="C34" s="447">
        <v>0</v>
      </c>
      <c r="D34" s="490">
        <f t="shared" si="5"/>
        <v>0</v>
      </c>
      <c r="E34" s="491">
        <f t="shared" si="9"/>
        <v>0</v>
      </c>
      <c r="F34" s="447">
        <v>0</v>
      </c>
      <c r="G34" s="447">
        <v>0</v>
      </c>
      <c r="H34" s="493">
        <f t="shared" si="2"/>
        <v>0</v>
      </c>
      <c r="I34" s="594">
        <v>0</v>
      </c>
      <c r="J34" s="490">
        <f t="shared" si="6"/>
        <v>0</v>
      </c>
      <c r="K34" s="491">
        <f t="shared" si="7"/>
        <v>0</v>
      </c>
      <c r="L34" s="447">
        <v>0</v>
      </c>
      <c r="M34" s="447">
        <v>0</v>
      </c>
      <c r="N34" s="495">
        <f t="shared" si="0"/>
        <v>0</v>
      </c>
      <c r="O34" s="447">
        <v>0</v>
      </c>
      <c r="P34" s="490">
        <f t="shared" si="3"/>
        <v>0</v>
      </c>
      <c r="Q34" s="499">
        <f t="shared" si="8"/>
        <v>0</v>
      </c>
      <c r="R34" s="447">
        <v>0</v>
      </c>
      <c r="S34" s="447">
        <v>0</v>
      </c>
      <c r="T34" s="490">
        <f t="shared" si="4"/>
        <v>0</v>
      </c>
      <c r="U34" s="448"/>
    </row>
    <row r="35" spans="1:21" x14ac:dyDescent="0.35">
      <c r="A35" s="498">
        <f t="shared" si="1"/>
        <v>1</v>
      </c>
      <c r="B35" s="500"/>
      <c r="C35" s="447">
        <v>0</v>
      </c>
      <c r="D35" s="490">
        <f t="shared" si="5"/>
        <v>0</v>
      </c>
      <c r="E35" s="491">
        <f t="shared" si="9"/>
        <v>0</v>
      </c>
      <c r="F35" s="447">
        <v>0</v>
      </c>
      <c r="G35" s="447">
        <v>0</v>
      </c>
      <c r="H35" s="493">
        <f t="shared" si="2"/>
        <v>0</v>
      </c>
      <c r="I35" s="594">
        <v>0</v>
      </c>
      <c r="J35" s="490">
        <f t="shared" si="6"/>
        <v>0</v>
      </c>
      <c r="K35" s="491">
        <f t="shared" si="7"/>
        <v>0</v>
      </c>
      <c r="L35" s="447">
        <v>0</v>
      </c>
      <c r="M35" s="447">
        <v>0</v>
      </c>
      <c r="N35" s="495">
        <f t="shared" si="0"/>
        <v>0</v>
      </c>
      <c r="O35" s="447">
        <v>0</v>
      </c>
      <c r="P35" s="490">
        <f t="shared" si="3"/>
        <v>0</v>
      </c>
      <c r="Q35" s="499">
        <f t="shared" si="8"/>
        <v>0</v>
      </c>
      <c r="R35" s="447">
        <v>0</v>
      </c>
      <c r="S35" s="447">
        <v>0</v>
      </c>
      <c r="T35" s="490">
        <f t="shared" si="4"/>
        <v>0</v>
      </c>
      <c r="U35" s="448"/>
    </row>
    <row r="36" spans="1:21" x14ac:dyDescent="0.35">
      <c r="A36" s="498">
        <f t="shared" si="1"/>
        <v>1</v>
      </c>
      <c r="B36" s="500"/>
      <c r="C36" s="447">
        <v>0</v>
      </c>
      <c r="D36" s="490">
        <f t="shared" si="5"/>
        <v>0</v>
      </c>
      <c r="E36" s="491">
        <f t="shared" si="9"/>
        <v>0</v>
      </c>
      <c r="F36" s="447">
        <v>0</v>
      </c>
      <c r="G36" s="447">
        <v>0</v>
      </c>
      <c r="H36" s="493">
        <f t="shared" si="2"/>
        <v>0</v>
      </c>
      <c r="I36" s="594">
        <v>0</v>
      </c>
      <c r="J36" s="490">
        <f t="shared" si="6"/>
        <v>0</v>
      </c>
      <c r="K36" s="491">
        <f t="shared" si="7"/>
        <v>0</v>
      </c>
      <c r="L36" s="447">
        <v>0</v>
      </c>
      <c r="M36" s="447">
        <v>0</v>
      </c>
      <c r="N36" s="495">
        <f t="shared" si="0"/>
        <v>0</v>
      </c>
      <c r="O36" s="447">
        <v>0</v>
      </c>
      <c r="P36" s="490">
        <f t="shared" si="3"/>
        <v>0</v>
      </c>
      <c r="Q36" s="499">
        <f t="shared" si="8"/>
        <v>0</v>
      </c>
      <c r="R36" s="447">
        <v>0</v>
      </c>
      <c r="S36" s="447">
        <v>0</v>
      </c>
      <c r="T36" s="490">
        <f t="shared" si="4"/>
        <v>0</v>
      </c>
      <c r="U36" s="448"/>
    </row>
    <row r="37" spans="1:21" x14ac:dyDescent="0.35">
      <c r="A37" s="498">
        <f t="shared" si="1"/>
        <v>1</v>
      </c>
      <c r="B37" s="500"/>
      <c r="C37" s="447">
        <v>0</v>
      </c>
      <c r="D37" s="490">
        <f t="shared" si="5"/>
        <v>0</v>
      </c>
      <c r="E37" s="491">
        <f t="shared" si="9"/>
        <v>0</v>
      </c>
      <c r="F37" s="447">
        <v>0</v>
      </c>
      <c r="G37" s="447">
        <v>0</v>
      </c>
      <c r="H37" s="493">
        <f t="shared" si="2"/>
        <v>0</v>
      </c>
      <c r="I37" s="594">
        <v>0</v>
      </c>
      <c r="J37" s="490">
        <f t="shared" si="6"/>
        <v>0</v>
      </c>
      <c r="K37" s="491">
        <f t="shared" si="7"/>
        <v>0</v>
      </c>
      <c r="L37" s="447">
        <v>0</v>
      </c>
      <c r="M37" s="447">
        <v>0</v>
      </c>
      <c r="N37" s="495">
        <f t="shared" si="0"/>
        <v>0</v>
      </c>
      <c r="O37" s="447">
        <v>0</v>
      </c>
      <c r="P37" s="490">
        <f t="shared" si="3"/>
        <v>0</v>
      </c>
      <c r="Q37" s="499">
        <f t="shared" si="8"/>
        <v>0</v>
      </c>
      <c r="R37" s="447">
        <v>0</v>
      </c>
      <c r="S37" s="447">
        <v>0</v>
      </c>
      <c r="T37" s="490">
        <f t="shared" si="4"/>
        <v>0</v>
      </c>
      <c r="U37" s="448"/>
    </row>
    <row r="38" spans="1:21" x14ac:dyDescent="0.35">
      <c r="A38" s="498">
        <f t="shared" si="1"/>
        <v>1</v>
      </c>
      <c r="B38" s="500"/>
      <c r="C38" s="447">
        <v>0</v>
      </c>
      <c r="D38" s="490">
        <f t="shared" si="5"/>
        <v>0</v>
      </c>
      <c r="E38" s="491">
        <f t="shared" si="9"/>
        <v>0</v>
      </c>
      <c r="F38" s="447">
        <v>0</v>
      </c>
      <c r="G38" s="447">
        <v>0</v>
      </c>
      <c r="H38" s="493">
        <f t="shared" si="2"/>
        <v>0</v>
      </c>
      <c r="I38" s="594">
        <v>0</v>
      </c>
      <c r="J38" s="490">
        <f t="shared" si="6"/>
        <v>0</v>
      </c>
      <c r="K38" s="491">
        <f t="shared" si="7"/>
        <v>0</v>
      </c>
      <c r="L38" s="447">
        <v>0</v>
      </c>
      <c r="M38" s="447">
        <v>0</v>
      </c>
      <c r="N38" s="495">
        <f t="shared" si="0"/>
        <v>0</v>
      </c>
      <c r="O38" s="447">
        <v>0</v>
      </c>
      <c r="P38" s="490">
        <f t="shared" si="3"/>
        <v>0</v>
      </c>
      <c r="Q38" s="499">
        <f t="shared" si="8"/>
        <v>0</v>
      </c>
      <c r="R38" s="447">
        <v>0</v>
      </c>
      <c r="S38" s="447">
        <v>0</v>
      </c>
      <c r="T38" s="490">
        <f t="shared" si="4"/>
        <v>0</v>
      </c>
      <c r="U38" s="448"/>
    </row>
    <row r="39" spans="1:21" x14ac:dyDescent="0.35">
      <c r="A39" s="498">
        <f t="shared" si="1"/>
        <v>1</v>
      </c>
      <c r="B39" s="500"/>
      <c r="C39" s="447">
        <v>0</v>
      </c>
      <c r="D39" s="490">
        <f t="shared" si="5"/>
        <v>0</v>
      </c>
      <c r="E39" s="491">
        <f t="shared" si="9"/>
        <v>0</v>
      </c>
      <c r="F39" s="447">
        <v>0</v>
      </c>
      <c r="G39" s="447">
        <v>0</v>
      </c>
      <c r="H39" s="493">
        <f t="shared" si="2"/>
        <v>0</v>
      </c>
      <c r="I39" s="594">
        <v>0</v>
      </c>
      <c r="J39" s="490">
        <f t="shared" si="6"/>
        <v>0</v>
      </c>
      <c r="K39" s="491">
        <f t="shared" si="7"/>
        <v>0</v>
      </c>
      <c r="L39" s="447">
        <v>0</v>
      </c>
      <c r="M39" s="447">
        <v>0</v>
      </c>
      <c r="N39" s="495">
        <f t="shared" si="0"/>
        <v>0</v>
      </c>
      <c r="O39" s="447">
        <v>0</v>
      </c>
      <c r="P39" s="490">
        <f t="shared" si="3"/>
        <v>0</v>
      </c>
      <c r="Q39" s="499">
        <f t="shared" si="8"/>
        <v>0</v>
      </c>
      <c r="R39" s="447">
        <v>0</v>
      </c>
      <c r="S39" s="447">
        <v>0</v>
      </c>
      <c r="T39" s="490">
        <f t="shared" si="4"/>
        <v>0</v>
      </c>
      <c r="U39" s="448"/>
    </row>
    <row r="40" spans="1:21" x14ac:dyDescent="0.35">
      <c r="A40" s="498">
        <f t="shared" si="1"/>
        <v>1</v>
      </c>
      <c r="B40" s="500"/>
      <c r="C40" s="447">
        <v>0</v>
      </c>
      <c r="D40" s="490">
        <f t="shared" si="5"/>
        <v>0</v>
      </c>
      <c r="E40" s="491">
        <f t="shared" si="9"/>
        <v>0</v>
      </c>
      <c r="F40" s="447">
        <v>0</v>
      </c>
      <c r="G40" s="447">
        <v>0</v>
      </c>
      <c r="H40" s="493">
        <f t="shared" si="2"/>
        <v>0</v>
      </c>
      <c r="I40" s="594">
        <v>0</v>
      </c>
      <c r="J40" s="490">
        <f t="shared" si="6"/>
        <v>0</v>
      </c>
      <c r="K40" s="491">
        <f t="shared" si="7"/>
        <v>0</v>
      </c>
      <c r="L40" s="447">
        <v>0</v>
      </c>
      <c r="M40" s="447">
        <v>0</v>
      </c>
      <c r="N40" s="495">
        <f t="shared" si="0"/>
        <v>0</v>
      </c>
      <c r="O40" s="447">
        <v>0</v>
      </c>
      <c r="P40" s="490">
        <f t="shared" si="3"/>
        <v>0</v>
      </c>
      <c r="Q40" s="499">
        <f t="shared" si="8"/>
        <v>0</v>
      </c>
      <c r="R40" s="447">
        <v>0</v>
      </c>
      <c r="S40" s="447">
        <v>0</v>
      </c>
      <c r="T40" s="490">
        <f t="shared" si="4"/>
        <v>0</v>
      </c>
      <c r="U40" s="448"/>
    </row>
    <row r="41" spans="1:21" x14ac:dyDescent="0.35">
      <c r="A41" s="498">
        <f t="shared" si="1"/>
        <v>1</v>
      </c>
      <c r="B41" s="500"/>
      <c r="C41" s="447">
        <v>0</v>
      </c>
      <c r="D41" s="490">
        <f t="shared" si="5"/>
        <v>0</v>
      </c>
      <c r="E41" s="491">
        <f t="shared" si="9"/>
        <v>0</v>
      </c>
      <c r="F41" s="447">
        <v>0</v>
      </c>
      <c r="G41" s="447">
        <v>0</v>
      </c>
      <c r="H41" s="493">
        <f t="shared" si="2"/>
        <v>0</v>
      </c>
      <c r="I41" s="594">
        <v>0</v>
      </c>
      <c r="J41" s="490">
        <f t="shared" si="6"/>
        <v>0</v>
      </c>
      <c r="K41" s="491">
        <f t="shared" si="7"/>
        <v>0</v>
      </c>
      <c r="L41" s="447">
        <v>0</v>
      </c>
      <c r="M41" s="447">
        <v>0</v>
      </c>
      <c r="N41" s="495">
        <f t="shared" si="0"/>
        <v>0</v>
      </c>
      <c r="O41" s="447">
        <v>0</v>
      </c>
      <c r="P41" s="490">
        <f t="shared" si="3"/>
        <v>0</v>
      </c>
      <c r="Q41" s="499">
        <f t="shared" si="8"/>
        <v>0</v>
      </c>
      <c r="R41" s="447">
        <v>0</v>
      </c>
      <c r="S41" s="447">
        <v>0</v>
      </c>
      <c r="T41" s="490">
        <f t="shared" si="4"/>
        <v>0</v>
      </c>
      <c r="U41" s="448"/>
    </row>
    <row r="42" spans="1:21" x14ac:dyDescent="0.35">
      <c r="A42" s="498">
        <f t="shared" si="1"/>
        <v>1</v>
      </c>
      <c r="B42" s="500"/>
      <c r="C42" s="447">
        <v>0</v>
      </c>
      <c r="D42" s="490">
        <f t="shared" si="5"/>
        <v>0</v>
      </c>
      <c r="E42" s="491">
        <f t="shared" si="9"/>
        <v>0</v>
      </c>
      <c r="F42" s="447">
        <v>0</v>
      </c>
      <c r="G42" s="447">
        <v>0</v>
      </c>
      <c r="H42" s="493">
        <f t="shared" si="2"/>
        <v>0</v>
      </c>
      <c r="I42" s="594">
        <v>0</v>
      </c>
      <c r="J42" s="490">
        <f t="shared" si="6"/>
        <v>0</v>
      </c>
      <c r="K42" s="491">
        <f t="shared" si="7"/>
        <v>0</v>
      </c>
      <c r="L42" s="447">
        <v>0</v>
      </c>
      <c r="M42" s="447">
        <v>0</v>
      </c>
      <c r="N42" s="495">
        <f t="shared" si="0"/>
        <v>0</v>
      </c>
      <c r="O42" s="447">
        <v>0</v>
      </c>
      <c r="P42" s="490">
        <f t="shared" si="3"/>
        <v>0</v>
      </c>
      <c r="Q42" s="499">
        <f t="shared" si="8"/>
        <v>0</v>
      </c>
      <c r="R42" s="447">
        <v>0</v>
      </c>
      <c r="S42" s="447">
        <v>0</v>
      </c>
      <c r="T42" s="490">
        <f t="shared" si="4"/>
        <v>0</v>
      </c>
      <c r="U42" s="448"/>
    </row>
    <row r="43" spans="1:21" x14ac:dyDescent="0.35">
      <c r="A43" s="498">
        <f t="shared" si="1"/>
        <v>1</v>
      </c>
      <c r="B43" s="500"/>
      <c r="C43" s="447">
        <v>0</v>
      </c>
      <c r="D43" s="490">
        <f t="shared" si="5"/>
        <v>0</v>
      </c>
      <c r="E43" s="491">
        <f t="shared" si="9"/>
        <v>0</v>
      </c>
      <c r="F43" s="447">
        <v>0</v>
      </c>
      <c r="G43" s="447">
        <v>0</v>
      </c>
      <c r="H43" s="493">
        <f t="shared" si="2"/>
        <v>0</v>
      </c>
      <c r="I43" s="594">
        <v>0</v>
      </c>
      <c r="J43" s="490">
        <f t="shared" si="6"/>
        <v>0</v>
      </c>
      <c r="K43" s="491">
        <f t="shared" si="7"/>
        <v>0</v>
      </c>
      <c r="L43" s="447">
        <v>0</v>
      </c>
      <c r="M43" s="447">
        <v>0</v>
      </c>
      <c r="N43" s="495">
        <f t="shared" si="0"/>
        <v>0</v>
      </c>
      <c r="O43" s="447">
        <v>0</v>
      </c>
      <c r="P43" s="490">
        <f t="shared" si="3"/>
        <v>0</v>
      </c>
      <c r="Q43" s="499">
        <f t="shared" si="8"/>
        <v>0</v>
      </c>
      <c r="R43" s="447">
        <v>0</v>
      </c>
      <c r="S43" s="447">
        <v>0</v>
      </c>
      <c r="T43" s="490">
        <f t="shared" si="4"/>
        <v>0</v>
      </c>
      <c r="U43" s="448"/>
    </row>
    <row r="44" spans="1:21" x14ac:dyDescent="0.35">
      <c r="A44" s="498">
        <f t="shared" si="1"/>
        <v>1</v>
      </c>
      <c r="B44" s="500"/>
      <c r="C44" s="447">
        <v>0</v>
      </c>
      <c r="D44" s="490">
        <f t="shared" si="5"/>
        <v>0</v>
      </c>
      <c r="E44" s="491">
        <f t="shared" si="9"/>
        <v>0</v>
      </c>
      <c r="F44" s="447">
        <v>0</v>
      </c>
      <c r="G44" s="447">
        <v>0</v>
      </c>
      <c r="H44" s="493">
        <f t="shared" si="2"/>
        <v>0</v>
      </c>
      <c r="I44" s="594">
        <v>0</v>
      </c>
      <c r="J44" s="490">
        <f t="shared" si="6"/>
        <v>0</v>
      </c>
      <c r="K44" s="491">
        <f t="shared" si="7"/>
        <v>0</v>
      </c>
      <c r="L44" s="447">
        <v>0</v>
      </c>
      <c r="M44" s="447">
        <v>0</v>
      </c>
      <c r="N44" s="495">
        <f t="shared" si="0"/>
        <v>0</v>
      </c>
      <c r="O44" s="447">
        <v>0</v>
      </c>
      <c r="P44" s="490">
        <f t="shared" si="3"/>
        <v>0</v>
      </c>
      <c r="Q44" s="499">
        <f t="shared" si="8"/>
        <v>0</v>
      </c>
      <c r="R44" s="447">
        <v>0</v>
      </c>
      <c r="S44" s="447">
        <v>0</v>
      </c>
      <c r="T44" s="490">
        <f t="shared" si="4"/>
        <v>0</v>
      </c>
      <c r="U44" s="448"/>
    </row>
    <row r="45" spans="1:21" x14ac:dyDescent="0.35">
      <c r="A45" s="498">
        <f t="shared" si="1"/>
        <v>1</v>
      </c>
      <c r="B45" s="500"/>
      <c r="C45" s="447">
        <v>0</v>
      </c>
      <c r="D45" s="490">
        <f t="shared" si="5"/>
        <v>0</v>
      </c>
      <c r="E45" s="491">
        <f t="shared" si="9"/>
        <v>0</v>
      </c>
      <c r="F45" s="447">
        <v>0</v>
      </c>
      <c r="G45" s="447">
        <v>0</v>
      </c>
      <c r="H45" s="493">
        <f t="shared" si="2"/>
        <v>0</v>
      </c>
      <c r="I45" s="594">
        <v>0</v>
      </c>
      <c r="J45" s="490">
        <f t="shared" si="6"/>
        <v>0</v>
      </c>
      <c r="K45" s="491">
        <f t="shared" si="7"/>
        <v>0</v>
      </c>
      <c r="L45" s="447">
        <v>0</v>
      </c>
      <c r="M45" s="447">
        <v>0</v>
      </c>
      <c r="N45" s="495">
        <f t="shared" si="0"/>
        <v>0</v>
      </c>
      <c r="O45" s="447">
        <v>0</v>
      </c>
      <c r="P45" s="490">
        <f t="shared" si="3"/>
        <v>0</v>
      </c>
      <c r="Q45" s="499">
        <f t="shared" si="8"/>
        <v>0</v>
      </c>
      <c r="R45" s="447">
        <v>0</v>
      </c>
      <c r="S45" s="447">
        <v>0</v>
      </c>
      <c r="T45" s="490">
        <f t="shared" si="4"/>
        <v>0</v>
      </c>
      <c r="U45" s="448"/>
    </row>
    <row r="46" spans="1:21" x14ac:dyDescent="0.35">
      <c r="A46" s="498">
        <f t="shared" si="1"/>
        <v>1</v>
      </c>
      <c r="B46" s="500"/>
      <c r="C46" s="447">
        <v>0</v>
      </c>
      <c r="D46" s="490">
        <f t="shared" si="5"/>
        <v>0</v>
      </c>
      <c r="E46" s="491">
        <f t="shared" si="9"/>
        <v>0</v>
      </c>
      <c r="F46" s="447">
        <v>0</v>
      </c>
      <c r="G46" s="447">
        <v>0</v>
      </c>
      <c r="H46" s="493">
        <f t="shared" si="2"/>
        <v>0</v>
      </c>
      <c r="I46" s="594">
        <v>0</v>
      </c>
      <c r="J46" s="490">
        <f t="shared" si="6"/>
        <v>0</v>
      </c>
      <c r="K46" s="491">
        <f t="shared" si="7"/>
        <v>0</v>
      </c>
      <c r="L46" s="447">
        <v>0</v>
      </c>
      <c r="M46" s="447">
        <v>0</v>
      </c>
      <c r="N46" s="495">
        <f t="shared" si="0"/>
        <v>0</v>
      </c>
      <c r="O46" s="447">
        <v>0</v>
      </c>
      <c r="P46" s="490">
        <f t="shared" si="3"/>
        <v>0</v>
      </c>
      <c r="Q46" s="499">
        <f t="shared" si="8"/>
        <v>0</v>
      </c>
      <c r="R46" s="447">
        <v>0</v>
      </c>
      <c r="S46" s="447">
        <v>0</v>
      </c>
      <c r="T46" s="490">
        <f t="shared" si="4"/>
        <v>0</v>
      </c>
      <c r="U46" s="448"/>
    </row>
    <row r="47" spans="1:21" x14ac:dyDescent="0.35">
      <c r="A47" s="498">
        <f t="shared" si="1"/>
        <v>1</v>
      </c>
      <c r="B47" s="500"/>
      <c r="C47" s="447">
        <v>0</v>
      </c>
      <c r="D47" s="490">
        <f t="shared" si="5"/>
        <v>0</v>
      </c>
      <c r="E47" s="491">
        <f t="shared" si="9"/>
        <v>0</v>
      </c>
      <c r="F47" s="447">
        <v>0</v>
      </c>
      <c r="G47" s="447">
        <v>0</v>
      </c>
      <c r="H47" s="493">
        <f t="shared" si="2"/>
        <v>0</v>
      </c>
      <c r="I47" s="594">
        <v>0</v>
      </c>
      <c r="J47" s="490">
        <f t="shared" si="6"/>
        <v>0</v>
      </c>
      <c r="K47" s="491">
        <f t="shared" si="7"/>
        <v>0</v>
      </c>
      <c r="L47" s="447">
        <v>0</v>
      </c>
      <c r="M47" s="447">
        <v>0</v>
      </c>
      <c r="N47" s="495">
        <f t="shared" si="0"/>
        <v>0</v>
      </c>
      <c r="O47" s="447">
        <v>0</v>
      </c>
      <c r="P47" s="490">
        <f t="shared" si="3"/>
        <v>0</v>
      </c>
      <c r="Q47" s="499">
        <f t="shared" si="8"/>
        <v>0</v>
      </c>
      <c r="R47" s="447">
        <v>0</v>
      </c>
      <c r="S47" s="447">
        <v>0</v>
      </c>
      <c r="T47" s="490">
        <f t="shared" si="4"/>
        <v>0</v>
      </c>
      <c r="U47" s="448"/>
    </row>
    <row r="48" spans="1:21" x14ac:dyDescent="0.35">
      <c r="A48" s="498">
        <f t="shared" si="1"/>
        <v>1</v>
      </c>
      <c r="B48" s="500"/>
      <c r="C48" s="447">
        <v>0</v>
      </c>
      <c r="D48" s="490">
        <f t="shared" si="5"/>
        <v>0</v>
      </c>
      <c r="E48" s="491">
        <f t="shared" si="9"/>
        <v>0</v>
      </c>
      <c r="F48" s="447">
        <v>0</v>
      </c>
      <c r="G48" s="447">
        <v>0</v>
      </c>
      <c r="H48" s="493">
        <f t="shared" si="2"/>
        <v>0</v>
      </c>
      <c r="I48" s="594">
        <v>0</v>
      </c>
      <c r="J48" s="490">
        <f t="shared" si="6"/>
        <v>0</v>
      </c>
      <c r="K48" s="491">
        <f t="shared" si="7"/>
        <v>0</v>
      </c>
      <c r="L48" s="447">
        <v>0</v>
      </c>
      <c r="M48" s="447">
        <v>0</v>
      </c>
      <c r="N48" s="495">
        <f t="shared" si="0"/>
        <v>0</v>
      </c>
      <c r="O48" s="447">
        <v>0</v>
      </c>
      <c r="P48" s="490">
        <f t="shared" si="3"/>
        <v>0</v>
      </c>
      <c r="Q48" s="499">
        <f t="shared" si="8"/>
        <v>0</v>
      </c>
      <c r="R48" s="447">
        <v>0</v>
      </c>
      <c r="S48" s="447">
        <v>0</v>
      </c>
      <c r="T48" s="490">
        <f t="shared" si="4"/>
        <v>0</v>
      </c>
      <c r="U48" s="448"/>
    </row>
    <row r="49" spans="1:21" x14ac:dyDescent="0.35">
      <c r="A49" s="498">
        <f t="shared" si="1"/>
        <v>1</v>
      </c>
      <c r="B49" s="500"/>
      <c r="C49" s="447">
        <v>0</v>
      </c>
      <c r="D49" s="490">
        <f t="shared" si="5"/>
        <v>0</v>
      </c>
      <c r="E49" s="491">
        <f t="shared" si="9"/>
        <v>0</v>
      </c>
      <c r="F49" s="447">
        <v>0</v>
      </c>
      <c r="G49" s="447">
        <v>0</v>
      </c>
      <c r="H49" s="493">
        <f t="shared" si="2"/>
        <v>0</v>
      </c>
      <c r="I49" s="594">
        <v>0</v>
      </c>
      <c r="J49" s="490">
        <f t="shared" si="6"/>
        <v>0</v>
      </c>
      <c r="K49" s="491">
        <f t="shared" si="7"/>
        <v>0</v>
      </c>
      <c r="L49" s="447">
        <v>0</v>
      </c>
      <c r="M49" s="447">
        <v>0</v>
      </c>
      <c r="N49" s="495">
        <f t="shared" si="0"/>
        <v>0</v>
      </c>
      <c r="O49" s="447">
        <v>0</v>
      </c>
      <c r="P49" s="490">
        <f t="shared" si="3"/>
        <v>0</v>
      </c>
      <c r="Q49" s="499">
        <f t="shared" si="8"/>
        <v>0</v>
      </c>
      <c r="R49" s="447">
        <v>0</v>
      </c>
      <c r="S49" s="447">
        <v>0</v>
      </c>
      <c r="T49" s="490">
        <f t="shared" si="4"/>
        <v>0</v>
      </c>
      <c r="U49" s="448"/>
    </row>
    <row r="50" spans="1:21" x14ac:dyDescent="0.35">
      <c r="A50" s="498">
        <f t="shared" si="1"/>
        <v>1</v>
      </c>
      <c r="B50" s="500"/>
      <c r="C50" s="447">
        <v>0</v>
      </c>
      <c r="D50" s="490">
        <f t="shared" si="5"/>
        <v>0</v>
      </c>
      <c r="E50" s="491">
        <f t="shared" si="9"/>
        <v>0</v>
      </c>
      <c r="F50" s="447">
        <v>0</v>
      </c>
      <c r="G50" s="447">
        <v>0</v>
      </c>
      <c r="H50" s="493">
        <f t="shared" si="2"/>
        <v>0</v>
      </c>
      <c r="I50" s="594">
        <v>0</v>
      </c>
      <c r="J50" s="490">
        <f t="shared" si="6"/>
        <v>0</v>
      </c>
      <c r="K50" s="491">
        <f t="shared" si="7"/>
        <v>0</v>
      </c>
      <c r="L50" s="447">
        <v>0</v>
      </c>
      <c r="M50" s="447">
        <v>0</v>
      </c>
      <c r="N50" s="495">
        <f t="shared" si="0"/>
        <v>0</v>
      </c>
      <c r="O50" s="447">
        <v>0</v>
      </c>
      <c r="P50" s="490">
        <f t="shared" si="3"/>
        <v>0</v>
      </c>
      <c r="Q50" s="499">
        <f t="shared" si="8"/>
        <v>0</v>
      </c>
      <c r="R50" s="447">
        <v>0</v>
      </c>
      <c r="S50" s="447">
        <v>0</v>
      </c>
      <c r="T50" s="490">
        <f t="shared" si="4"/>
        <v>0</v>
      </c>
      <c r="U50" s="448"/>
    </row>
    <row r="51" spans="1:21" x14ac:dyDescent="0.35">
      <c r="A51" s="498">
        <f t="shared" si="1"/>
        <v>1</v>
      </c>
      <c r="B51" s="500"/>
      <c r="C51" s="447">
        <v>0</v>
      </c>
      <c r="D51" s="490">
        <f t="shared" si="5"/>
        <v>0</v>
      </c>
      <c r="E51" s="491">
        <f t="shared" si="9"/>
        <v>0</v>
      </c>
      <c r="F51" s="447">
        <v>0</v>
      </c>
      <c r="G51" s="447">
        <v>0</v>
      </c>
      <c r="H51" s="493">
        <f t="shared" si="2"/>
        <v>0</v>
      </c>
      <c r="I51" s="594">
        <v>0</v>
      </c>
      <c r="J51" s="490">
        <f t="shared" si="6"/>
        <v>0</v>
      </c>
      <c r="K51" s="491">
        <f t="shared" si="7"/>
        <v>0</v>
      </c>
      <c r="L51" s="447">
        <v>0</v>
      </c>
      <c r="M51" s="447">
        <v>0</v>
      </c>
      <c r="N51" s="495">
        <f t="shared" si="0"/>
        <v>0</v>
      </c>
      <c r="O51" s="447">
        <v>0</v>
      </c>
      <c r="P51" s="490">
        <f t="shared" si="3"/>
        <v>0</v>
      </c>
      <c r="Q51" s="499">
        <f t="shared" si="8"/>
        <v>0</v>
      </c>
      <c r="R51" s="447">
        <v>0</v>
      </c>
      <c r="S51" s="447">
        <v>0</v>
      </c>
      <c r="T51" s="490">
        <f t="shared" si="4"/>
        <v>0</v>
      </c>
      <c r="U51" s="448"/>
    </row>
    <row r="52" spans="1:21" x14ac:dyDescent="0.35">
      <c r="A52" s="498">
        <f t="shared" si="1"/>
        <v>1</v>
      </c>
      <c r="B52" s="449"/>
      <c r="C52" s="447">
        <v>0</v>
      </c>
      <c r="D52" s="490">
        <f t="shared" si="5"/>
        <v>0</v>
      </c>
      <c r="E52" s="491">
        <f t="shared" si="9"/>
        <v>0</v>
      </c>
      <c r="F52" s="447">
        <v>0</v>
      </c>
      <c r="G52" s="447">
        <v>0</v>
      </c>
      <c r="H52" s="493">
        <f t="shared" si="2"/>
        <v>0</v>
      </c>
      <c r="I52" s="594">
        <v>0</v>
      </c>
      <c r="J52" s="490">
        <f t="shared" si="6"/>
        <v>0</v>
      </c>
      <c r="K52" s="491">
        <f t="shared" si="7"/>
        <v>0</v>
      </c>
      <c r="L52" s="447">
        <v>0</v>
      </c>
      <c r="M52" s="447">
        <v>0</v>
      </c>
      <c r="N52" s="495">
        <f t="shared" si="0"/>
        <v>0</v>
      </c>
      <c r="O52" s="447">
        <v>0</v>
      </c>
      <c r="P52" s="490">
        <f t="shared" si="3"/>
        <v>0</v>
      </c>
      <c r="Q52" s="499">
        <f t="shared" si="8"/>
        <v>0</v>
      </c>
      <c r="R52" s="447">
        <v>0</v>
      </c>
      <c r="S52" s="447">
        <v>0</v>
      </c>
      <c r="T52" s="490">
        <f t="shared" si="4"/>
        <v>0</v>
      </c>
      <c r="U52" s="448"/>
    </row>
    <row r="53" spans="1:21" x14ac:dyDescent="0.35">
      <c r="A53" s="498">
        <f t="shared" si="1"/>
        <v>1</v>
      </c>
      <c r="B53" s="449"/>
      <c r="C53" s="447">
        <v>0</v>
      </c>
      <c r="D53" s="490">
        <f t="shared" si="5"/>
        <v>0</v>
      </c>
      <c r="E53" s="491">
        <f t="shared" si="9"/>
        <v>0</v>
      </c>
      <c r="F53" s="447">
        <v>0</v>
      </c>
      <c r="G53" s="447">
        <v>0</v>
      </c>
      <c r="H53" s="493">
        <f t="shared" si="2"/>
        <v>0</v>
      </c>
      <c r="I53" s="594">
        <v>0</v>
      </c>
      <c r="J53" s="490">
        <f t="shared" si="6"/>
        <v>0</v>
      </c>
      <c r="K53" s="491">
        <f t="shared" si="7"/>
        <v>0</v>
      </c>
      <c r="L53" s="447">
        <v>0</v>
      </c>
      <c r="M53" s="447">
        <v>0</v>
      </c>
      <c r="N53" s="495">
        <f t="shared" si="0"/>
        <v>0</v>
      </c>
      <c r="O53" s="447">
        <v>0</v>
      </c>
      <c r="P53" s="490">
        <f t="shared" si="3"/>
        <v>0</v>
      </c>
      <c r="Q53" s="499">
        <f t="shared" si="8"/>
        <v>0</v>
      </c>
      <c r="R53" s="447">
        <v>0</v>
      </c>
      <c r="S53" s="447">
        <v>0</v>
      </c>
      <c r="T53" s="490">
        <f t="shared" si="4"/>
        <v>0</v>
      </c>
      <c r="U53" s="448"/>
    </row>
    <row r="54" spans="1:21" x14ac:dyDescent="0.35">
      <c r="A54" s="498">
        <f t="shared" si="1"/>
        <v>1</v>
      </c>
      <c r="B54" s="449"/>
      <c r="C54" s="447">
        <v>0</v>
      </c>
      <c r="D54" s="490">
        <f t="shared" si="5"/>
        <v>0</v>
      </c>
      <c r="E54" s="491">
        <f t="shared" si="9"/>
        <v>0</v>
      </c>
      <c r="F54" s="447">
        <v>0</v>
      </c>
      <c r="G54" s="447">
        <v>0</v>
      </c>
      <c r="H54" s="493">
        <f t="shared" si="2"/>
        <v>0</v>
      </c>
      <c r="I54" s="594">
        <v>0</v>
      </c>
      <c r="J54" s="490">
        <f t="shared" si="6"/>
        <v>0</v>
      </c>
      <c r="K54" s="491">
        <f t="shared" si="7"/>
        <v>0</v>
      </c>
      <c r="L54" s="447">
        <v>0</v>
      </c>
      <c r="M54" s="447">
        <v>0</v>
      </c>
      <c r="N54" s="495">
        <f t="shared" si="0"/>
        <v>0</v>
      </c>
      <c r="O54" s="447">
        <v>0</v>
      </c>
      <c r="P54" s="490">
        <f t="shared" si="3"/>
        <v>0</v>
      </c>
      <c r="Q54" s="499">
        <f t="shared" si="8"/>
        <v>0</v>
      </c>
      <c r="R54" s="447">
        <v>0</v>
      </c>
      <c r="S54" s="447">
        <v>0</v>
      </c>
      <c r="T54" s="490">
        <f t="shared" si="4"/>
        <v>0</v>
      </c>
      <c r="U54" s="448"/>
    </row>
    <row r="55" spans="1:21" x14ac:dyDescent="0.35">
      <c r="A55" s="498">
        <f t="shared" si="1"/>
        <v>1</v>
      </c>
      <c r="B55" s="449"/>
      <c r="C55" s="447">
        <v>0</v>
      </c>
      <c r="D55" s="490">
        <f t="shared" si="5"/>
        <v>0</v>
      </c>
      <c r="E55" s="491">
        <f t="shared" si="9"/>
        <v>0</v>
      </c>
      <c r="F55" s="447">
        <v>0</v>
      </c>
      <c r="G55" s="447">
        <v>0</v>
      </c>
      <c r="H55" s="493">
        <f t="shared" si="2"/>
        <v>0</v>
      </c>
      <c r="I55" s="594">
        <v>0</v>
      </c>
      <c r="J55" s="490">
        <f t="shared" si="6"/>
        <v>0</v>
      </c>
      <c r="K55" s="491">
        <f t="shared" si="7"/>
        <v>0</v>
      </c>
      <c r="L55" s="447">
        <v>0</v>
      </c>
      <c r="M55" s="447">
        <v>0</v>
      </c>
      <c r="N55" s="495">
        <f t="shared" si="0"/>
        <v>0</v>
      </c>
      <c r="O55" s="447">
        <v>0</v>
      </c>
      <c r="P55" s="490">
        <f t="shared" si="3"/>
        <v>0</v>
      </c>
      <c r="Q55" s="499">
        <f t="shared" si="8"/>
        <v>0</v>
      </c>
      <c r="R55" s="447">
        <v>0</v>
      </c>
      <c r="S55" s="447">
        <v>0</v>
      </c>
      <c r="T55" s="490">
        <f t="shared" si="4"/>
        <v>0</v>
      </c>
      <c r="U55" s="448"/>
    </row>
    <row r="56" spans="1:21" x14ac:dyDescent="0.35">
      <c r="A56" s="498">
        <f t="shared" si="1"/>
        <v>1</v>
      </c>
      <c r="B56" s="449"/>
      <c r="C56" s="447">
        <v>0</v>
      </c>
      <c r="D56" s="490">
        <f t="shared" si="5"/>
        <v>0</v>
      </c>
      <c r="E56" s="491">
        <f t="shared" si="9"/>
        <v>0</v>
      </c>
      <c r="F56" s="447">
        <v>0</v>
      </c>
      <c r="G56" s="447">
        <v>0</v>
      </c>
      <c r="H56" s="493">
        <f t="shared" si="2"/>
        <v>0</v>
      </c>
      <c r="I56" s="594">
        <v>0</v>
      </c>
      <c r="J56" s="490">
        <f t="shared" si="6"/>
        <v>0</v>
      </c>
      <c r="K56" s="491">
        <f t="shared" si="7"/>
        <v>0</v>
      </c>
      <c r="L56" s="447">
        <v>0</v>
      </c>
      <c r="M56" s="447">
        <v>0</v>
      </c>
      <c r="N56" s="495">
        <f t="shared" si="0"/>
        <v>0</v>
      </c>
      <c r="O56" s="447">
        <v>0</v>
      </c>
      <c r="P56" s="490">
        <f t="shared" si="3"/>
        <v>0</v>
      </c>
      <c r="Q56" s="499">
        <f t="shared" si="8"/>
        <v>0</v>
      </c>
      <c r="R56" s="447">
        <v>0</v>
      </c>
      <c r="S56" s="447">
        <v>0</v>
      </c>
      <c r="T56" s="490">
        <f t="shared" si="4"/>
        <v>0</v>
      </c>
      <c r="U56" s="448"/>
    </row>
    <row r="57" spans="1:21" x14ac:dyDescent="0.35">
      <c r="A57" s="498">
        <f t="shared" si="1"/>
        <v>1</v>
      </c>
      <c r="B57" s="449"/>
      <c r="C57" s="447">
        <v>0</v>
      </c>
      <c r="D57" s="490">
        <f t="shared" si="5"/>
        <v>0</v>
      </c>
      <c r="E57" s="491">
        <f t="shared" si="9"/>
        <v>0</v>
      </c>
      <c r="F57" s="447">
        <v>0</v>
      </c>
      <c r="G57" s="447">
        <v>0</v>
      </c>
      <c r="H57" s="493">
        <f t="shared" si="2"/>
        <v>0</v>
      </c>
      <c r="I57" s="594">
        <v>0</v>
      </c>
      <c r="J57" s="490">
        <f t="shared" si="6"/>
        <v>0</v>
      </c>
      <c r="K57" s="491">
        <f t="shared" si="7"/>
        <v>0</v>
      </c>
      <c r="L57" s="447">
        <v>0</v>
      </c>
      <c r="M57" s="447">
        <v>0</v>
      </c>
      <c r="N57" s="495">
        <f t="shared" si="0"/>
        <v>0</v>
      </c>
      <c r="O57" s="447">
        <v>0</v>
      </c>
      <c r="P57" s="490">
        <f t="shared" si="3"/>
        <v>0</v>
      </c>
      <c r="Q57" s="499">
        <f t="shared" si="8"/>
        <v>0</v>
      </c>
      <c r="R57" s="447">
        <v>0</v>
      </c>
      <c r="S57" s="447">
        <v>0</v>
      </c>
      <c r="T57" s="490">
        <f t="shared" si="4"/>
        <v>0</v>
      </c>
      <c r="U57" s="448"/>
    </row>
    <row r="58" spans="1:21" x14ac:dyDescent="0.35">
      <c r="A58" s="498"/>
      <c r="B58" s="449"/>
      <c r="C58" s="447">
        <v>0</v>
      </c>
      <c r="D58" s="490">
        <f t="shared" si="5"/>
        <v>0</v>
      </c>
      <c r="E58" s="491">
        <f t="shared" si="9"/>
        <v>0</v>
      </c>
      <c r="F58" s="447">
        <v>0</v>
      </c>
      <c r="G58" s="447">
        <v>0</v>
      </c>
      <c r="H58" s="493">
        <f t="shared" si="2"/>
        <v>0</v>
      </c>
      <c r="I58" s="594">
        <v>0</v>
      </c>
      <c r="J58" s="490">
        <f t="shared" si="6"/>
        <v>0</v>
      </c>
      <c r="K58" s="491">
        <f t="shared" si="7"/>
        <v>0</v>
      </c>
      <c r="L58" s="447">
        <v>0</v>
      </c>
      <c r="M58" s="447">
        <v>0</v>
      </c>
      <c r="N58" s="495">
        <f t="shared" si="0"/>
        <v>0</v>
      </c>
      <c r="O58" s="447">
        <v>0</v>
      </c>
      <c r="P58" s="490">
        <f t="shared" si="3"/>
        <v>0</v>
      </c>
      <c r="Q58" s="499">
        <f t="shared" si="8"/>
        <v>0</v>
      </c>
      <c r="R58" s="447">
        <v>0</v>
      </c>
      <c r="S58" s="447">
        <v>0</v>
      </c>
      <c r="T58" s="490">
        <f t="shared" si="4"/>
        <v>0</v>
      </c>
      <c r="U58" s="448"/>
    </row>
    <row r="59" spans="1:21" x14ac:dyDescent="0.35">
      <c r="A59" s="501"/>
      <c r="B59" s="449"/>
      <c r="C59" s="447">
        <v>0</v>
      </c>
      <c r="D59" s="490">
        <f t="shared" si="5"/>
        <v>0</v>
      </c>
      <c r="E59" s="491">
        <f t="shared" si="9"/>
        <v>0</v>
      </c>
      <c r="F59" s="447">
        <v>0</v>
      </c>
      <c r="G59" s="447">
        <v>0</v>
      </c>
      <c r="H59" s="493">
        <f t="shared" si="2"/>
        <v>0</v>
      </c>
      <c r="I59" s="594">
        <v>0</v>
      </c>
      <c r="J59" s="490">
        <f t="shared" si="6"/>
        <v>0</v>
      </c>
      <c r="K59" s="491">
        <f t="shared" si="7"/>
        <v>0</v>
      </c>
      <c r="L59" s="447">
        <v>0</v>
      </c>
      <c r="M59" s="447">
        <v>0</v>
      </c>
      <c r="N59" s="495">
        <f t="shared" si="0"/>
        <v>0</v>
      </c>
      <c r="O59" s="447">
        <v>0</v>
      </c>
      <c r="P59" s="490">
        <f t="shared" si="3"/>
        <v>0</v>
      </c>
      <c r="Q59" s="499">
        <f t="shared" si="8"/>
        <v>0</v>
      </c>
      <c r="R59" s="447">
        <v>0</v>
      </c>
      <c r="S59" s="447">
        <v>0</v>
      </c>
      <c r="T59" s="490">
        <f t="shared" si="4"/>
        <v>0</v>
      </c>
      <c r="U59" s="448"/>
    </row>
    <row r="60" spans="1:21" x14ac:dyDescent="0.35">
      <c r="A60" s="501"/>
      <c r="B60" s="449"/>
      <c r="C60" s="447">
        <v>0</v>
      </c>
      <c r="D60" s="490">
        <f t="shared" si="5"/>
        <v>0</v>
      </c>
      <c r="E60" s="491">
        <f t="shared" si="9"/>
        <v>0</v>
      </c>
      <c r="F60" s="447">
        <v>0</v>
      </c>
      <c r="G60" s="447">
        <v>0</v>
      </c>
      <c r="H60" s="493">
        <f t="shared" si="2"/>
        <v>0</v>
      </c>
      <c r="I60" s="594">
        <v>0</v>
      </c>
      <c r="J60" s="490">
        <f t="shared" si="6"/>
        <v>0</v>
      </c>
      <c r="K60" s="491">
        <f t="shared" si="7"/>
        <v>0</v>
      </c>
      <c r="L60" s="447">
        <v>0</v>
      </c>
      <c r="M60" s="447">
        <v>0</v>
      </c>
      <c r="N60" s="495">
        <f t="shared" si="0"/>
        <v>0</v>
      </c>
      <c r="O60" s="447">
        <v>0</v>
      </c>
      <c r="P60" s="490">
        <f t="shared" si="3"/>
        <v>0</v>
      </c>
      <c r="Q60" s="499">
        <f t="shared" si="8"/>
        <v>0</v>
      </c>
      <c r="R60" s="447">
        <v>0</v>
      </c>
      <c r="S60" s="447">
        <v>0</v>
      </c>
      <c r="T60" s="490">
        <f t="shared" si="4"/>
        <v>0</v>
      </c>
      <c r="U60" s="448"/>
    </row>
    <row r="61" spans="1:21" x14ac:dyDescent="0.35">
      <c r="A61" s="501"/>
      <c r="B61" s="449"/>
      <c r="C61" s="447">
        <v>0</v>
      </c>
      <c r="D61" s="490">
        <f t="shared" si="5"/>
        <v>0</v>
      </c>
      <c r="E61" s="491">
        <f t="shared" si="9"/>
        <v>0</v>
      </c>
      <c r="F61" s="447">
        <v>0</v>
      </c>
      <c r="G61" s="447">
        <v>0</v>
      </c>
      <c r="H61" s="493">
        <f t="shared" si="2"/>
        <v>0</v>
      </c>
      <c r="I61" s="594">
        <v>0</v>
      </c>
      <c r="J61" s="490">
        <f t="shared" si="6"/>
        <v>0</v>
      </c>
      <c r="K61" s="491">
        <f t="shared" si="7"/>
        <v>0</v>
      </c>
      <c r="L61" s="447">
        <v>0</v>
      </c>
      <c r="M61" s="447">
        <v>0</v>
      </c>
      <c r="N61" s="495">
        <f t="shared" si="0"/>
        <v>0</v>
      </c>
      <c r="O61" s="447">
        <v>0</v>
      </c>
      <c r="P61" s="490">
        <f t="shared" si="3"/>
        <v>0</v>
      </c>
      <c r="Q61" s="499">
        <f t="shared" si="8"/>
        <v>0</v>
      </c>
      <c r="R61" s="447">
        <v>0</v>
      </c>
      <c r="S61" s="447">
        <v>0</v>
      </c>
      <c r="T61" s="490">
        <f t="shared" si="4"/>
        <v>0</v>
      </c>
      <c r="U61" s="448"/>
    </row>
    <row r="62" spans="1:21" x14ac:dyDescent="0.35">
      <c r="A62" s="501"/>
      <c r="B62" s="449"/>
      <c r="C62" s="447">
        <v>0</v>
      </c>
      <c r="D62" s="490">
        <f t="shared" si="5"/>
        <v>0</v>
      </c>
      <c r="E62" s="491">
        <f t="shared" si="9"/>
        <v>0</v>
      </c>
      <c r="F62" s="447">
        <v>0</v>
      </c>
      <c r="G62" s="447">
        <v>0</v>
      </c>
      <c r="H62" s="493">
        <f t="shared" si="2"/>
        <v>0</v>
      </c>
      <c r="I62" s="594">
        <v>0</v>
      </c>
      <c r="J62" s="490">
        <f t="shared" si="6"/>
        <v>0</v>
      </c>
      <c r="K62" s="491">
        <f t="shared" si="7"/>
        <v>0</v>
      </c>
      <c r="L62" s="447">
        <v>0</v>
      </c>
      <c r="M62" s="447">
        <v>0</v>
      </c>
      <c r="N62" s="495">
        <f t="shared" si="0"/>
        <v>0</v>
      </c>
      <c r="O62" s="447">
        <v>0</v>
      </c>
      <c r="P62" s="490">
        <f t="shared" si="3"/>
        <v>0</v>
      </c>
      <c r="Q62" s="499">
        <f t="shared" si="8"/>
        <v>0</v>
      </c>
      <c r="R62" s="447">
        <v>0</v>
      </c>
      <c r="S62" s="447">
        <v>0</v>
      </c>
      <c r="T62" s="490">
        <f t="shared" si="4"/>
        <v>0</v>
      </c>
      <c r="U62" s="448"/>
    </row>
    <row r="63" spans="1:21" x14ac:dyDescent="0.35">
      <c r="A63" s="501"/>
      <c r="B63" s="449"/>
      <c r="C63" s="447">
        <v>0</v>
      </c>
      <c r="D63" s="490">
        <f t="shared" si="5"/>
        <v>0</v>
      </c>
      <c r="E63" s="491">
        <f t="shared" si="9"/>
        <v>0</v>
      </c>
      <c r="F63" s="447">
        <v>0</v>
      </c>
      <c r="G63" s="447">
        <v>0</v>
      </c>
      <c r="H63" s="493">
        <f t="shared" si="2"/>
        <v>0</v>
      </c>
      <c r="I63" s="594">
        <v>0</v>
      </c>
      <c r="J63" s="490">
        <f t="shared" si="6"/>
        <v>0</v>
      </c>
      <c r="K63" s="491">
        <f t="shared" si="7"/>
        <v>0</v>
      </c>
      <c r="L63" s="447">
        <v>0</v>
      </c>
      <c r="M63" s="447">
        <v>0</v>
      </c>
      <c r="N63" s="495">
        <f t="shared" si="0"/>
        <v>0</v>
      </c>
      <c r="O63" s="447">
        <v>0</v>
      </c>
      <c r="P63" s="490">
        <f t="shared" si="3"/>
        <v>0</v>
      </c>
      <c r="Q63" s="499">
        <f t="shared" si="8"/>
        <v>0</v>
      </c>
      <c r="R63" s="447">
        <v>0</v>
      </c>
      <c r="S63" s="447">
        <v>0</v>
      </c>
      <c r="T63" s="490">
        <f t="shared" si="4"/>
        <v>0</v>
      </c>
      <c r="U63" s="448"/>
    </row>
    <row r="64" spans="1:21" x14ac:dyDescent="0.35">
      <c r="A64" s="501"/>
      <c r="B64" s="449"/>
      <c r="C64" s="447">
        <v>0</v>
      </c>
      <c r="D64" s="490">
        <f t="shared" si="5"/>
        <v>0</v>
      </c>
      <c r="E64" s="491">
        <f t="shared" si="9"/>
        <v>0</v>
      </c>
      <c r="F64" s="447">
        <v>0</v>
      </c>
      <c r="G64" s="447">
        <v>0</v>
      </c>
      <c r="H64" s="493">
        <f t="shared" si="2"/>
        <v>0</v>
      </c>
      <c r="I64" s="594">
        <v>0</v>
      </c>
      <c r="J64" s="490">
        <f t="shared" si="6"/>
        <v>0</v>
      </c>
      <c r="K64" s="491">
        <f t="shared" si="7"/>
        <v>0</v>
      </c>
      <c r="L64" s="447">
        <v>0</v>
      </c>
      <c r="M64" s="447">
        <v>0</v>
      </c>
      <c r="N64" s="495">
        <f t="shared" si="0"/>
        <v>0</v>
      </c>
      <c r="O64" s="447">
        <v>0</v>
      </c>
      <c r="P64" s="490">
        <f t="shared" si="3"/>
        <v>0</v>
      </c>
      <c r="Q64" s="499">
        <f t="shared" si="8"/>
        <v>0</v>
      </c>
      <c r="R64" s="447">
        <v>0</v>
      </c>
      <c r="S64" s="447">
        <v>0</v>
      </c>
      <c r="T64" s="490">
        <f t="shared" si="4"/>
        <v>0</v>
      </c>
      <c r="U64" s="448"/>
    </row>
    <row r="65" spans="1:21" x14ac:dyDescent="0.35">
      <c r="A65" s="501"/>
      <c r="B65" s="449"/>
      <c r="C65" s="447">
        <v>0</v>
      </c>
      <c r="D65" s="490">
        <f t="shared" si="5"/>
        <v>0</v>
      </c>
      <c r="E65" s="491">
        <f t="shared" si="9"/>
        <v>0</v>
      </c>
      <c r="F65" s="447">
        <v>0</v>
      </c>
      <c r="G65" s="447">
        <v>0</v>
      </c>
      <c r="H65" s="493">
        <f t="shared" si="2"/>
        <v>0</v>
      </c>
      <c r="I65" s="594">
        <v>0</v>
      </c>
      <c r="J65" s="490">
        <f t="shared" si="6"/>
        <v>0</v>
      </c>
      <c r="K65" s="491">
        <f t="shared" si="7"/>
        <v>0</v>
      </c>
      <c r="L65" s="447">
        <v>0</v>
      </c>
      <c r="M65" s="447">
        <v>0</v>
      </c>
      <c r="N65" s="495">
        <f t="shared" si="0"/>
        <v>0</v>
      </c>
      <c r="O65" s="447">
        <v>0</v>
      </c>
      <c r="P65" s="490">
        <f t="shared" si="3"/>
        <v>0</v>
      </c>
      <c r="Q65" s="499">
        <f t="shared" si="8"/>
        <v>0</v>
      </c>
      <c r="R65" s="447">
        <v>0</v>
      </c>
      <c r="S65" s="447">
        <v>0</v>
      </c>
      <c r="T65" s="490">
        <f t="shared" si="4"/>
        <v>0</v>
      </c>
      <c r="U65" s="448"/>
    </row>
    <row r="66" spans="1:21" x14ac:dyDescent="0.35">
      <c r="A66" s="501"/>
      <c r="B66" s="449"/>
      <c r="C66" s="447">
        <v>0</v>
      </c>
      <c r="D66" s="490">
        <f t="shared" si="5"/>
        <v>0</v>
      </c>
      <c r="E66" s="491">
        <f t="shared" si="9"/>
        <v>0</v>
      </c>
      <c r="F66" s="447">
        <v>0</v>
      </c>
      <c r="G66" s="447">
        <v>0</v>
      </c>
      <c r="H66" s="493">
        <f t="shared" si="2"/>
        <v>0</v>
      </c>
      <c r="I66" s="594">
        <v>0</v>
      </c>
      <c r="J66" s="490">
        <f t="shared" si="6"/>
        <v>0</v>
      </c>
      <c r="K66" s="491">
        <f t="shared" si="7"/>
        <v>0</v>
      </c>
      <c r="L66" s="447">
        <v>0</v>
      </c>
      <c r="M66" s="447">
        <v>0</v>
      </c>
      <c r="N66" s="495">
        <f t="shared" si="0"/>
        <v>0</v>
      </c>
      <c r="O66" s="447">
        <v>0</v>
      </c>
      <c r="P66" s="490">
        <f t="shared" si="3"/>
        <v>0</v>
      </c>
      <c r="Q66" s="499">
        <f t="shared" si="8"/>
        <v>0</v>
      </c>
      <c r="R66" s="447">
        <v>0</v>
      </c>
      <c r="S66" s="447">
        <v>0</v>
      </c>
      <c r="T66" s="490">
        <f t="shared" si="4"/>
        <v>0</v>
      </c>
      <c r="U66" s="448"/>
    </row>
    <row r="67" spans="1:21" x14ac:dyDescent="0.35">
      <c r="A67" s="501"/>
      <c r="B67" s="449"/>
      <c r="C67" s="447">
        <v>0</v>
      </c>
      <c r="D67" s="490">
        <f t="shared" si="5"/>
        <v>0</v>
      </c>
      <c r="E67" s="492">
        <f t="shared" si="9"/>
        <v>0</v>
      </c>
      <c r="F67" s="447">
        <v>0</v>
      </c>
      <c r="G67" s="447">
        <v>0</v>
      </c>
      <c r="H67" s="493">
        <f t="shared" si="2"/>
        <v>0</v>
      </c>
      <c r="I67" s="594">
        <v>0</v>
      </c>
      <c r="J67" s="490">
        <f t="shared" si="6"/>
        <v>0</v>
      </c>
      <c r="K67" s="491">
        <f t="shared" si="7"/>
        <v>0</v>
      </c>
      <c r="L67" s="447">
        <v>0</v>
      </c>
      <c r="M67" s="447">
        <v>0</v>
      </c>
      <c r="N67" s="495">
        <f t="shared" si="0"/>
        <v>0</v>
      </c>
      <c r="O67" s="447">
        <v>0</v>
      </c>
      <c r="P67" s="490">
        <f t="shared" si="3"/>
        <v>0</v>
      </c>
      <c r="Q67" s="499">
        <f t="shared" si="8"/>
        <v>0</v>
      </c>
      <c r="R67" s="447">
        <v>0</v>
      </c>
      <c r="S67" s="447">
        <v>0</v>
      </c>
      <c r="T67" s="490">
        <f t="shared" si="4"/>
        <v>0</v>
      </c>
      <c r="U67" s="448"/>
    </row>
    <row r="68" spans="1:21" ht="16" thickBot="1" x14ac:dyDescent="0.4">
      <c r="A68" s="501"/>
      <c r="B68" s="450" t="str">
        <f>IF(G20 = "Amazon", H20, "")</f>
        <v/>
      </c>
      <c r="C68" s="451">
        <f>IF($G$20 = "Amazon", $I$20, 0)</f>
        <v>0</v>
      </c>
      <c r="D68" s="490">
        <f t="shared" si="5"/>
        <v>0</v>
      </c>
      <c r="E68" s="452">
        <f>IFERROR(D68/$C$70,0)</f>
        <v>0</v>
      </c>
      <c r="F68" s="453">
        <v>0</v>
      </c>
      <c r="G68" s="453">
        <v>0</v>
      </c>
      <c r="H68" s="494">
        <f>IF($G$20 = "Amazon", $I$20, 0)</f>
        <v>0</v>
      </c>
      <c r="I68" s="454">
        <f>IF($G$20 = "Amazon", $I$20, 0)</f>
        <v>0</v>
      </c>
      <c r="J68" s="490">
        <f t="shared" si="6"/>
        <v>0</v>
      </c>
      <c r="K68" s="491">
        <f t="shared" si="7"/>
        <v>0</v>
      </c>
      <c r="L68" s="453">
        <v>0</v>
      </c>
      <c r="M68" s="453">
        <v>0</v>
      </c>
      <c r="N68" s="504">
        <f>I68-L68</f>
        <v>0</v>
      </c>
      <c r="O68" s="453">
        <f>IF($G$20 = "Amazon", $I$20, 0)</f>
        <v>0</v>
      </c>
      <c r="P68" s="502">
        <v>0</v>
      </c>
      <c r="Q68" s="503">
        <f t="shared" ref="Q68" si="10">IF(P68&lt;&gt;0, P68/$D$14,0)</f>
        <v>0</v>
      </c>
      <c r="R68" s="453">
        <v>0</v>
      </c>
      <c r="S68" s="453">
        <v>0</v>
      </c>
      <c r="T68" s="502">
        <f t="shared" ref="T68" si="11">O68-R68</f>
        <v>0</v>
      </c>
      <c r="U68" s="455" t="s">
        <v>727</v>
      </c>
    </row>
    <row r="69" spans="1:21" ht="16" thickBot="1" x14ac:dyDescent="0.4">
      <c r="B69" s="281" t="s">
        <v>728</v>
      </c>
      <c r="C69" s="282">
        <f>SUM(C25:C68)</f>
        <v>0</v>
      </c>
      <c r="D69" s="283"/>
      <c r="E69" s="284"/>
      <c r="F69" s="282">
        <f t="shared" ref="F69:O69" si="12">SUM(F25:F68)</f>
        <v>0</v>
      </c>
      <c r="G69" s="282">
        <f t="shared" si="12"/>
        <v>0</v>
      </c>
      <c r="H69" s="285">
        <f t="shared" si="12"/>
        <v>0</v>
      </c>
      <c r="I69" s="282">
        <f t="shared" si="12"/>
        <v>0</v>
      </c>
      <c r="J69" s="283"/>
      <c r="K69" s="284"/>
      <c r="L69" s="282">
        <f t="shared" si="12"/>
        <v>0</v>
      </c>
      <c r="M69" s="282">
        <f t="shared" si="12"/>
        <v>0</v>
      </c>
      <c r="N69" s="282">
        <f t="shared" si="12"/>
        <v>0</v>
      </c>
      <c r="O69" s="282">
        <f t="shared" si="12"/>
        <v>0</v>
      </c>
      <c r="P69" s="283"/>
      <c r="Q69" s="283"/>
      <c r="R69" s="282">
        <f>SUM(R25:R68)</f>
        <v>0</v>
      </c>
      <c r="S69" s="282">
        <f>SUM(S25:S68)</f>
        <v>0</v>
      </c>
      <c r="T69" s="282">
        <f>SUM(T25:T68)</f>
        <v>0</v>
      </c>
      <c r="U69" s="286"/>
    </row>
    <row r="70" spans="1:21" x14ac:dyDescent="0.35">
      <c r="G70" s="287" t="str">
        <f>IF(G69&lt;&gt;0,"Total should be 0","")</f>
        <v/>
      </c>
      <c r="I70" s="288"/>
      <c r="J70" s="288"/>
      <c r="K70" s="287"/>
      <c r="M70" s="287" t="str">
        <f>IF(M69&lt;&gt;0,"Total should be 0","")</f>
        <v/>
      </c>
    </row>
  </sheetData>
  <sheetProtection algorithmName="SHA-512" hashValue="wQq9En2PNZAZH760Uuqn5A+DIuG7ImzcsbM88IKncyzCI+I0BE7fVAhAxhqLuMR59SZ7k7eD5WNG8sLQNe68rQ==" saltValue="nUxDMHR7VW9R3Qry6wpvjw==" spinCount="100000" sheet="1" objects="1" scenarios="1"/>
  <mergeCells count="14">
    <mergeCell ref="O23:T23"/>
    <mergeCell ref="F12:I12"/>
    <mergeCell ref="B14:C14"/>
    <mergeCell ref="B15:C15"/>
    <mergeCell ref="J15:K18"/>
    <mergeCell ref="B16:C16"/>
    <mergeCell ref="B17:C17"/>
    <mergeCell ref="B18:C18"/>
    <mergeCell ref="B19:C19"/>
    <mergeCell ref="B20:C20"/>
    <mergeCell ref="B21:C21"/>
    <mergeCell ref="C23:H23"/>
    <mergeCell ref="I23:N23"/>
    <mergeCell ref="B13:C13"/>
  </mergeCells>
  <conditionalFormatting sqref="B25:B51">
    <cfRule type="expression" dxfId="13" priority="16">
      <formula>AND(SUM($C25:$T25)&lt;&gt;0,ISBLANK($B25))</formula>
    </cfRule>
  </conditionalFormatting>
  <conditionalFormatting sqref="B52:B67">
    <cfRule type="expression" dxfId="12" priority="23">
      <formula>AND(SUM($C52:$T52)&lt;&gt;0,ISBLANK($B52))</formula>
    </cfRule>
  </conditionalFormatting>
  <conditionalFormatting sqref="I25:I67">
    <cfRule type="expression" dxfId="11" priority="1">
      <formula>OR($B25&gt;=EOMONTH(TODAY(),-1)+1,ISBLANK($B25))</formula>
    </cfRule>
  </conditionalFormatting>
  <dataValidations count="5">
    <dataValidation type="date" operator="greaterThan" allowBlank="1" showInputMessage="1" showErrorMessage="1" errorTitle="Expected format" error="mmm-yy example: APR-21" promptTitle="Expected format " sqref="B68" xr:uid="{163CF662-A0B4-4E6C-B0CB-741A73E6D624}">
      <formula1>43466</formula1>
    </dataValidation>
    <dataValidation type="date" operator="greaterThan" allowBlank="1" showInputMessage="1" showErrorMessage="1" errorTitle="Expected format example" error="01/20/22" promptTitle="Please note this is not FA" sqref="G15:H17 H20" xr:uid="{D059061E-00BC-43F5-80C9-02D28C75CCA6}">
      <formula1>43466</formula1>
    </dataValidation>
    <dataValidation type="list" allowBlank="1" showInputMessage="1" showErrorMessage="1" sqref="G20" xr:uid="{B59E1E12-3FC8-4632-AD3F-4522B6B157C8}">
      <formula1>"Amazon, Developer, N/A"</formula1>
    </dataValidation>
    <dataValidation type="date" operator="greaterThan" allowBlank="1" showInputMessage="1" showErrorMessage="1" errorTitle="Expected format example" error="01/20/22" sqref="G14:H14" xr:uid="{EC56B97E-F02C-4646-80AE-BDA6B9C5152C}">
      <formula1>43466</formula1>
    </dataValidation>
    <dataValidation type="list" allowBlank="1" showInputMessage="1" showErrorMessage="1" sqref="D13" xr:uid="{5731D6FF-5B61-4A5F-9FAF-12B11901783E}">
      <formula1>"Yes, No"</formula1>
    </dataValidation>
  </dataValidations>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25" id="{BFCF633F-A34B-4398-9BF7-2EF81173CB33}">
            <xm:f>$I$69&lt;&gt;'W:\My Documents\Construction Macro\[Template Project Report 2.3.0.row.xlsx]GMP-PO Breakdown'!#REF!</xm:f>
            <x14:dxf>
              <fill>
                <patternFill>
                  <bgColor rgb="FFFF0000"/>
                </patternFill>
              </fill>
            </x14:dxf>
          </x14:cfRule>
          <xm:sqref>I69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EE956-5C4E-4376-822D-E7A48030B90D}">
  <sheetPr codeName="Sheet6">
    <pageSetUpPr fitToPage="1"/>
  </sheetPr>
  <dimension ref="A1:G231"/>
  <sheetViews>
    <sheetView tabSelected="1" zoomScaleNormal="100" workbookViewId="0">
      <pane ySplit="14" topLeftCell="A126" activePane="bottomLeft" state="frozen"/>
      <selection activeCell="C44" sqref="C44"/>
      <selection pane="bottomLeft" activeCell="F134" sqref="F134"/>
    </sheetView>
  </sheetViews>
  <sheetFormatPr defaultColWidth="9.1796875" defaultRowHeight="14.5" x14ac:dyDescent="0.35"/>
  <cols>
    <col min="1" max="1" width="2.26953125" style="165" customWidth="1"/>
    <col min="2" max="2" width="65.7265625" style="165" customWidth="1"/>
    <col min="3" max="3" width="15.7265625" style="165" customWidth="1"/>
    <col min="4" max="4" width="17.81640625" style="165" customWidth="1"/>
    <col min="5" max="5" width="17.453125" style="165" customWidth="1"/>
    <col min="6" max="6" width="40.7265625" style="165" customWidth="1"/>
    <col min="7" max="7" width="9.1796875" style="165"/>
    <col min="8" max="8" width="21.54296875" style="165" customWidth="1"/>
    <col min="9" max="16384" width="9.1796875" style="165"/>
  </cols>
  <sheetData>
    <row r="1" spans="1:7" x14ac:dyDescent="0.35">
      <c r="B1" s="35" t="s">
        <v>49</v>
      </c>
      <c r="C1" s="33"/>
    </row>
    <row r="2" spans="1:7" x14ac:dyDescent="0.35">
      <c r="B2" s="34"/>
      <c r="C2" s="33"/>
    </row>
    <row r="3" spans="1:7" x14ac:dyDescent="0.35">
      <c r="B3" s="35" t="s">
        <v>747</v>
      </c>
      <c r="C3" s="33"/>
    </row>
    <row r="4" spans="1:7" ht="15" thickBot="1" x14ac:dyDescent="0.4">
      <c r="B4" s="34"/>
      <c r="C4" s="33"/>
      <c r="E4" s="217"/>
      <c r="F4" s="217"/>
      <c r="G4" s="184"/>
    </row>
    <row r="5" spans="1:7" ht="15" thickBot="1" x14ac:dyDescent="0.4">
      <c r="B5" s="42" t="s">
        <v>53</v>
      </c>
      <c r="C5" s="167">
        <f>'GMP-PO Breakdown'!C5</f>
        <v>0</v>
      </c>
      <c r="E5" s="217"/>
      <c r="F5" s="83"/>
      <c r="G5" s="184"/>
    </row>
    <row r="6" spans="1:7" ht="15" thickBot="1" x14ac:dyDescent="0.4">
      <c r="E6" s="217"/>
      <c r="F6" s="217"/>
      <c r="G6" s="184"/>
    </row>
    <row r="7" spans="1:7" x14ac:dyDescent="0.35">
      <c r="B7" s="171" t="s">
        <v>55</v>
      </c>
      <c r="C7" s="172">
        <f>'GMP-PO Breakdown'!C6</f>
        <v>0</v>
      </c>
      <c r="E7" s="184"/>
      <c r="F7" s="184"/>
      <c r="G7" s="184"/>
    </row>
    <row r="8" spans="1:7" x14ac:dyDescent="0.35">
      <c r="B8" s="44" t="s">
        <v>231</v>
      </c>
      <c r="C8" s="175">
        <f>'GMP-PO Breakdown'!C7</f>
        <v>0</v>
      </c>
      <c r="E8" s="184"/>
      <c r="F8" s="184"/>
      <c r="G8" s="184"/>
    </row>
    <row r="9" spans="1:7" x14ac:dyDescent="0.35">
      <c r="B9" s="44" t="s">
        <v>67</v>
      </c>
      <c r="C9" s="175">
        <f>'GMP-PO Breakdown'!C12</f>
        <v>0</v>
      </c>
      <c r="E9" s="184"/>
      <c r="F9" s="184"/>
      <c r="G9" s="184"/>
    </row>
    <row r="10" spans="1:7" x14ac:dyDescent="0.35">
      <c r="B10" s="44" t="s">
        <v>69</v>
      </c>
      <c r="C10" s="175">
        <f>'GMP-PO Breakdown'!C13</f>
        <v>0</v>
      </c>
    </row>
    <row r="11" spans="1:7" ht="15" thickBot="1" x14ac:dyDescent="0.4">
      <c r="B11" s="49" t="s">
        <v>71</v>
      </c>
      <c r="C11" s="183">
        <f>'GMP-PO Breakdown'!C14</f>
        <v>0</v>
      </c>
    </row>
    <row r="13" spans="1:7" ht="15" thickBot="1" x14ac:dyDescent="0.4">
      <c r="B13" s="459"/>
    </row>
    <row r="14" spans="1:7" ht="15" thickBot="1" x14ac:dyDescent="0.4">
      <c r="B14" s="55" t="s">
        <v>748</v>
      </c>
      <c r="C14" s="327"/>
      <c r="D14" s="327"/>
      <c r="E14" s="327"/>
      <c r="F14" s="57"/>
    </row>
    <row r="15" spans="1:7" s="166" customFormat="1" ht="8.15" customHeight="1" thickBot="1" x14ac:dyDescent="0.4">
      <c r="A15" s="217"/>
      <c r="B15" s="328"/>
      <c r="C15" s="329"/>
      <c r="D15" s="329"/>
      <c r="E15" s="329"/>
      <c r="F15" s="330"/>
      <c r="G15" s="217"/>
    </row>
    <row r="16" spans="1:7" ht="15.75" customHeight="1" thickBot="1" x14ac:dyDescent="0.4">
      <c r="B16" s="331" t="str">
        <f>'GMP-PO Breakdown'!C79</f>
        <v>Tenant Contingency</v>
      </c>
      <c r="C16" s="332" t="s">
        <v>749</v>
      </c>
      <c r="D16" s="332" t="s">
        <v>200</v>
      </c>
      <c r="E16" s="332" t="s">
        <v>750</v>
      </c>
      <c r="F16" s="333" t="s">
        <v>751</v>
      </c>
    </row>
    <row r="17" spans="2:6" x14ac:dyDescent="0.35">
      <c r="B17" s="563"/>
      <c r="C17" s="335"/>
      <c r="D17" s="336"/>
      <c r="E17" s="336"/>
      <c r="F17" s="337"/>
    </row>
    <row r="18" spans="2:6" x14ac:dyDescent="0.35">
      <c r="B18" s="563"/>
      <c r="C18" s="564"/>
      <c r="D18" s="565"/>
      <c r="E18" s="565"/>
      <c r="F18" s="566"/>
    </row>
    <row r="19" spans="2:6" x14ac:dyDescent="0.35">
      <c r="B19" s="563"/>
      <c r="C19" s="564"/>
      <c r="D19" s="565"/>
      <c r="E19" s="565"/>
      <c r="F19" s="566"/>
    </row>
    <row r="20" spans="2:6" x14ac:dyDescent="0.35">
      <c r="B20" s="563"/>
      <c r="C20" s="564"/>
      <c r="D20" s="565"/>
      <c r="E20" s="565"/>
      <c r="F20" s="566"/>
    </row>
    <row r="21" spans="2:6" x14ac:dyDescent="0.35">
      <c r="B21" s="563"/>
      <c r="C21" s="564"/>
      <c r="D21" s="565"/>
      <c r="E21" s="565"/>
      <c r="F21" s="566"/>
    </row>
    <row r="22" spans="2:6" x14ac:dyDescent="0.35">
      <c r="B22" s="563"/>
      <c r="C22" s="564"/>
      <c r="D22" s="565"/>
      <c r="E22" s="565"/>
      <c r="F22" s="566"/>
    </row>
    <row r="23" spans="2:6" x14ac:dyDescent="0.35">
      <c r="B23" s="563"/>
      <c r="C23" s="564"/>
      <c r="D23" s="565"/>
      <c r="E23" s="565"/>
      <c r="F23" s="566"/>
    </row>
    <row r="24" spans="2:6" x14ac:dyDescent="0.35">
      <c r="B24" s="563"/>
      <c r="C24" s="564"/>
      <c r="D24" s="565"/>
      <c r="E24" s="565"/>
      <c r="F24" s="566"/>
    </row>
    <row r="25" spans="2:6" x14ac:dyDescent="0.35">
      <c r="B25" s="563"/>
      <c r="C25" s="564"/>
      <c r="D25" s="565"/>
      <c r="E25" s="565"/>
      <c r="F25" s="566"/>
    </row>
    <row r="26" spans="2:6" x14ac:dyDescent="0.35">
      <c r="B26" s="563"/>
      <c r="C26" s="564"/>
      <c r="D26" s="565"/>
      <c r="E26" s="565"/>
      <c r="F26" s="566"/>
    </row>
    <row r="27" spans="2:6" x14ac:dyDescent="0.35">
      <c r="B27" s="563"/>
      <c r="C27" s="564"/>
      <c r="D27" s="565"/>
      <c r="E27" s="565"/>
      <c r="F27" s="566"/>
    </row>
    <row r="28" spans="2:6" x14ac:dyDescent="0.35">
      <c r="B28" s="563"/>
      <c r="C28" s="564"/>
      <c r="D28" s="565"/>
      <c r="E28" s="565"/>
      <c r="F28" s="566"/>
    </row>
    <row r="29" spans="2:6" x14ac:dyDescent="0.35">
      <c r="B29" s="563"/>
      <c r="C29" s="564"/>
      <c r="D29" s="565"/>
      <c r="E29" s="565"/>
      <c r="F29" s="566"/>
    </row>
    <row r="30" spans="2:6" x14ac:dyDescent="0.35">
      <c r="B30" s="563"/>
      <c r="C30" s="564"/>
      <c r="D30" s="565"/>
      <c r="E30" s="565"/>
      <c r="F30" s="566"/>
    </row>
    <row r="31" spans="2:6" x14ac:dyDescent="0.35">
      <c r="B31" s="563"/>
      <c r="C31" s="564"/>
      <c r="D31" s="565"/>
      <c r="E31" s="565"/>
      <c r="F31" s="566"/>
    </row>
    <row r="32" spans="2:6" x14ac:dyDescent="0.35">
      <c r="B32" s="563"/>
      <c r="C32" s="564"/>
      <c r="D32" s="565"/>
      <c r="E32" s="565"/>
      <c r="F32" s="566"/>
    </row>
    <row r="33" spans="2:6" x14ac:dyDescent="0.35">
      <c r="B33" s="563"/>
      <c r="C33" s="564"/>
      <c r="D33" s="565"/>
      <c r="E33" s="565"/>
      <c r="F33" s="566"/>
    </row>
    <row r="34" spans="2:6" x14ac:dyDescent="0.35">
      <c r="B34" s="563"/>
      <c r="C34" s="564"/>
      <c r="D34" s="565"/>
      <c r="E34" s="565"/>
      <c r="F34" s="566"/>
    </row>
    <row r="35" spans="2:6" x14ac:dyDescent="0.35">
      <c r="B35" s="563"/>
      <c r="C35" s="564"/>
      <c r="D35" s="565"/>
      <c r="E35" s="565"/>
      <c r="F35" s="566"/>
    </row>
    <row r="36" spans="2:6" x14ac:dyDescent="0.35">
      <c r="B36" s="563"/>
      <c r="C36" s="564"/>
      <c r="D36" s="565"/>
      <c r="E36" s="565"/>
      <c r="F36" s="566"/>
    </row>
    <row r="37" spans="2:6" x14ac:dyDescent="0.35">
      <c r="B37" s="563"/>
      <c r="C37" s="564"/>
      <c r="D37" s="565"/>
      <c r="E37" s="565"/>
      <c r="F37" s="566"/>
    </row>
    <row r="38" spans="2:6" x14ac:dyDescent="0.35">
      <c r="B38" s="563"/>
      <c r="C38" s="564"/>
      <c r="D38" s="565"/>
      <c r="E38" s="565"/>
      <c r="F38" s="566"/>
    </row>
    <row r="39" spans="2:6" x14ac:dyDescent="0.35">
      <c r="B39" s="563"/>
      <c r="C39" s="564"/>
      <c r="D39" s="565"/>
      <c r="E39" s="565"/>
      <c r="F39" s="566"/>
    </row>
    <row r="40" spans="2:6" x14ac:dyDescent="0.35">
      <c r="B40" s="563"/>
      <c r="C40" s="564"/>
      <c r="D40" s="565"/>
      <c r="E40" s="565"/>
      <c r="F40" s="566"/>
    </row>
    <row r="41" spans="2:6" x14ac:dyDescent="0.35">
      <c r="B41" s="563"/>
      <c r="C41" s="564"/>
      <c r="D41" s="565"/>
      <c r="E41" s="565"/>
      <c r="F41" s="566"/>
    </row>
    <row r="42" spans="2:6" x14ac:dyDescent="0.35">
      <c r="B42" s="563"/>
      <c r="C42" s="564"/>
      <c r="D42" s="565"/>
      <c r="E42" s="565"/>
      <c r="F42" s="566"/>
    </row>
    <row r="43" spans="2:6" x14ac:dyDescent="0.35">
      <c r="B43" s="563"/>
      <c r="C43" s="564"/>
      <c r="D43" s="565"/>
      <c r="E43" s="565"/>
      <c r="F43" s="566"/>
    </row>
    <row r="44" spans="2:6" x14ac:dyDescent="0.35">
      <c r="B44" s="563"/>
      <c r="C44" s="564"/>
      <c r="D44" s="565"/>
      <c r="E44" s="565"/>
      <c r="F44" s="566"/>
    </row>
    <row r="45" spans="2:6" x14ac:dyDescent="0.35">
      <c r="B45" s="563"/>
      <c r="C45" s="564"/>
      <c r="D45" s="565"/>
      <c r="E45" s="565"/>
      <c r="F45" s="566"/>
    </row>
    <row r="46" spans="2:6" x14ac:dyDescent="0.35">
      <c r="B46" s="563"/>
      <c r="C46" s="564"/>
      <c r="D46" s="565"/>
      <c r="E46" s="565"/>
      <c r="F46" s="566"/>
    </row>
    <row r="47" spans="2:6" x14ac:dyDescent="0.35">
      <c r="B47" s="563"/>
      <c r="C47" s="564"/>
      <c r="D47" s="565"/>
      <c r="E47" s="565"/>
      <c r="F47" s="566"/>
    </row>
    <row r="48" spans="2:6" x14ac:dyDescent="0.35">
      <c r="B48" s="563"/>
      <c r="C48" s="564"/>
      <c r="D48" s="565"/>
      <c r="E48" s="565"/>
      <c r="F48" s="566"/>
    </row>
    <row r="49" spans="2:6" x14ac:dyDescent="0.35">
      <c r="B49" s="563"/>
      <c r="C49" s="564"/>
      <c r="D49" s="565"/>
      <c r="E49" s="565"/>
      <c r="F49" s="566"/>
    </row>
    <row r="50" spans="2:6" x14ac:dyDescent="0.35">
      <c r="B50" s="563"/>
      <c r="C50" s="564"/>
      <c r="D50" s="565"/>
      <c r="E50" s="565"/>
      <c r="F50" s="566"/>
    </row>
    <row r="51" spans="2:6" x14ac:dyDescent="0.35">
      <c r="B51" s="563"/>
      <c r="C51" s="564"/>
      <c r="D51" s="565"/>
      <c r="E51" s="565"/>
      <c r="F51" s="566"/>
    </row>
    <row r="52" spans="2:6" x14ac:dyDescent="0.35">
      <c r="B52" s="563"/>
      <c r="C52" s="564"/>
      <c r="D52" s="565"/>
      <c r="E52" s="565"/>
      <c r="F52" s="566"/>
    </row>
    <row r="53" spans="2:6" x14ac:dyDescent="0.35">
      <c r="B53" s="563"/>
      <c r="C53" s="564"/>
      <c r="D53" s="565"/>
      <c r="E53" s="565"/>
      <c r="F53" s="566"/>
    </row>
    <row r="54" spans="2:6" x14ac:dyDescent="0.35">
      <c r="B54" s="563"/>
      <c r="C54" s="564"/>
      <c r="D54" s="565"/>
      <c r="E54" s="565"/>
      <c r="F54" s="566"/>
    </row>
    <row r="55" spans="2:6" x14ac:dyDescent="0.35">
      <c r="B55" s="563"/>
      <c r="C55" s="564"/>
      <c r="D55" s="565"/>
      <c r="E55" s="565"/>
      <c r="F55" s="566"/>
    </row>
    <row r="56" spans="2:6" x14ac:dyDescent="0.35">
      <c r="B56" s="563"/>
      <c r="C56" s="564"/>
      <c r="D56" s="565"/>
      <c r="E56" s="565"/>
      <c r="F56" s="566"/>
    </row>
    <row r="57" spans="2:6" x14ac:dyDescent="0.35">
      <c r="B57" s="563"/>
      <c r="C57" s="564"/>
      <c r="D57" s="565"/>
      <c r="E57" s="565"/>
      <c r="F57" s="566"/>
    </row>
    <row r="58" spans="2:6" x14ac:dyDescent="0.35">
      <c r="B58" s="563"/>
      <c r="C58" s="564"/>
      <c r="D58" s="565"/>
      <c r="E58" s="565"/>
      <c r="F58" s="566"/>
    </row>
    <row r="59" spans="2:6" x14ac:dyDescent="0.35">
      <c r="B59" s="563"/>
      <c r="C59" s="564"/>
      <c r="D59" s="565"/>
      <c r="E59" s="565"/>
      <c r="F59" s="566"/>
    </row>
    <row r="60" spans="2:6" x14ac:dyDescent="0.35">
      <c r="B60" s="563"/>
      <c r="C60" s="564"/>
      <c r="D60" s="565"/>
      <c r="E60" s="565"/>
      <c r="F60" s="566"/>
    </row>
    <row r="61" spans="2:6" x14ac:dyDescent="0.35">
      <c r="B61" s="563"/>
      <c r="C61" s="564"/>
      <c r="D61" s="565"/>
      <c r="E61" s="565"/>
      <c r="F61" s="566"/>
    </row>
    <row r="62" spans="2:6" x14ac:dyDescent="0.35">
      <c r="B62" s="563"/>
      <c r="C62" s="564"/>
      <c r="D62" s="565"/>
      <c r="E62" s="565"/>
      <c r="F62" s="566"/>
    </row>
    <row r="63" spans="2:6" x14ac:dyDescent="0.35">
      <c r="B63" s="563"/>
      <c r="C63" s="564"/>
      <c r="D63" s="565"/>
      <c r="E63" s="565"/>
      <c r="F63" s="566"/>
    </row>
    <row r="64" spans="2:6" x14ac:dyDescent="0.35">
      <c r="B64" s="563"/>
      <c r="C64" s="564"/>
      <c r="D64" s="565"/>
      <c r="E64" s="565"/>
      <c r="F64" s="566"/>
    </row>
    <row r="65" spans="2:6" x14ac:dyDescent="0.35">
      <c r="B65" s="563"/>
      <c r="C65" s="564"/>
      <c r="D65" s="565"/>
      <c r="E65" s="565"/>
      <c r="F65" s="566"/>
    </row>
    <row r="66" spans="2:6" x14ac:dyDescent="0.35">
      <c r="B66" s="563"/>
      <c r="C66" s="564"/>
      <c r="D66" s="565"/>
      <c r="E66" s="565"/>
      <c r="F66" s="566"/>
    </row>
    <row r="67" spans="2:6" x14ac:dyDescent="0.35">
      <c r="B67" s="563"/>
      <c r="C67" s="564"/>
      <c r="D67" s="565"/>
      <c r="E67" s="565"/>
      <c r="F67" s="566"/>
    </row>
    <row r="68" spans="2:6" x14ac:dyDescent="0.35">
      <c r="B68" s="563"/>
      <c r="C68" s="564"/>
      <c r="D68" s="565"/>
      <c r="E68" s="565"/>
      <c r="F68" s="566"/>
    </row>
    <row r="69" spans="2:6" x14ac:dyDescent="0.35">
      <c r="B69" s="563"/>
      <c r="C69" s="564"/>
      <c r="D69" s="565"/>
      <c r="E69" s="565"/>
      <c r="F69" s="566"/>
    </row>
    <row r="70" spans="2:6" x14ac:dyDescent="0.35">
      <c r="B70" s="563"/>
      <c r="C70" s="564"/>
      <c r="D70" s="565"/>
      <c r="E70" s="565"/>
      <c r="F70" s="566"/>
    </row>
    <row r="71" spans="2:6" x14ac:dyDescent="0.35">
      <c r="B71" s="563"/>
      <c r="C71" s="564"/>
      <c r="D71" s="565"/>
      <c r="E71" s="565"/>
      <c r="F71" s="566"/>
    </row>
    <row r="72" spans="2:6" x14ac:dyDescent="0.35">
      <c r="B72" s="563"/>
      <c r="C72" s="564"/>
      <c r="D72" s="565"/>
      <c r="E72" s="565"/>
      <c r="F72" s="566"/>
    </row>
    <row r="73" spans="2:6" x14ac:dyDescent="0.35">
      <c r="B73" s="563"/>
      <c r="C73" s="564"/>
      <c r="D73" s="565"/>
      <c r="E73" s="565"/>
      <c r="F73" s="566"/>
    </row>
    <row r="74" spans="2:6" x14ac:dyDescent="0.35">
      <c r="B74" s="563"/>
      <c r="C74" s="564"/>
      <c r="D74" s="565"/>
      <c r="E74" s="565"/>
      <c r="F74" s="566"/>
    </row>
    <row r="75" spans="2:6" x14ac:dyDescent="0.35">
      <c r="B75" s="563"/>
      <c r="C75" s="564"/>
      <c r="D75" s="565"/>
      <c r="E75" s="565"/>
      <c r="F75" s="566"/>
    </row>
    <row r="76" spans="2:6" x14ac:dyDescent="0.35">
      <c r="B76" s="563"/>
      <c r="C76" s="564"/>
      <c r="D76" s="565"/>
      <c r="E76" s="565"/>
      <c r="F76" s="566"/>
    </row>
    <row r="77" spans="2:6" x14ac:dyDescent="0.35">
      <c r="B77" s="563"/>
      <c r="C77" s="564"/>
      <c r="D77" s="565"/>
      <c r="E77" s="565"/>
      <c r="F77" s="566"/>
    </row>
    <row r="78" spans="2:6" x14ac:dyDescent="0.35">
      <c r="B78" s="563"/>
      <c r="C78" s="564"/>
      <c r="D78" s="565"/>
      <c r="E78" s="565"/>
      <c r="F78" s="566"/>
    </row>
    <row r="79" spans="2:6" x14ac:dyDescent="0.35">
      <c r="B79" s="563"/>
      <c r="C79" s="564"/>
      <c r="D79" s="565"/>
      <c r="E79" s="565"/>
      <c r="F79" s="566"/>
    </row>
    <row r="80" spans="2:6" x14ac:dyDescent="0.35">
      <c r="B80" s="563"/>
      <c r="C80" s="564"/>
      <c r="D80" s="565"/>
      <c r="E80" s="565"/>
      <c r="F80" s="566"/>
    </row>
    <row r="81" spans="2:6" x14ac:dyDescent="0.35">
      <c r="B81" s="563"/>
      <c r="C81" s="564"/>
      <c r="D81" s="565"/>
      <c r="E81" s="565"/>
      <c r="F81" s="566"/>
    </row>
    <row r="82" spans="2:6" x14ac:dyDescent="0.35">
      <c r="B82" s="563"/>
      <c r="C82" s="564"/>
      <c r="D82" s="565"/>
      <c r="E82" s="565"/>
      <c r="F82" s="566"/>
    </row>
    <row r="83" spans="2:6" x14ac:dyDescent="0.35">
      <c r="B83" s="563"/>
      <c r="C83" s="564"/>
      <c r="D83" s="565"/>
      <c r="E83" s="565"/>
      <c r="F83" s="566"/>
    </row>
    <row r="84" spans="2:6" x14ac:dyDescent="0.35">
      <c r="B84" s="563"/>
      <c r="C84" s="564"/>
      <c r="D84" s="565"/>
      <c r="E84" s="565"/>
      <c r="F84" s="566"/>
    </row>
    <row r="85" spans="2:6" x14ac:dyDescent="0.35">
      <c r="B85" s="563"/>
      <c r="C85" s="564"/>
      <c r="D85" s="565"/>
      <c r="E85" s="565"/>
      <c r="F85" s="566"/>
    </row>
    <row r="86" spans="2:6" x14ac:dyDescent="0.35">
      <c r="B86" s="563"/>
      <c r="C86" s="564"/>
      <c r="D86" s="565"/>
      <c r="E86" s="565"/>
      <c r="F86" s="566"/>
    </row>
    <row r="87" spans="2:6" x14ac:dyDescent="0.35">
      <c r="B87" s="563"/>
      <c r="C87" s="564"/>
      <c r="D87" s="565"/>
      <c r="E87" s="565"/>
      <c r="F87" s="566"/>
    </row>
    <row r="88" spans="2:6" x14ac:dyDescent="0.35">
      <c r="B88" s="563"/>
      <c r="C88" s="564"/>
      <c r="D88" s="565"/>
      <c r="E88" s="565"/>
      <c r="F88" s="566"/>
    </row>
    <row r="89" spans="2:6" x14ac:dyDescent="0.35">
      <c r="B89" s="563"/>
      <c r="C89" s="564"/>
      <c r="D89" s="565"/>
      <c r="E89" s="565"/>
      <c r="F89" s="566"/>
    </row>
    <row r="90" spans="2:6" x14ac:dyDescent="0.35">
      <c r="B90" s="563"/>
      <c r="C90" s="564"/>
      <c r="D90" s="565"/>
      <c r="E90" s="565"/>
      <c r="F90" s="566"/>
    </row>
    <row r="91" spans="2:6" x14ac:dyDescent="0.35">
      <c r="B91" s="563"/>
      <c r="C91" s="564"/>
      <c r="D91" s="565"/>
      <c r="E91" s="565"/>
      <c r="F91" s="566"/>
    </row>
    <row r="92" spans="2:6" x14ac:dyDescent="0.35">
      <c r="B92" s="563"/>
      <c r="C92" s="564"/>
      <c r="D92" s="565"/>
      <c r="E92" s="565"/>
      <c r="F92" s="566"/>
    </row>
    <row r="93" spans="2:6" x14ac:dyDescent="0.35">
      <c r="B93" s="563"/>
      <c r="C93" s="564"/>
      <c r="D93" s="565"/>
      <c r="E93" s="565"/>
      <c r="F93" s="566"/>
    </row>
    <row r="94" spans="2:6" x14ac:dyDescent="0.35">
      <c r="B94" s="563"/>
      <c r="C94" s="564"/>
      <c r="D94" s="565"/>
      <c r="E94" s="565"/>
      <c r="F94" s="566"/>
    </row>
    <row r="95" spans="2:6" x14ac:dyDescent="0.35">
      <c r="B95" s="563"/>
      <c r="C95" s="564"/>
      <c r="D95" s="565"/>
      <c r="E95" s="565"/>
      <c r="F95" s="566"/>
    </row>
    <row r="96" spans="2:6" x14ac:dyDescent="0.35">
      <c r="B96" s="563"/>
      <c r="C96" s="564"/>
      <c r="D96" s="565"/>
      <c r="E96" s="565"/>
      <c r="F96" s="566"/>
    </row>
    <row r="97" spans="2:6" x14ac:dyDescent="0.35">
      <c r="B97" s="563"/>
      <c r="C97" s="564"/>
      <c r="D97" s="565"/>
      <c r="E97" s="565"/>
      <c r="F97" s="566"/>
    </row>
    <row r="98" spans="2:6" x14ac:dyDescent="0.35">
      <c r="B98" s="563"/>
      <c r="C98" s="564"/>
      <c r="D98" s="565"/>
      <c r="E98" s="565"/>
      <c r="F98" s="566"/>
    </row>
    <row r="99" spans="2:6" x14ac:dyDescent="0.35">
      <c r="B99" s="563"/>
      <c r="C99" s="564"/>
      <c r="D99" s="565"/>
      <c r="E99" s="565"/>
      <c r="F99" s="566"/>
    </row>
    <row r="100" spans="2:6" x14ac:dyDescent="0.35">
      <c r="B100" s="563"/>
      <c r="C100" s="564"/>
      <c r="D100" s="565"/>
      <c r="E100" s="565"/>
      <c r="F100" s="566"/>
    </row>
    <row r="101" spans="2:6" x14ac:dyDescent="0.35">
      <c r="B101" s="563"/>
      <c r="C101" s="564"/>
      <c r="D101" s="565"/>
      <c r="E101" s="565"/>
      <c r="F101" s="566"/>
    </row>
    <row r="102" spans="2:6" x14ac:dyDescent="0.35">
      <c r="B102" s="563"/>
      <c r="C102" s="564"/>
      <c r="D102" s="565"/>
      <c r="E102" s="565"/>
      <c r="F102" s="566"/>
    </row>
    <row r="103" spans="2:6" x14ac:dyDescent="0.35">
      <c r="B103" s="563"/>
      <c r="C103" s="564"/>
      <c r="D103" s="565"/>
      <c r="E103" s="565"/>
      <c r="F103" s="566"/>
    </row>
    <row r="104" spans="2:6" x14ac:dyDescent="0.35">
      <c r="B104" s="563"/>
      <c r="C104" s="564"/>
      <c r="D104" s="565"/>
      <c r="E104" s="565"/>
      <c r="F104" s="566"/>
    </row>
    <row r="105" spans="2:6" x14ac:dyDescent="0.35">
      <c r="B105" s="563"/>
      <c r="C105" s="564"/>
      <c r="D105" s="565"/>
      <c r="E105" s="565"/>
      <c r="F105" s="566"/>
    </row>
    <row r="106" spans="2:6" x14ac:dyDescent="0.35">
      <c r="B106" s="563"/>
      <c r="C106" s="564"/>
      <c r="D106" s="565"/>
      <c r="E106" s="565"/>
      <c r="F106" s="566"/>
    </row>
    <row r="107" spans="2:6" x14ac:dyDescent="0.35">
      <c r="B107" s="563"/>
      <c r="C107" s="564"/>
      <c r="D107" s="565"/>
      <c r="E107" s="565"/>
      <c r="F107" s="566"/>
    </row>
    <row r="108" spans="2:6" x14ac:dyDescent="0.35">
      <c r="B108" s="563"/>
      <c r="C108" s="564"/>
      <c r="D108" s="565"/>
      <c r="E108" s="565"/>
      <c r="F108" s="566"/>
    </row>
    <row r="109" spans="2:6" x14ac:dyDescent="0.35">
      <c r="B109" s="563"/>
      <c r="C109" s="564"/>
      <c r="D109" s="565"/>
      <c r="E109" s="565"/>
      <c r="F109" s="566"/>
    </row>
    <row r="110" spans="2:6" x14ac:dyDescent="0.35">
      <c r="B110" s="563"/>
      <c r="C110" s="564"/>
      <c r="D110" s="565"/>
      <c r="E110" s="565"/>
      <c r="F110" s="566"/>
    </row>
    <row r="111" spans="2:6" x14ac:dyDescent="0.35">
      <c r="B111" s="563"/>
      <c r="C111" s="564"/>
      <c r="D111" s="565"/>
      <c r="E111" s="565"/>
      <c r="F111" s="566"/>
    </row>
    <row r="112" spans="2:6" x14ac:dyDescent="0.35">
      <c r="B112" s="338"/>
      <c r="C112" s="339"/>
      <c r="D112" s="340"/>
      <c r="E112" s="340"/>
      <c r="F112" s="341"/>
    </row>
    <row r="113" spans="1:6" x14ac:dyDescent="0.35">
      <c r="B113" s="338"/>
      <c r="C113" s="339"/>
      <c r="D113" s="340"/>
      <c r="E113" s="340"/>
      <c r="F113" s="341"/>
    </row>
    <row r="114" spans="1:6" x14ac:dyDescent="0.35">
      <c r="B114" s="338"/>
      <c r="C114" s="339"/>
      <c r="D114" s="340"/>
      <c r="E114" s="340"/>
      <c r="F114" s="341"/>
    </row>
    <row r="115" spans="1:6" x14ac:dyDescent="0.35">
      <c r="B115" s="338"/>
      <c r="C115" s="339"/>
      <c r="D115" s="340"/>
      <c r="E115" s="340"/>
      <c r="F115" s="341"/>
    </row>
    <row r="116" spans="1:6" ht="15" thickBot="1" x14ac:dyDescent="0.4">
      <c r="B116" s="338"/>
      <c r="C116" s="339"/>
      <c r="D116" s="340"/>
      <c r="E116" s="340"/>
      <c r="F116" s="341"/>
    </row>
    <row r="117" spans="1:6" ht="15" thickBot="1" x14ac:dyDescent="0.4">
      <c r="B117" s="575" t="s">
        <v>766</v>
      </c>
      <c r="C117" s="342"/>
      <c r="D117" s="571">
        <f>SUMIF(E17:E116,"",D17:D116)</f>
        <v>0</v>
      </c>
      <c r="E117" s="70">
        <f>SUBTOTAL(9,E16:E116)</f>
        <v>0</v>
      </c>
      <c r="F117" s="71"/>
    </row>
    <row r="118" spans="1:6" ht="15" thickBot="1" x14ac:dyDescent="0.4">
      <c r="B118" s="576" t="str">
        <f>'GMP-PO Breakdown'!C79</f>
        <v>Tenant Contingency</v>
      </c>
      <c r="C118" s="574">
        <v>0</v>
      </c>
      <c r="D118" s="184"/>
      <c r="E118" s="184"/>
      <c r="F118" s="184"/>
    </row>
    <row r="119" spans="1:6" s="166" customFormat="1" ht="8.15" customHeight="1" thickBot="1" x14ac:dyDescent="0.4">
      <c r="A119" s="217"/>
      <c r="B119" s="72"/>
      <c r="C119" s="87"/>
      <c r="D119" s="567"/>
      <c r="E119" s="567"/>
      <c r="F119" s="567"/>
    </row>
    <row r="120" spans="1:6" ht="15.5" customHeight="1" thickBot="1" x14ac:dyDescent="0.4">
      <c r="B120" s="331" t="s">
        <v>1056</v>
      </c>
      <c r="C120" s="332"/>
      <c r="D120" s="332"/>
      <c r="E120" s="332"/>
      <c r="F120" s="333"/>
    </row>
    <row r="121" spans="1:6" x14ac:dyDescent="0.35">
      <c r="B121" s="334"/>
      <c r="C121" s="335"/>
      <c r="D121" s="336"/>
      <c r="E121" s="336"/>
      <c r="F121" s="337"/>
    </row>
    <row r="122" spans="1:6" x14ac:dyDescent="0.35">
      <c r="B122" s="338"/>
      <c r="C122" s="339"/>
      <c r="D122" s="340"/>
      <c r="E122" s="340"/>
      <c r="F122" s="341"/>
    </row>
    <row r="123" spans="1:6" x14ac:dyDescent="0.35">
      <c r="B123" s="563"/>
      <c r="C123" s="564"/>
      <c r="D123" s="565"/>
      <c r="E123" s="565"/>
      <c r="F123" s="566"/>
    </row>
    <row r="124" spans="1:6" x14ac:dyDescent="0.35">
      <c r="B124" s="563"/>
      <c r="C124" s="564"/>
      <c r="D124" s="565"/>
      <c r="E124" s="565"/>
      <c r="F124" s="566"/>
    </row>
    <row r="125" spans="1:6" x14ac:dyDescent="0.35">
      <c r="B125" s="563"/>
      <c r="C125" s="564"/>
      <c r="D125" s="565"/>
      <c r="E125" s="565"/>
      <c r="F125" s="566"/>
    </row>
    <row r="126" spans="1:6" x14ac:dyDescent="0.35">
      <c r="B126" s="563"/>
      <c r="C126" s="564"/>
      <c r="D126" s="565"/>
      <c r="E126" s="565"/>
      <c r="F126" s="566"/>
    </row>
    <row r="127" spans="1:6" ht="15" thickBot="1" x14ac:dyDescent="0.4">
      <c r="B127" s="563"/>
      <c r="C127" s="564"/>
      <c r="D127" s="565"/>
      <c r="E127" s="565"/>
      <c r="F127" s="566"/>
    </row>
    <row r="128" spans="1:6" ht="15" thickBot="1" x14ac:dyDescent="0.4">
      <c r="B128" s="575" t="str">
        <f>"SUBTOTAL"</f>
        <v>SUBTOTAL</v>
      </c>
      <c r="C128" s="342"/>
      <c r="D128" s="571">
        <f>SUMIF(E121:E127,"",D121:D127)</f>
        <v>0</v>
      </c>
      <c r="E128" s="70">
        <f>SUBTOTAL(9,E120:E127)</f>
        <v>0</v>
      </c>
      <c r="F128" s="71"/>
    </row>
    <row r="129" spans="2:6" ht="15" thickBot="1" x14ac:dyDescent="0.4">
      <c r="B129" s="576" t="str">
        <f>'Subcontractor Breakdown'!D490</f>
        <v>Sprinkler Head Adjustments @ MHE</v>
      </c>
      <c r="C129" s="577">
        <f>'Subcontractor Breakdown'!E490</f>
        <v>0</v>
      </c>
      <c r="D129" s="184"/>
      <c r="E129" s="184"/>
      <c r="F129" s="184"/>
    </row>
    <row r="130" spans="2:6" ht="8.15" customHeight="1" thickBot="1" x14ac:dyDescent="0.4">
      <c r="B130" s="72"/>
      <c r="C130" s="87"/>
      <c r="D130" s="567"/>
      <c r="E130" s="567"/>
      <c r="F130" s="567"/>
    </row>
    <row r="131" spans="2:6" ht="15.75" customHeight="1" thickBot="1" x14ac:dyDescent="0.4">
      <c r="B131" s="331" t="str">
        <f>"Designated Tenant Allowance - "&amp; 'Subcontractor Breakdown'!D491</f>
        <v>Designated Tenant Allowance - Temporary Toilets</v>
      </c>
      <c r="C131" s="332" t="s">
        <v>749</v>
      </c>
      <c r="D131" s="332" t="s">
        <v>200</v>
      </c>
      <c r="E131" s="332" t="s">
        <v>750</v>
      </c>
      <c r="F131" s="333" t="s">
        <v>751</v>
      </c>
    </row>
    <row r="132" spans="2:6" x14ac:dyDescent="0.35">
      <c r="B132" s="338"/>
      <c r="C132" s="339"/>
      <c r="D132" s="340"/>
      <c r="E132" s="340"/>
      <c r="F132" s="341"/>
    </row>
    <row r="133" spans="2:6" x14ac:dyDescent="0.35">
      <c r="B133" s="338"/>
      <c r="C133" s="339"/>
      <c r="D133" s="340"/>
      <c r="E133" s="340"/>
      <c r="F133" s="341"/>
    </row>
    <row r="134" spans="2:6" x14ac:dyDescent="0.35">
      <c r="B134" s="338"/>
      <c r="C134" s="339"/>
      <c r="D134" s="340"/>
      <c r="E134" s="340"/>
      <c r="F134" s="341"/>
    </row>
    <row r="135" spans="2:6" x14ac:dyDescent="0.35">
      <c r="B135" s="338"/>
      <c r="C135" s="339"/>
      <c r="D135" s="340"/>
      <c r="E135" s="340"/>
      <c r="F135" s="341"/>
    </row>
    <row r="136" spans="2:6" x14ac:dyDescent="0.35">
      <c r="B136" s="338"/>
      <c r="C136" s="339"/>
      <c r="D136" s="340"/>
      <c r="E136" s="340"/>
      <c r="F136" s="341"/>
    </row>
    <row r="137" spans="2:6" x14ac:dyDescent="0.35">
      <c r="B137" s="338"/>
      <c r="C137" s="339"/>
      <c r="D137" s="340"/>
      <c r="E137" s="340"/>
      <c r="F137" s="341"/>
    </row>
    <row r="138" spans="2:6" ht="15" thickBot="1" x14ac:dyDescent="0.4">
      <c r="B138" s="338"/>
      <c r="C138" s="339"/>
      <c r="D138" s="340"/>
      <c r="E138" s="340"/>
      <c r="F138" s="341"/>
    </row>
    <row r="139" spans="2:6" ht="15" thickBot="1" x14ac:dyDescent="0.4">
      <c r="B139" s="68" t="s">
        <v>766</v>
      </c>
      <c r="C139" s="537"/>
      <c r="D139" s="571">
        <f>SUMIF(E132:E138,"",D132:D138)</f>
        <v>0</v>
      </c>
      <c r="E139" s="70">
        <f>SUBTOTAL(9,E131:E138)</f>
        <v>0</v>
      </c>
      <c r="F139" s="71"/>
    </row>
    <row r="140" spans="2:6" ht="15" thickBot="1" x14ac:dyDescent="0.4">
      <c r="B140" s="579" t="str">
        <f xml:space="preserve">  'Subcontractor Breakdown'!D491</f>
        <v>Temporary Toilets</v>
      </c>
      <c r="C140" s="577">
        <f>'Subcontractor Breakdown'!E491</f>
        <v>0</v>
      </c>
      <c r="D140" s="184"/>
      <c r="E140" s="184"/>
      <c r="F140" s="184"/>
    </row>
    <row r="141" spans="2:6" ht="8.15" customHeight="1" thickBot="1" x14ac:dyDescent="0.4">
      <c r="B141" s="72"/>
      <c r="C141" s="87"/>
      <c r="D141" s="567"/>
      <c r="E141" s="567"/>
      <c r="F141" s="567"/>
    </row>
    <row r="142" spans="2:6" ht="15.75" customHeight="1" thickBot="1" x14ac:dyDescent="0.4">
      <c r="B142" s="331" t="str">
        <f>"Designated Tenant Allowance - "&amp; 'Subcontractor Breakdown'!D492</f>
        <v>Designated Tenant Allowance - Tenant Vendor Dumpster Allowance</v>
      </c>
      <c r="C142" s="332" t="s">
        <v>749</v>
      </c>
      <c r="D142" s="332" t="s">
        <v>200</v>
      </c>
      <c r="E142" s="332" t="s">
        <v>750</v>
      </c>
      <c r="F142" s="333" t="s">
        <v>751</v>
      </c>
    </row>
    <row r="143" spans="2:6" x14ac:dyDescent="0.35">
      <c r="B143" s="338"/>
      <c r="C143" s="339"/>
      <c r="D143" s="340"/>
      <c r="E143" s="340"/>
      <c r="F143" s="341"/>
    </row>
    <row r="144" spans="2:6" x14ac:dyDescent="0.35">
      <c r="B144" s="338"/>
      <c r="C144" s="339"/>
      <c r="D144" s="340"/>
      <c r="E144" s="340"/>
      <c r="F144" s="341"/>
    </row>
    <row r="145" spans="2:6" x14ac:dyDescent="0.35">
      <c r="B145" s="338"/>
      <c r="C145" s="339"/>
      <c r="D145" s="340"/>
      <c r="E145" s="340"/>
      <c r="F145" s="341"/>
    </row>
    <row r="146" spans="2:6" x14ac:dyDescent="0.35">
      <c r="B146" s="338"/>
      <c r="C146" s="339"/>
      <c r="D146" s="340"/>
      <c r="E146" s="340"/>
      <c r="F146" s="341"/>
    </row>
    <row r="147" spans="2:6" x14ac:dyDescent="0.35">
      <c r="B147" s="338"/>
      <c r="C147" s="339"/>
      <c r="D147" s="340"/>
      <c r="E147" s="340"/>
      <c r="F147" s="341"/>
    </row>
    <row r="148" spans="2:6" x14ac:dyDescent="0.35">
      <c r="B148" s="338"/>
      <c r="C148" s="339"/>
      <c r="D148" s="340"/>
      <c r="E148" s="340"/>
      <c r="F148" s="341"/>
    </row>
    <row r="149" spans="2:6" ht="15" thickBot="1" x14ac:dyDescent="0.4">
      <c r="B149" s="338"/>
      <c r="C149" s="339"/>
      <c r="D149" s="340"/>
      <c r="E149" s="340"/>
      <c r="F149" s="341"/>
    </row>
    <row r="150" spans="2:6" ht="15" thickBot="1" x14ac:dyDescent="0.4">
      <c r="B150" s="68" t="s">
        <v>766</v>
      </c>
      <c r="C150" s="342"/>
      <c r="D150" s="571">
        <f>SUMIF(E142:E149,"",D142:D149)</f>
        <v>0</v>
      </c>
      <c r="E150" s="70">
        <f>SUBTOTAL(9,E142:E149)</f>
        <v>0</v>
      </c>
      <c r="F150" s="71"/>
    </row>
    <row r="151" spans="2:6" ht="15" thickBot="1" x14ac:dyDescent="0.4">
      <c r="B151" s="579" t="str">
        <f xml:space="preserve"> 'Subcontractor Breakdown'!D492</f>
        <v>Tenant Vendor Dumpster Allowance</v>
      </c>
      <c r="C151" s="577">
        <f>'Subcontractor Breakdown'!E492</f>
        <v>0</v>
      </c>
      <c r="D151" s="184"/>
      <c r="E151" s="184"/>
      <c r="F151" s="184"/>
    </row>
    <row r="152" spans="2:6" ht="8.15" customHeight="1" thickBot="1" x14ac:dyDescent="0.4">
      <c r="B152" s="72"/>
      <c r="C152" s="87"/>
      <c r="D152" s="567"/>
      <c r="E152" s="567"/>
      <c r="F152" s="567"/>
    </row>
    <row r="153" spans="2:6" s="166" customFormat="1" ht="15" thickBot="1" x14ac:dyDescent="0.4">
      <c r="B153" s="331" t="str">
        <f>"Designated Tenant Allowance - "&amp; 'Subcontractor Breakdown'!D493</f>
        <v>Designated Tenant Allowance - Tenant's Power Usage from Early Access to TCO</v>
      </c>
      <c r="C153" s="332" t="s">
        <v>749</v>
      </c>
      <c r="D153" s="332" t="s">
        <v>200</v>
      </c>
      <c r="E153" s="332" t="s">
        <v>750</v>
      </c>
      <c r="F153" s="333" t="s">
        <v>751</v>
      </c>
    </row>
    <row r="154" spans="2:6" x14ac:dyDescent="0.35">
      <c r="B154" s="338"/>
      <c r="C154" s="339"/>
      <c r="D154" s="340"/>
      <c r="E154" s="340"/>
      <c r="F154" s="341"/>
    </row>
    <row r="155" spans="2:6" x14ac:dyDescent="0.35">
      <c r="B155" s="338"/>
      <c r="C155" s="339"/>
      <c r="D155" s="340"/>
      <c r="E155" s="340"/>
      <c r="F155" s="341"/>
    </row>
    <row r="156" spans="2:6" x14ac:dyDescent="0.35">
      <c r="B156" s="338"/>
      <c r="C156" s="339"/>
      <c r="D156" s="340"/>
      <c r="E156" s="340"/>
      <c r="F156" s="341"/>
    </row>
    <row r="157" spans="2:6" s="166" customFormat="1" x14ac:dyDescent="0.35">
      <c r="B157" s="338"/>
      <c r="C157" s="339"/>
      <c r="D157" s="340"/>
      <c r="E157" s="340"/>
      <c r="F157" s="341"/>
    </row>
    <row r="158" spans="2:6" s="166" customFormat="1" x14ac:dyDescent="0.35">
      <c r="B158" s="338"/>
      <c r="C158" s="339"/>
      <c r="D158" s="340"/>
      <c r="E158" s="340"/>
      <c r="F158" s="341"/>
    </row>
    <row r="159" spans="2:6" s="166" customFormat="1" x14ac:dyDescent="0.35">
      <c r="B159" s="338"/>
      <c r="C159" s="339"/>
      <c r="D159" s="340"/>
      <c r="E159" s="340"/>
      <c r="F159" s="341"/>
    </row>
    <row r="160" spans="2:6" s="166" customFormat="1" ht="15" thickBot="1" x14ac:dyDescent="0.4">
      <c r="B160" s="338"/>
      <c r="C160" s="339"/>
      <c r="D160" s="340"/>
      <c r="E160" s="340"/>
      <c r="F160" s="341"/>
    </row>
    <row r="161" spans="2:6" s="166" customFormat="1" ht="15" thickBot="1" x14ac:dyDescent="0.4">
      <c r="B161" s="68" t="s">
        <v>766</v>
      </c>
      <c r="C161" s="342"/>
      <c r="D161" s="571">
        <f>SUMIF(E153:E160,"",D153:D160)</f>
        <v>0</v>
      </c>
      <c r="E161" s="70">
        <f>SUBTOTAL(9,E153:E160)</f>
        <v>0</v>
      </c>
      <c r="F161" s="71"/>
    </row>
    <row r="162" spans="2:6" s="166" customFormat="1" ht="15" thickBot="1" x14ac:dyDescent="0.4">
      <c r="B162" s="579" t="str">
        <f>'Subcontractor Breakdown'!D493</f>
        <v>Tenant's Power Usage from Early Access to TCO</v>
      </c>
      <c r="C162" s="577">
        <f>'Subcontractor Breakdown'!E493</f>
        <v>0</v>
      </c>
      <c r="D162" s="217"/>
      <c r="E162" s="217"/>
      <c r="F162" s="217"/>
    </row>
    <row r="163" spans="2:6" s="166" customFormat="1" ht="8.15" customHeight="1" thickBot="1" x14ac:dyDescent="0.4">
      <c r="B163" s="72"/>
      <c r="C163" s="87"/>
      <c r="D163" s="567"/>
      <c r="E163" s="567"/>
      <c r="F163" s="567"/>
    </row>
    <row r="164" spans="2:6" s="166" customFormat="1" ht="15" thickBot="1" x14ac:dyDescent="0.4">
      <c r="B164" s="331" t="str">
        <f>"Designated Tenant Allowance - "&amp; 'Subcontractor Breakdown'!D494</f>
        <v>Designated Tenant Allowance - Exterior Signage &amp; Markings</v>
      </c>
      <c r="C164" s="332" t="s">
        <v>749</v>
      </c>
      <c r="D164" s="332" t="s">
        <v>200</v>
      </c>
      <c r="E164" s="332" t="s">
        <v>750</v>
      </c>
      <c r="F164" s="333" t="s">
        <v>751</v>
      </c>
    </row>
    <row r="165" spans="2:6" x14ac:dyDescent="0.35">
      <c r="B165" s="338"/>
      <c r="C165" s="339"/>
      <c r="D165" s="340"/>
      <c r="E165" s="340"/>
      <c r="F165" s="341"/>
    </row>
    <row r="166" spans="2:6" x14ac:dyDescent="0.35">
      <c r="B166" s="338"/>
      <c r="C166" s="339"/>
      <c r="D166" s="340"/>
      <c r="E166" s="340"/>
      <c r="F166" s="341"/>
    </row>
    <row r="167" spans="2:6" x14ac:dyDescent="0.35">
      <c r="B167" s="338"/>
      <c r="C167" s="339"/>
      <c r="D167" s="340"/>
      <c r="E167" s="340"/>
      <c r="F167" s="341"/>
    </row>
    <row r="168" spans="2:6" s="166" customFormat="1" x14ac:dyDescent="0.35">
      <c r="B168" s="338"/>
      <c r="C168" s="339"/>
      <c r="D168" s="340"/>
      <c r="E168" s="340"/>
      <c r="F168" s="341"/>
    </row>
    <row r="169" spans="2:6" s="166" customFormat="1" x14ac:dyDescent="0.35">
      <c r="B169" s="338"/>
      <c r="C169" s="339"/>
      <c r="D169" s="340"/>
      <c r="E169" s="340"/>
      <c r="F169" s="341"/>
    </row>
    <row r="170" spans="2:6" s="166" customFormat="1" x14ac:dyDescent="0.35">
      <c r="B170" s="338"/>
      <c r="C170" s="339"/>
      <c r="D170" s="340"/>
      <c r="E170" s="340"/>
      <c r="F170" s="341"/>
    </row>
    <row r="171" spans="2:6" s="166" customFormat="1" ht="15" thickBot="1" x14ac:dyDescent="0.4">
      <c r="B171" s="338"/>
      <c r="C171" s="339"/>
      <c r="D171" s="340"/>
      <c r="E171" s="340"/>
      <c r="F171" s="341"/>
    </row>
    <row r="172" spans="2:6" s="166" customFormat="1" ht="15" thickBot="1" x14ac:dyDescent="0.4">
      <c r="B172" s="68" t="str">
        <f>"SUBTOTAL - "&amp; 'Subcontractor Breakdown'!D493</f>
        <v>SUBTOTAL - Tenant's Power Usage from Early Access to TCO</v>
      </c>
      <c r="C172" s="342"/>
      <c r="D172" s="571">
        <f>SUMIF(E164:E171,"",D164:D171)</f>
        <v>0</v>
      </c>
      <c r="E172" s="70">
        <f>SUBTOTAL(9,E164:E171)</f>
        <v>0</v>
      </c>
      <c r="F172" s="71"/>
    </row>
    <row r="173" spans="2:6" s="166" customFormat="1" ht="15" thickBot="1" x14ac:dyDescent="0.4">
      <c r="B173" s="573" t="str">
        <f>"SUBTOTAL - "&amp; 'Subcontractor Breakdown'!D494</f>
        <v>SUBTOTAL - Exterior Signage &amp; Markings</v>
      </c>
      <c r="C173" s="577">
        <f>'Subcontractor Breakdown'!E494</f>
        <v>0</v>
      </c>
      <c r="D173" s="217"/>
      <c r="E173" s="217"/>
      <c r="F173" s="217"/>
    </row>
    <row r="174" spans="2:6" s="166" customFormat="1" ht="8.15" customHeight="1" thickBot="1" x14ac:dyDescent="0.4">
      <c r="B174" s="72"/>
      <c r="C174" s="87"/>
      <c r="D174" s="567"/>
      <c r="E174" s="567"/>
      <c r="F174" s="567"/>
    </row>
    <row r="175" spans="2:6" s="166" customFormat="1" ht="15" thickBot="1" x14ac:dyDescent="0.4">
      <c r="B175" s="331" t="str">
        <f>"Designated Tenant Allowance - "&amp; 'Subcontractor Breakdown'!D495</f>
        <v>Designated Tenant Allowance - MEP for Amazon Platforms</v>
      </c>
      <c r="C175" s="332" t="s">
        <v>749</v>
      </c>
      <c r="D175" s="332" t="s">
        <v>200</v>
      </c>
      <c r="E175" s="332" t="s">
        <v>750</v>
      </c>
      <c r="F175" s="333" t="s">
        <v>751</v>
      </c>
    </row>
    <row r="176" spans="2:6" x14ac:dyDescent="0.35">
      <c r="B176" s="338"/>
      <c r="C176" s="339"/>
      <c r="D176" s="340"/>
      <c r="E176" s="340"/>
      <c r="F176" s="341"/>
    </row>
    <row r="177" spans="2:6" x14ac:dyDescent="0.35">
      <c r="B177" s="338"/>
      <c r="C177" s="339"/>
      <c r="D177" s="340"/>
      <c r="E177" s="340"/>
      <c r="F177" s="341"/>
    </row>
    <row r="178" spans="2:6" x14ac:dyDescent="0.35">
      <c r="B178" s="338"/>
      <c r="C178" s="339"/>
      <c r="D178" s="340"/>
      <c r="E178" s="340"/>
      <c r="F178" s="341"/>
    </row>
    <row r="179" spans="2:6" s="166" customFormat="1" x14ac:dyDescent="0.35">
      <c r="B179" s="338"/>
      <c r="C179" s="339"/>
      <c r="D179" s="340"/>
      <c r="E179" s="340"/>
      <c r="F179" s="341"/>
    </row>
    <row r="180" spans="2:6" s="166" customFormat="1" x14ac:dyDescent="0.35">
      <c r="B180" s="338"/>
      <c r="C180" s="339"/>
      <c r="D180" s="340"/>
      <c r="E180" s="340"/>
      <c r="F180" s="341"/>
    </row>
    <row r="181" spans="2:6" s="166" customFormat="1" x14ac:dyDescent="0.35">
      <c r="B181" s="338"/>
      <c r="C181" s="339"/>
      <c r="D181" s="340"/>
      <c r="E181" s="340"/>
      <c r="F181" s="341"/>
    </row>
    <row r="182" spans="2:6" s="166" customFormat="1" ht="15" thickBot="1" x14ac:dyDescent="0.4">
      <c r="B182" s="338"/>
      <c r="C182" s="339"/>
      <c r="D182" s="340"/>
      <c r="E182" s="340"/>
      <c r="F182" s="341"/>
    </row>
    <row r="183" spans="2:6" s="166" customFormat="1" ht="15" thickBot="1" x14ac:dyDescent="0.4">
      <c r="B183" s="68" t="s">
        <v>766</v>
      </c>
      <c r="C183" s="342"/>
      <c r="D183" s="571">
        <f>SUMIF(E175:E182,"",D175:D182)</f>
        <v>0</v>
      </c>
      <c r="E183" s="70">
        <f>SUBTOTAL(9,E175:E182)</f>
        <v>0</v>
      </c>
      <c r="F183" s="71"/>
    </row>
    <row r="184" spans="2:6" s="166" customFormat="1" ht="15" thickBot="1" x14ac:dyDescent="0.4">
      <c r="B184" s="573" t="str">
        <f>'Subcontractor Breakdown'!D495</f>
        <v>MEP for Amazon Platforms</v>
      </c>
      <c r="C184" s="577">
        <f>'Subcontractor Breakdown'!E495</f>
        <v>0</v>
      </c>
      <c r="D184" s="217"/>
      <c r="E184" s="217"/>
      <c r="F184" s="217"/>
    </row>
    <row r="185" spans="2:6" s="166" customFormat="1" ht="8.15" customHeight="1" thickBot="1" x14ac:dyDescent="0.4">
      <c r="B185" s="72"/>
      <c r="C185" s="87"/>
      <c r="D185" s="567"/>
      <c r="E185" s="567"/>
      <c r="F185" s="567"/>
    </row>
    <row r="186" spans="2:6" s="166" customFormat="1" ht="15" thickBot="1" x14ac:dyDescent="0.4">
      <c r="B186" s="331" t="str">
        <f>"Designated Tenant Allowance - "&amp; 'Subcontractor Breakdown'!D496</f>
        <v>Designated Tenant Allowance - Floor Remediation @ RSP &amp; Sorter Platforms</v>
      </c>
      <c r="C186" s="332" t="s">
        <v>749</v>
      </c>
      <c r="D186" s="332" t="s">
        <v>200</v>
      </c>
      <c r="E186" s="332" t="s">
        <v>750</v>
      </c>
      <c r="F186" s="333" t="s">
        <v>751</v>
      </c>
    </row>
    <row r="187" spans="2:6" x14ac:dyDescent="0.35">
      <c r="B187" s="338"/>
      <c r="C187" s="339"/>
      <c r="D187" s="340"/>
      <c r="E187" s="340"/>
      <c r="F187" s="341"/>
    </row>
    <row r="188" spans="2:6" x14ac:dyDescent="0.35">
      <c r="B188" s="338"/>
      <c r="C188" s="339"/>
      <c r="D188" s="340"/>
      <c r="E188" s="340"/>
      <c r="F188" s="341"/>
    </row>
    <row r="189" spans="2:6" x14ac:dyDescent="0.35">
      <c r="B189" s="338"/>
      <c r="C189" s="339"/>
      <c r="D189" s="340"/>
      <c r="E189" s="340"/>
      <c r="F189" s="341"/>
    </row>
    <row r="190" spans="2:6" s="166" customFormat="1" x14ac:dyDescent="0.35">
      <c r="B190" s="338"/>
      <c r="C190" s="339"/>
      <c r="D190" s="340"/>
      <c r="E190" s="340"/>
      <c r="F190" s="341"/>
    </row>
    <row r="191" spans="2:6" s="166" customFormat="1" x14ac:dyDescent="0.35">
      <c r="B191" s="338"/>
      <c r="C191" s="339"/>
      <c r="D191" s="340"/>
      <c r="E191" s="340"/>
      <c r="F191" s="341"/>
    </row>
    <row r="192" spans="2:6" s="166" customFormat="1" x14ac:dyDescent="0.35">
      <c r="B192" s="338"/>
      <c r="C192" s="339"/>
      <c r="D192" s="340"/>
      <c r="E192" s="340"/>
      <c r="F192" s="341"/>
    </row>
    <row r="193" spans="2:6" s="166" customFormat="1" ht="15" thickBot="1" x14ac:dyDescent="0.4">
      <c r="B193" s="338"/>
      <c r="C193" s="339"/>
      <c r="D193" s="340"/>
      <c r="E193" s="340"/>
      <c r="F193" s="341"/>
    </row>
    <row r="194" spans="2:6" s="166" customFormat="1" ht="15" thickBot="1" x14ac:dyDescent="0.4">
      <c r="B194" s="68" t="s">
        <v>766</v>
      </c>
      <c r="C194" s="342"/>
      <c r="D194" s="571">
        <f>SUMIF(E186:E193,"",D186:D193)</f>
        <v>0</v>
      </c>
      <c r="E194" s="70">
        <f>SUBTOTAL(9,E186:E193)</f>
        <v>0</v>
      </c>
      <c r="F194" s="71"/>
    </row>
    <row r="195" spans="2:6" s="166" customFormat="1" ht="15" thickBot="1" x14ac:dyDescent="0.4">
      <c r="B195" s="573" t="str">
        <f xml:space="preserve"> 'Subcontractor Breakdown'!D496</f>
        <v>Floor Remediation @ RSP &amp; Sorter Platforms</v>
      </c>
      <c r="C195" s="577">
        <f>'Subcontractor Breakdown'!E496</f>
        <v>0</v>
      </c>
      <c r="D195" s="217"/>
      <c r="E195" s="217"/>
      <c r="F195" s="217"/>
    </row>
    <row r="196" spans="2:6" s="166" customFormat="1" ht="8.15" customHeight="1" thickBot="1" x14ac:dyDescent="0.4">
      <c r="B196" s="72"/>
      <c r="C196" s="87"/>
      <c r="D196" s="567"/>
      <c r="E196" s="567"/>
      <c r="F196" s="567"/>
    </row>
    <row r="197" spans="2:6" s="166" customFormat="1" ht="15" thickBot="1" x14ac:dyDescent="0.4">
      <c r="B197" s="331" t="str">
        <f>"Designated Tenant Allowance - "&amp; 'Subcontractor Breakdown'!D497</f>
        <v>Designated Tenant Allowance - Scanning for Curvature</v>
      </c>
      <c r="C197" s="332" t="s">
        <v>749</v>
      </c>
      <c r="D197" s="332" t="s">
        <v>200</v>
      </c>
      <c r="E197" s="332" t="s">
        <v>750</v>
      </c>
      <c r="F197" s="333" t="s">
        <v>751</v>
      </c>
    </row>
    <row r="198" spans="2:6" x14ac:dyDescent="0.35">
      <c r="B198" s="563"/>
      <c r="C198" s="564"/>
      <c r="D198" s="565"/>
      <c r="E198" s="565"/>
      <c r="F198" s="566"/>
    </row>
    <row r="199" spans="2:6" x14ac:dyDescent="0.35">
      <c r="B199" s="338"/>
      <c r="C199" s="339"/>
      <c r="D199" s="340"/>
      <c r="E199" s="340"/>
      <c r="F199" s="341"/>
    </row>
    <row r="200" spans="2:6" x14ac:dyDescent="0.35">
      <c r="B200" s="338"/>
      <c r="C200" s="339"/>
      <c r="D200" s="340"/>
      <c r="E200" s="340"/>
      <c r="F200" s="341"/>
    </row>
    <row r="201" spans="2:6" s="166" customFormat="1" x14ac:dyDescent="0.35">
      <c r="B201" s="338"/>
      <c r="C201" s="339"/>
      <c r="D201" s="340"/>
      <c r="E201" s="340"/>
      <c r="F201" s="341"/>
    </row>
    <row r="202" spans="2:6" s="166" customFormat="1" x14ac:dyDescent="0.35">
      <c r="B202" s="338"/>
      <c r="C202" s="339"/>
      <c r="D202" s="340"/>
      <c r="E202" s="340"/>
      <c r="F202" s="341"/>
    </row>
    <row r="203" spans="2:6" s="166" customFormat="1" x14ac:dyDescent="0.35">
      <c r="B203" s="338"/>
      <c r="C203" s="339"/>
      <c r="D203" s="340"/>
      <c r="E203" s="340"/>
      <c r="F203" s="341"/>
    </row>
    <row r="204" spans="2:6" s="166" customFormat="1" ht="15" thickBot="1" x14ac:dyDescent="0.4">
      <c r="B204" s="338"/>
      <c r="C204" s="339"/>
      <c r="D204" s="340"/>
      <c r="E204" s="340"/>
      <c r="F204" s="341"/>
    </row>
    <row r="205" spans="2:6" s="166" customFormat="1" ht="15" thickBot="1" x14ac:dyDescent="0.4">
      <c r="B205" s="68" t="s">
        <v>766</v>
      </c>
      <c r="C205" s="342"/>
      <c r="D205" s="571">
        <f>SUMIF(E197:E204,"",D197:D204)</f>
        <v>0</v>
      </c>
      <c r="E205" s="70">
        <f>SUBTOTAL(9,E197:E204)</f>
        <v>0</v>
      </c>
      <c r="F205" s="71"/>
    </row>
    <row r="206" spans="2:6" s="166" customFormat="1" ht="15" thickBot="1" x14ac:dyDescent="0.4">
      <c r="B206" s="573" t="str">
        <f xml:space="preserve"> 'Subcontractor Breakdown'!D497</f>
        <v>Scanning for Curvature</v>
      </c>
      <c r="C206" s="577">
        <f>'Subcontractor Breakdown'!E497</f>
        <v>0</v>
      </c>
      <c r="D206" s="217"/>
      <c r="E206" s="217"/>
      <c r="F206" s="217"/>
    </row>
    <row r="207" spans="2:6" s="166" customFormat="1" ht="8.15" customHeight="1" thickBot="1" x14ac:dyDescent="0.4">
      <c r="B207" s="72"/>
      <c r="C207" s="87"/>
      <c r="D207" s="567"/>
      <c r="E207" s="567"/>
      <c r="F207" s="567"/>
    </row>
    <row r="208" spans="2:6" s="166" customFormat="1" ht="15" thickBot="1" x14ac:dyDescent="0.4">
      <c r="B208" s="331" t="str">
        <f>"Designated Tenant Allowance - "&amp; 'Subcontractor Breakdown'!D498</f>
        <v>Designated Tenant Allowance - Other (Describe)</v>
      </c>
      <c r="C208" s="332" t="s">
        <v>749</v>
      </c>
      <c r="D208" s="332" t="s">
        <v>200</v>
      </c>
      <c r="E208" s="332" t="s">
        <v>750</v>
      </c>
      <c r="F208" s="333" t="s">
        <v>751</v>
      </c>
    </row>
    <row r="209" spans="2:6" s="166" customFormat="1" x14ac:dyDescent="0.35">
      <c r="B209" s="563"/>
      <c r="C209" s="564"/>
      <c r="D209" s="565"/>
      <c r="E209" s="565"/>
      <c r="F209" s="566"/>
    </row>
    <row r="210" spans="2:6" s="166" customFormat="1" x14ac:dyDescent="0.35">
      <c r="B210" s="563"/>
      <c r="C210" s="564"/>
      <c r="D210" s="565"/>
      <c r="E210" s="565"/>
      <c r="F210" s="566"/>
    </row>
    <row r="211" spans="2:6" s="166" customFormat="1" x14ac:dyDescent="0.35">
      <c r="B211" s="338"/>
      <c r="C211" s="339"/>
      <c r="D211" s="340"/>
      <c r="E211" s="340"/>
      <c r="F211" s="341"/>
    </row>
    <row r="212" spans="2:6" s="166" customFormat="1" x14ac:dyDescent="0.35">
      <c r="B212" s="338"/>
      <c r="C212" s="339"/>
      <c r="D212" s="340"/>
      <c r="E212" s="340"/>
      <c r="F212" s="341"/>
    </row>
    <row r="213" spans="2:6" s="166" customFormat="1" x14ac:dyDescent="0.35">
      <c r="B213" s="338"/>
      <c r="C213" s="339"/>
      <c r="D213" s="340"/>
      <c r="E213" s="340"/>
      <c r="F213" s="341"/>
    </row>
    <row r="214" spans="2:6" s="166" customFormat="1" x14ac:dyDescent="0.35">
      <c r="B214" s="338"/>
      <c r="C214" s="339"/>
      <c r="D214" s="340"/>
      <c r="E214" s="340"/>
      <c r="F214" s="341"/>
    </row>
    <row r="215" spans="2:6" s="166" customFormat="1" ht="15" thickBot="1" x14ac:dyDescent="0.4">
      <c r="B215" s="338"/>
      <c r="C215" s="339"/>
      <c r="D215" s="340"/>
      <c r="E215" s="340"/>
      <c r="F215" s="341"/>
    </row>
    <row r="216" spans="2:6" s="166" customFormat="1" ht="15" thickBot="1" x14ac:dyDescent="0.4">
      <c r="B216" s="68" t="s">
        <v>766</v>
      </c>
      <c r="C216" s="342"/>
      <c r="D216" s="343">
        <f>SUMIF(E208:E215,"",D208:D215)</f>
        <v>0</v>
      </c>
      <c r="E216" s="70">
        <f>SUBTOTAL(9,E208:E215)</f>
        <v>0</v>
      </c>
      <c r="F216" s="71"/>
    </row>
    <row r="217" spans="2:6" s="166" customFormat="1" ht="15" thickBot="1" x14ac:dyDescent="0.4">
      <c r="B217" s="573" t="str">
        <f xml:space="preserve"> 'Subcontractor Breakdown'!D498</f>
        <v>Other (Describe)</v>
      </c>
      <c r="C217" s="577">
        <f>'Subcontractor Breakdown'!E498</f>
        <v>0</v>
      </c>
    </row>
    <row r="218" spans="2:6" s="166" customFormat="1" ht="8.15" customHeight="1" thickBot="1" x14ac:dyDescent="0.4">
      <c r="B218" s="111"/>
      <c r="C218" s="73"/>
      <c r="D218" s="73"/>
      <c r="E218" s="83"/>
      <c r="F218" s="83"/>
    </row>
    <row r="219" spans="2:6" s="166" customFormat="1" ht="15" thickBot="1" x14ac:dyDescent="0.4">
      <c r="B219" s="344" t="s">
        <v>752</v>
      </c>
      <c r="C219" s="346">
        <f>'GMP-PO Breakdown'!D73+C118</f>
        <v>0</v>
      </c>
      <c r="D219" s="346">
        <f>SUM(D216,D205,D194,D183,D172,D161,D150,D139,D128,D117)</f>
        <v>0</v>
      </c>
      <c r="E219" s="346">
        <f>SUM(E216,E205,E194,E183,E172,E161,E150,E139,E128,E117)</f>
        <v>0</v>
      </c>
      <c r="F219" s="460"/>
    </row>
    <row r="220" spans="2:6" s="166" customFormat="1" ht="8.15" customHeight="1" thickBot="1" x14ac:dyDescent="0.4">
      <c r="B220" s="111"/>
      <c r="C220" s="73"/>
      <c r="D220" s="73"/>
      <c r="E220" s="83"/>
      <c r="F220" s="83"/>
    </row>
    <row r="221" spans="2:6" s="166" customFormat="1" ht="15" thickBot="1" x14ac:dyDescent="0.4">
      <c r="B221" s="347" t="s">
        <v>753</v>
      </c>
      <c r="C221" s="345"/>
      <c r="D221" s="346"/>
      <c r="E221" s="348">
        <f>(D219+E219)</f>
        <v>0</v>
      </c>
      <c r="F221" s="83"/>
    </row>
    <row r="222" spans="2:6" s="166" customFormat="1" ht="8.15" customHeight="1" thickBot="1" x14ac:dyDescent="0.4">
      <c r="B222" s="111"/>
      <c r="C222" s="73"/>
      <c r="D222" s="73"/>
      <c r="E222" s="83"/>
      <c r="F222" s="83"/>
    </row>
    <row r="223" spans="2:6" s="166" customFormat="1" ht="15" thickBot="1" x14ac:dyDescent="0.4">
      <c r="B223" s="347" t="s">
        <v>754</v>
      </c>
      <c r="C223" s="345"/>
      <c r="D223" s="346"/>
      <c r="E223" s="348">
        <f>('GMP-PO Breakdown'!D73+'GMP-PO Breakdown'!D79)-(D219+E219)</f>
        <v>0</v>
      </c>
      <c r="F223" s="83"/>
    </row>
    <row r="224" spans="2:6" s="166" customFormat="1" ht="8.15" customHeight="1" thickBot="1" x14ac:dyDescent="0.4">
      <c r="B224" s="111"/>
      <c r="C224" s="73"/>
      <c r="D224" s="73"/>
      <c r="E224" s="83"/>
      <c r="F224" s="83"/>
    </row>
    <row r="225" spans="2:6" s="166" customFormat="1" ht="15" thickBot="1" x14ac:dyDescent="0.4">
      <c r="B225" s="347" t="s">
        <v>755</v>
      </c>
      <c r="C225" s="461"/>
      <c r="D225" s="349"/>
      <c r="E225" s="350"/>
      <c r="F225" s="83"/>
    </row>
    <row r="226" spans="2:6" s="166" customFormat="1" x14ac:dyDescent="0.35">
      <c r="B226" s="111"/>
      <c r="C226" s="73"/>
      <c r="D226" s="73"/>
      <c r="E226" s="83"/>
      <c r="F226" s="83"/>
    </row>
    <row r="227" spans="2:6" s="166" customFormat="1" x14ac:dyDescent="0.35">
      <c r="B227" s="111"/>
      <c r="C227" s="73"/>
      <c r="D227" s="73"/>
      <c r="E227" s="83"/>
      <c r="F227" s="83"/>
    </row>
    <row r="228" spans="2:6" s="166" customFormat="1" x14ac:dyDescent="0.35">
      <c r="B228" s="111"/>
      <c r="C228" s="73"/>
      <c r="D228" s="73"/>
      <c r="E228" s="83"/>
      <c r="F228" s="83"/>
    </row>
    <row r="229" spans="2:6" s="166" customFormat="1" x14ac:dyDescent="0.35">
      <c r="B229" s="111"/>
      <c r="C229" s="73"/>
      <c r="D229" s="73"/>
      <c r="E229" s="83"/>
      <c r="F229" s="83"/>
    </row>
    <row r="230" spans="2:6" s="166" customFormat="1" x14ac:dyDescent="0.35">
      <c r="B230" s="111"/>
      <c r="C230" s="73"/>
      <c r="D230" s="73"/>
      <c r="E230" s="83"/>
      <c r="F230" s="83"/>
    </row>
    <row r="231" spans="2:6" s="166" customFormat="1" x14ac:dyDescent="0.35">
      <c r="B231" s="165"/>
      <c r="C231" s="73"/>
      <c r="D231" s="73"/>
      <c r="E231" s="83"/>
      <c r="F231" s="83"/>
    </row>
  </sheetData>
  <sheetProtection algorithmName="SHA-512" hashValue="2R1uIxU1S1YhugoeWtr/6ImrUXcG46+EzRUTuuY3CGeZ9WVhXhCH9iAKZIxVzm3tCVWQz+j0Qbs+aEZQ0u8avg==" saltValue="4WB8smu/nZEJ1qNAuu7Eow==" spinCount="100000" sheet="1" objects="1" scenarios="1"/>
  <pageMargins left="0.7" right="0.7" top="0.75" bottom="0.75" header="0.3" footer="0.3"/>
  <pageSetup scale="72" fitToHeight="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95513-C39F-41DB-B4E1-B8C94AECA924}">
  <sheetPr codeName="Sheet7">
    <pageSetUpPr fitToPage="1"/>
  </sheetPr>
  <dimension ref="B1:F248"/>
  <sheetViews>
    <sheetView zoomScaleNormal="100" workbookViewId="0">
      <pane ySplit="14" topLeftCell="A30" activePane="bottomLeft" state="frozen"/>
      <selection activeCell="C44" sqref="C44"/>
      <selection pane="bottomLeft" activeCell="C48" sqref="C48"/>
    </sheetView>
  </sheetViews>
  <sheetFormatPr defaultColWidth="9.1796875" defaultRowHeight="14.5" x14ac:dyDescent="0.35"/>
  <cols>
    <col min="1" max="1" width="3.453125" style="165" customWidth="1"/>
    <col min="2" max="2" width="63.1796875" style="165" customWidth="1"/>
    <col min="3" max="3" width="27.1796875" style="165" customWidth="1"/>
    <col min="4" max="4" width="17.81640625" style="165" customWidth="1"/>
    <col min="5" max="5" width="17.453125" style="165" customWidth="1"/>
    <col min="6" max="6" width="52.453125" style="165" customWidth="1"/>
    <col min="7" max="7" width="17.1796875" style="165" customWidth="1"/>
    <col min="8" max="16384" width="9.1796875" style="165"/>
  </cols>
  <sheetData>
    <row r="1" spans="2:6" x14ac:dyDescent="0.35">
      <c r="B1" s="35" t="s">
        <v>49</v>
      </c>
      <c r="C1" s="33"/>
    </row>
    <row r="2" spans="2:6" x14ac:dyDescent="0.35">
      <c r="B2" s="34"/>
      <c r="C2" s="33"/>
    </row>
    <row r="3" spans="2:6" x14ac:dyDescent="0.35">
      <c r="B3" s="35" t="s">
        <v>747</v>
      </c>
      <c r="C3" s="33"/>
    </row>
    <row r="4" spans="2:6" ht="15" thickBot="1" x14ac:dyDescent="0.4">
      <c r="B4" s="34"/>
      <c r="C4" s="33"/>
    </row>
    <row r="5" spans="2:6" ht="15" thickBot="1" x14ac:dyDescent="0.4">
      <c r="B5" s="42" t="s">
        <v>53</v>
      </c>
      <c r="C5" s="167">
        <f>'GMP-PO Breakdown'!C5</f>
        <v>0</v>
      </c>
    </row>
    <row r="6" spans="2:6" ht="15" thickBot="1" x14ac:dyDescent="0.4"/>
    <row r="7" spans="2:6" x14ac:dyDescent="0.35">
      <c r="B7" s="171" t="s">
        <v>55</v>
      </c>
      <c r="C7" s="172">
        <f>'GMP-PO Breakdown'!C6</f>
        <v>0</v>
      </c>
    </row>
    <row r="8" spans="2:6" x14ac:dyDescent="0.35">
      <c r="B8" s="44" t="s">
        <v>231</v>
      </c>
      <c r="C8" s="175">
        <f>'GMP-PO Breakdown'!C7</f>
        <v>0</v>
      </c>
    </row>
    <row r="9" spans="2:6" x14ac:dyDescent="0.35">
      <c r="B9" s="44" t="s">
        <v>67</v>
      </c>
      <c r="C9" s="175">
        <f>'GMP-PO Breakdown'!C12</f>
        <v>0</v>
      </c>
    </row>
    <row r="10" spans="2:6" x14ac:dyDescent="0.35">
      <c r="B10" s="44" t="s">
        <v>69</v>
      </c>
      <c r="C10" s="175">
        <f>'GMP-PO Breakdown'!C13</f>
        <v>0</v>
      </c>
    </row>
    <row r="11" spans="2:6" ht="15" thickBot="1" x14ac:dyDescent="0.4">
      <c r="B11" s="49" t="s">
        <v>71</v>
      </c>
      <c r="C11" s="183">
        <f>'GMP-PO Breakdown'!C14</f>
        <v>0</v>
      </c>
    </row>
    <row r="13" spans="2:6" ht="15" thickBot="1" x14ac:dyDescent="0.4">
      <c r="B13" s="459"/>
    </row>
    <row r="14" spans="2:6" ht="15" thickBot="1" x14ac:dyDescent="0.4">
      <c r="B14" s="55" t="s">
        <v>748</v>
      </c>
      <c r="C14" s="327"/>
      <c r="D14" s="327"/>
      <c r="E14" s="327"/>
      <c r="F14" s="57"/>
    </row>
    <row r="15" spans="2:6" ht="8.15" customHeight="1" thickBot="1" x14ac:dyDescent="0.4">
      <c r="B15" s="328"/>
      <c r="C15" s="329"/>
      <c r="D15" s="329"/>
      <c r="E15" s="329"/>
      <c r="F15" s="330"/>
    </row>
    <row r="16" spans="2:6" ht="15" thickBot="1" x14ac:dyDescent="0.4">
      <c r="B16" s="331" t="s">
        <v>165</v>
      </c>
      <c r="C16" s="332" t="s">
        <v>749</v>
      </c>
      <c r="D16" s="332" t="s">
        <v>200</v>
      </c>
      <c r="E16" s="332" t="s">
        <v>750</v>
      </c>
      <c r="F16" s="333" t="s">
        <v>751</v>
      </c>
    </row>
    <row r="17" spans="2:6" x14ac:dyDescent="0.35">
      <c r="B17" s="563"/>
      <c r="C17" s="335"/>
      <c r="D17" s="582"/>
      <c r="E17" s="582"/>
      <c r="F17" s="337"/>
    </row>
    <row r="18" spans="2:6" x14ac:dyDescent="0.35">
      <c r="B18" s="563"/>
      <c r="C18" s="564"/>
      <c r="D18" s="583"/>
      <c r="E18" s="583"/>
      <c r="F18" s="566"/>
    </row>
    <row r="19" spans="2:6" x14ac:dyDescent="0.35">
      <c r="B19" s="563"/>
      <c r="C19" s="564"/>
      <c r="D19" s="583"/>
      <c r="E19" s="583"/>
      <c r="F19" s="566"/>
    </row>
    <row r="20" spans="2:6" x14ac:dyDescent="0.35">
      <c r="B20" s="563"/>
      <c r="C20" s="564"/>
      <c r="D20" s="565"/>
      <c r="E20" s="565"/>
      <c r="F20" s="566"/>
    </row>
    <row r="21" spans="2:6" x14ac:dyDescent="0.35">
      <c r="B21" s="563"/>
      <c r="C21" s="564"/>
      <c r="D21" s="565"/>
      <c r="E21" s="565"/>
      <c r="F21" s="566"/>
    </row>
    <row r="22" spans="2:6" x14ac:dyDescent="0.35">
      <c r="B22" s="563"/>
      <c r="C22" s="564"/>
      <c r="D22" s="565"/>
      <c r="E22" s="565"/>
      <c r="F22" s="566"/>
    </row>
    <row r="23" spans="2:6" x14ac:dyDescent="0.35">
      <c r="B23" s="563"/>
      <c r="C23" s="564"/>
      <c r="D23" s="565"/>
      <c r="E23" s="565"/>
      <c r="F23" s="566"/>
    </row>
    <row r="24" spans="2:6" x14ac:dyDescent="0.35">
      <c r="B24" s="563"/>
      <c r="C24" s="564"/>
      <c r="D24" s="565"/>
      <c r="E24" s="565"/>
      <c r="F24" s="566"/>
    </row>
    <row r="25" spans="2:6" x14ac:dyDescent="0.35">
      <c r="B25" s="563"/>
      <c r="C25" s="564"/>
      <c r="D25" s="565"/>
      <c r="E25" s="565"/>
      <c r="F25" s="566"/>
    </row>
    <row r="26" spans="2:6" x14ac:dyDescent="0.35">
      <c r="B26" s="563"/>
      <c r="C26" s="564"/>
      <c r="D26" s="565"/>
      <c r="E26" s="565"/>
      <c r="F26" s="566"/>
    </row>
    <row r="27" spans="2:6" x14ac:dyDescent="0.35">
      <c r="B27" s="563"/>
      <c r="C27" s="564"/>
      <c r="D27" s="565"/>
      <c r="E27" s="565"/>
      <c r="F27" s="566"/>
    </row>
    <row r="28" spans="2:6" x14ac:dyDescent="0.35">
      <c r="B28" s="563"/>
      <c r="C28" s="564"/>
      <c r="D28" s="565"/>
      <c r="E28" s="565"/>
      <c r="F28" s="566"/>
    </row>
    <row r="29" spans="2:6" x14ac:dyDescent="0.35">
      <c r="B29" s="563"/>
      <c r="C29" s="564"/>
      <c r="D29" s="565"/>
      <c r="E29" s="565"/>
      <c r="F29" s="566"/>
    </row>
    <row r="30" spans="2:6" x14ac:dyDescent="0.35">
      <c r="B30" s="563"/>
      <c r="C30" s="564"/>
      <c r="D30" s="565"/>
      <c r="E30" s="565"/>
      <c r="F30" s="566"/>
    </row>
    <row r="31" spans="2:6" x14ac:dyDescent="0.35">
      <c r="B31" s="563"/>
      <c r="C31" s="564"/>
      <c r="D31" s="565"/>
      <c r="E31" s="565"/>
      <c r="F31" s="566"/>
    </row>
    <row r="32" spans="2:6" x14ac:dyDescent="0.35">
      <c r="B32" s="563"/>
      <c r="C32" s="564"/>
      <c r="D32" s="565"/>
      <c r="E32" s="565"/>
      <c r="F32" s="566"/>
    </row>
    <row r="33" spans="2:6" x14ac:dyDescent="0.35">
      <c r="B33" s="563"/>
      <c r="C33" s="564"/>
      <c r="D33" s="565"/>
      <c r="E33" s="565"/>
      <c r="F33" s="566"/>
    </row>
    <row r="34" spans="2:6" x14ac:dyDescent="0.35">
      <c r="B34" s="563"/>
      <c r="C34" s="564"/>
      <c r="D34" s="565"/>
      <c r="E34" s="565"/>
      <c r="F34" s="566"/>
    </row>
    <row r="35" spans="2:6" x14ac:dyDescent="0.35">
      <c r="B35" s="563"/>
      <c r="C35" s="564"/>
      <c r="D35" s="565"/>
      <c r="E35" s="565"/>
      <c r="F35" s="566"/>
    </row>
    <row r="36" spans="2:6" x14ac:dyDescent="0.35">
      <c r="B36" s="563"/>
      <c r="C36" s="564"/>
      <c r="D36" s="565"/>
      <c r="E36" s="565"/>
      <c r="F36" s="566"/>
    </row>
    <row r="37" spans="2:6" x14ac:dyDescent="0.35">
      <c r="B37" s="563"/>
      <c r="C37" s="564"/>
      <c r="D37" s="565"/>
      <c r="E37" s="565"/>
      <c r="F37" s="566"/>
    </row>
    <row r="38" spans="2:6" x14ac:dyDescent="0.35">
      <c r="B38" s="563"/>
      <c r="C38" s="564"/>
      <c r="D38" s="565"/>
      <c r="E38" s="565"/>
      <c r="F38" s="566"/>
    </row>
    <row r="39" spans="2:6" x14ac:dyDescent="0.35">
      <c r="B39" s="563"/>
      <c r="C39" s="587"/>
      <c r="D39" s="565"/>
      <c r="E39" s="565"/>
      <c r="F39" s="566"/>
    </row>
    <row r="40" spans="2:6" x14ac:dyDescent="0.35">
      <c r="B40" s="563"/>
      <c r="C40" s="564"/>
      <c r="D40" s="565"/>
      <c r="E40" s="565"/>
      <c r="F40" s="566"/>
    </row>
    <row r="41" spans="2:6" x14ac:dyDescent="0.35">
      <c r="B41" s="563"/>
      <c r="C41" s="564"/>
      <c r="D41" s="565"/>
      <c r="E41" s="565"/>
      <c r="F41" s="566"/>
    </row>
    <row r="42" spans="2:6" x14ac:dyDescent="0.35">
      <c r="B42" s="563"/>
      <c r="C42" s="564"/>
      <c r="D42" s="565"/>
      <c r="E42" s="565"/>
      <c r="F42" s="566"/>
    </row>
    <row r="43" spans="2:6" x14ac:dyDescent="0.35">
      <c r="B43" s="563"/>
      <c r="C43" s="564"/>
      <c r="D43" s="565"/>
      <c r="E43" s="565"/>
      <c r="F43" s="566"/>
    </row>
    <row r="44" spans="2:6" x14ac:dyDescent="0.35">
      <c r="B44" s="563"/>
      <c r="C44" s="564"/>
      <c r="D44" s="565"/>
      <c r="E44" s="565"/>
      <c r="F44" s="566"/>
    </row>
    <row r="45" spans="2:6" x14ac:dyDescent="0.35">
      <c r="B45" s="563"/>
      <c r="C45" s="564"/>
      <c r="D45" s="565"/>
      <c r="E45" s="565"/>
      <c r="F45" s="566"/>
    </row>
    <row r="46" spans="2:6" ht="15" thickBot="1" x14ac:dyDescent="0.4">
      <c r="B46" s="338"/>
      <c r="C46" s="339"/>
      <c r="D46" s="340"/>
      <c r="E46" s="340"/>
      <c r="F46" s="341"/>
    </row>
    <row r="47" spans="2:6" ht="15" thickBot="1" x14ac:dyDescent="0.4">
      <c r="B47" s="68" t="s">
        <v>766</v>
      </c>
      <c r="C47" s="537"/>
      <c r="D47" s="343">
        <f>SUMIF(E16:E46,"",D16:D46)</f>
        <v>0</v>
      </c>
      <c r="E47" s="343">
        <f>SUMIF(F16:F46,"",E16:E46)</f>
        <v>0</v>
      </c>
      <c r="F47" s="71"/>
    </row>
    <row r="48" spans="2:6" ht="15.65" customHeight="1" thickBot="1" x14ac:dyDescent="0.4">
      <c r="B48" s="573" t="s">
        <v>165</v>
      </c>
      <c r="C48" s="574">
        <v>0</v>
      </c>
      <c r="D48" s="184"/>
      <c r="E48" s="184"/>
      <c r="F48" s="184"/>
    </row>
    <row r="49" spans="2:6" ht="8.15" customHeight="1" thickBot="1" x14ac:dyDescent="0.4">
      <c r="B49" s="72"/>
      <c r="C49" s="87"/>
      <c r="D49" s="567"/>
      <c r="E49" s="567"/>
      <c r="F49" s="567"/>
    </row>
    <row r="50" spans="2:6" ht="15" thickBot="1" x14ac:dyDescent="0.4">
      <c r="B50" s="331" t="s">
        <v>166</v>
      </c>
      <c r="C50" s="332" t="s">
        <v>749</v>
      </c>
      <c r="D50" s="332" t="s">
        <v>200</v>
      </c>
      <c r="E50" s="332" t="s">
        <v>750</v>
      </c>
      <c r="F50" s="333" t="s">
        <v>751</v>
      </c>
    </row>
    <row r="51" spans="2:6" x14ac:dyDescent="0.35">
      <c r="B51" s="563"/>
      <c r="C51" s="335"/>
      <c r="D51" s="336"/>
      <c r="E51" s="336"/>
      <c r="F51" s="337"/>
    </row>
    <row r="52" spans="2:6" x14ac:dyDescent="0.35">
      <c r="B52" s="338"/>
      <c r="C52" s="339"/>
      <c r="D52" s="340"/>
      <c r="E52" s="340"/>
      <c r="F52" s="341"/>
    </row>
    <row r="53" spans="2:6" x14ac:dyDescent="0.35">
      <c r="B53" s="338"/>
      <c r="C53" s="339"/>
      <c r="D53" s="340"/>
      <c r="E53" s="340"/>
      <c r="F53" s="341"/>
    </row>
    <row r="54" spans="2:6" x14ac:dyDescent="0.35">
      <c r="B54" s="563"/>
      <c r="C54" s="564"/>
      <c r="D54" s="565"/>
      <c r="E54" s="565"/>
      <c r="F54" s="566"/>
    </row>
    <row r="55" spans="2:6" x14ac:dyDescent="0.35">
      <c r="B55" s="563"/>
      <c r="C55" s="564"/>
      <c r="D55" s="565"/>
      <c r="E55" s="565"/>
      <c r="F55" s="566"/>
    </row>
    <row r="56" spans="2:6" x14ac:dyDescent="0.35">
      <c r="B56" s="563"/>
      <c r="C56" s="564"/>
      <c r="D56" s="565"/>
      <c r="E56" s="565"/>
      <c r="F56" s="566"/>
    </row>
    <row r="57" spans="2:6" x14ac:dyDescent="0.35">
      <c r="B57" s="563"/>
      <c r="C57" s="564"/>
      <c r="D57" s="565"/>
      <c r="E57" s="565"/>
      <c r="F57" s="566"/>
    </row>
    <row r="58" spans="2:6" x14ac:dyDescent="0.35">
      <c r="B58" s="563"/>
      <c r="C58" s="564"/>
      <c r="D58" s="565"/>
      <c r="E58" s="565"/>
      <c r="F58" s="566"/>
    </row>
    <row r="59" spans="2:6" x14ac:dyDescent="0.35">
      <c r="B59" s="563"/>
      <c r="C59" s="564"/>
      <c r="D59" s="565"/>
      <c r="E59" s="565"/>
      <c r="F59" s="566"/>
    </row>
    <row r="60" spans="2:6" x14ac:dyDescent="0.35">
      <c r="B60" s="563"/>
      <c r="C60" s="564"/>
      <c r="D60" s="565"/>
      <c r="E60" s="565"/>
      <c r="F60" s="566"/>
    </row>
    <row r="61" spans="2:6" x14ac:dyDescent="0.35">
      <c r="B61" s="563"/>
      <c r="C61" s="564"/>
      <c r="D61" s="565"/>
      <c r="E61" s="565"/>
      <c r="F61" s="566"/>
    </row>
    <row r="62" spans="2:6" x14ac:dyDescent="0.35">
      <c r="B62" s="563"/>
      <c r="C62" s="564"/>
      <c r="D62" s="565"/>
      <c r="E62" s="565"/>
      <c r="F62" s="566"/>
    </row>
    <row r="63" spans="2:6" x14ac:dyDescent="0.35">
      <c r="B63" s="563"/>
      <c r="C63" s="564"/>
      <c r="D63" s="565"/>
      <c r="E63" s="565"/>
      <c r="F63" s="566"/>
    </row>
    <row r="64" spans="2:6" x14ac:dyDescent="0.35">
      <c r="B64" s="563"/>
      <c r="C64" s="564"/>
      <c r="D64" s="565"/>
      <c r="E64" s="565"/>
      <c r="F64" s="566"/>
    </row>
    <row r="65" spans="2:6" x14ac:dyDescent="0.35">
      <c r="B65" s="563"/>
      <c r="C65" s="564"/>
      <c r="D65" s="565"/>
      <c r="E65" s="565"/>
      <c r="F65" s="566"/>
    </row>
    <row r="66" spans="2:6" x14ac:dyDescent="0.35">
      <c r="B66" s="563"/>
      <c r="C66" s="564"/>
      <c r="D66" s="565"/>
      <c r="E66" s="565"/>
      <c r="F66" s="566"/>
    </row>
    <row r="67" spans="2:6" x14ac:dyDescent="0.35">
      <c r="B67" s="563"/>
      <c r="C67" s="564"/>
      <c r="D67" s="565"/>
      <c r="E67" s="565"/>
      <c r="F67" s="566"/>
    </row>
    <row r="68" spans="2:6" x14ac:dyDescent="0.35">
      <c r="B68" s="563"/>
      <c r="C68" s="564"/>
      <c r="D68" s="565"/>
      <c r="E68" s="565"/>
      <c r="F68" s="566"/>
    </row>
    <row r="69" spans="2:6" x14ac:dyDescent="0.35">
      <c r="B69" s="563"/>
      <c r="C69" s="564"/>
      <c r="D69" s="565"/>
      <c r="E69" s="565"/>
      <c r="F69" s="566"/>
    </row>
    <row r="70" spans="2:6" x14ac:dyDescent="0.35">
      <c r="B70" s="563"/>
      <c r="C70" s="564"/>
      <c r="D70" s="565"/>
      <c r="E70" s="565"/>
      <c r="F70" s="566"/>
    </row>
    <row r="71" spans="2:6" x14ac:dyDescent="0.35">
      <c r="B71" s="563"/>
      <c r="C71" s="564"/>
      <c r="D71" s="565"/>
      <c r="E71" s="565"/>
      <c r="F71" s="566"/>
    </row>
    <row r="72" spans="2:6" x14ac:dyDescent="0.35">
      <c r="B72" s="563"/>
      <c r="C72" s="564"/>
      <c r="D72" s="565"/>
      <c r="E72" s="565"/>
      <c r="F72" s="566"/>
    </row>
    <row r="73" spans="2:6" x14ac:dyDescent="0.35">
      <c r="B73" s="563"/>
      <c r="C73" s="564"/>
      <c r="D73" s="565"/>
      <c r="E73" s="565"/>
      <c r="F73" s="566"/>
    </row>
    <row r="74" spans="2:6" x14ac:dyDescent="0.35">
      <c r="B74" s="563"/>
      <c r="C74" s="564"/>
      <c r="D74" s="565"/>
      <c r="E74" s="565"/>
      <c r="F74" s="566"/>
    </row>
    <row r="75" spans="2:6" x14ac:dyDescent="0.35">
      <c r="B75" s="563"/>
      <c r="C75" s="564"/>
      <c r="D75" s="565"/>
      <c r="E75" s="565"/>
      <c r="F75" s="566"/>
    </row>
    <row r="76" spans="2:6" x14ac:dyDescent="0.35">
      <c r="B76" s="563"/>
      <c r="C76" s="564"/>
      <c r="D76" s="565"/>
      <c r="E76" s="565"/>
      <c r="F76" s="566"/>
    </row>
    <row r="77" spans="2:6" x14ac:dyDescent="0.35">
      <c r="B77" s="338"/>
      <c r="C77" s="339"/>
      <c r="D77" s="340"/>
      <c r="E77" s="340"/>
      <c r="F77" s="341"/>
    </row>
    <row r="78" spans="2:6" x14ac:dyDescent="0.35">
      <c r="B78" s="338"/>
      <c r="C78" s="339"/>
      <c r="D78" s="340"/>
      <c r="E78" s="340"/>
      <c r="F78" s="341"/>
    </row>
    <row r="79" spans="2:6" x14ac:dyDescent="0.35">
      <c r="B79" s="338"/>
      <c r="C79" s="339"/>
      <c r="D79" s="340"/>
      <c r="E79" s="340"/>
      <c r="F79" s="341"/>
    </row>
    <row r="80" spans="2:6" ht="15" thickBot="1" x14ac:dyDescent="0.4">
      <c r="B80" s="338"/>
      <c r="C80" s="339"/>
      <c r="D80" s="569"/>
      <c r="E80" s="569"/>
      <c r="F80" s="570"/>
    </row>
    <row r="81" spans="2:6" ht="15" thickBot="1" x14ac:dyDescent="0.4">
      <c r="B81" s="68" t="s">
        <v>766</v>
      </c>
      <c r="C81" s="568"/>
      <c r="D81" s="572">
        <f>SUMIF(E50:E80,"",D50:D80)</f>
        <v>0</v>
      </c>
      <c r="E81" s="572">
        <f>SUBTOTAL(9,E50:E80)</f>
        <v>0</v>
      </c>
      <c r="F81" s="572"/>
    </row>
    <row r="82" spans="2:6" ht="15" thickBot="1" x14ac:dyDescent="0.4">
      <c r="B82" s="573" t="s">
        <v>1055</v>
      </c>
      <c r="C82" s="574">
        <v>0</v>
      </c>
      <c r="D82" s="184"/>
      <c r="E82" s="184"/>
      <c r="F82" s="184"/>
    </row>
    <row r="83" spans="2:6" ht="8.15" customHeight="1" thickBot="1" x14ac:dyDescent="0.4">
      <c r="B83" s="72"/>
      <c r="C83" s="87"/>
      <c r="D83" s="567"/>
      <c r="E83" s="567"/>
      <c r="F83" s="567"/>
    </row>
    <row r="84" spans="2:6" ht="15" thickBot="1" x14ac:dyDescent="0.4">
      <c r="B84" s="331" t="s">
        <v>167</v>
      </c>
      <c r="C84" s="332" t="s">
        <v>749</v>
      </c>
      <c r="D84" s="332" t="s">
        <v>200</v>
      </c>
      <c r="E84" s="332" t="s">
        <v>750</v>
      </c>
      <c r="F84" s="333" t="s">
        <v>751</v>
      </c>
    </row>
    <row r="85" spans="2:6" x14ac:dyDescent="0.35">
      <c r="B85" s="334"/>
      <c r="C85" s="335"/>
      <c r="D85" s="336"/>
      <c r="E85" s="336"/>
      <c r="F85" s="337"/>
    </row>
    <row r="86" spans="2:6" x14ac:dyDescent="0.35">
      <c r="B86" s="338"/>
      <c r="C86" s="339"/>
      <c r="D86" s="340"/>
      <c r="E86" s="340"/>
      <c r="F86" s="341"/>
    </row>
    <row r="87" spans="2:6" x14ac:dyDescent="0.35">
      <c r="B87" s="563"/>
      <c r="C87" s="564"/>
      <c r="D87" s="565"/>
      <c r="E87" s="565"/>
      <c r="F87" s="566"/>
    </row>
    <row r="88" spans="2:6" x14ac:dyDescent="0.35">
      <c r="B88" s="563"/>
      <c r="C88" s="564"/>
      <c r="D88" s="565"/>
      <c r="E88" s="565"/>
      <c r="F88" s="566"/>
    </row>
    <row r="89" spans="2:6" x14ac:dyDescent="0.35">
      <c r="B89" s="563"/>
      <c r="C89" s="564"/>
      <c r="D89" s="565"/>
      <c r="E89" s="565"/>
      <c r="F89" s="566"/>
    </row>
    <row r="90" spans="2:6" x14ac:dyDescent="0.35">
      <c r="B90" s="563"/>
      <c r="C90" s="564"/>
      <c r="D90" s="565"/>
      <c r="E90" s="565"/>
      <c r="F90" s="566"/>
    </row>
    <row r="91" spans="2:6" x14ac:dyDescent="0.35">
      <c r="B91" s="563"/>
      <c r="C91" s="564"/>
      <c r="D91" s="565"/>
      <c r="E91" s="565"/>
      <c r="F91" s="566"/>
    </row>
    <row r="92" spans="2:6" ht="13.5" customHeight="1" x14ac:dyDescent="0.35">
      <c r="B92" s="563"/>
      <c r="C92" s="564"/>
      <c r="D92" s="565"/>
      <c r="E92" s="565"/>
      <c r="F92" s="566"/>
    </row>
    <row r="93" spans="2:6" x14ac:dyDescent="0.35">
      <c r="B93" s="563"/>
      <c r="C93" s="564"/>
      <c r="D93" s="565"/>
      <c r="E93" s="565"/>
      <c r="F93" s="566"/>
    </row>
    <row r="94" spans="2:6" x14ac:dyDescent="0.35">
      <c r="B94" s="563"/>
      <c r="C94" s="564"/>
      <c r="D94" s="565"/>
      <c r="E94" s="565"/>
      <c r="F94" s="566"/>
    </row>
    <row r="95" spans="2:6" x14ac:dyDescent="0.35">
      <c r="B95" s="563"/>
      <c r="C95" s="564"/>
      <c r="D95" s="565"/>
      <c r="E95" s="565"/>
      <c r="F95" s="566"/>
    </row>
    <row r="96" spans="2:6" x14ac:dyDescent="0.35">
      <c r="B96" s="563"/>
      <c r="C96" s="564"/>
      <c r="D96" s="565"/>
      <c r="E96" s="565"/>
      <c r="F96" s="566"/>
    </row>
    <row r="97" spans="2:6" x14ac:dyDescent="0.35">
      <c r="B97" s="563"/>
      <c r="C97" s="564"/>
      <c r="D97" s="565"/>
      <c r="E97" s="565"/>
      <c r="F97" s="566"/>
    </row>
    <row r="98" spans="2:6" x14ac:dyDescent="0.35">
      <c r="B98" s="563"/>
      <c r="C98" s="564"/>
      <c r="D98" s="565"/>
      <c r="E98" s="565"/>
      <c r="F98" s="566"/>
    </row>
    <row r="99" spans="2:6" x14ac:dyDescent="0.35">
      <c r="B99" s="338"/>
      <c r="C99" s="339"/>
      <c r="D99" s="340"/>
      <c r="E99" s="340"/>
      <c r="F99" s="341"/>
    </row>
    <row r="100" spans="2:6" x14ac:dyDescent="0.35">
      <c r="B100" s="563"/>
      <c r="C100" s="564"/>
      <c r="D100" s="565"/>
      <c r="E100" s="565"/>
      <c r="F100" s="566"/>
    </row>
    <row r="101" spans="2:6" x14ac:dyDescent="0.35">
      <c r="B101" s="563"/>
      <c r="C101" s="564"/>
      <c r="D101" s="565"/>
      <c r="E101" s="565"/>
      <c r="F101" s="566"/>
    </row>
    <row r="102" spans="2:6" x14ac:dyDescent="0.35">
      <c r="B102" s="563"/>
      <c r="C102" s="564"/>
      <c r="D102" s="565"/>
      <c r="E102" s="565"/>
      <c r="F102" s="566"/>
    </row>
    <row r="103" spans="2:6" x14ac:dyDescent="0.35">
      <c r="B103" s="563"/>
      <c r="C103" s="564"/>
      <c r="D103" s="565"/>
      <c r="E103" s="565"/>
      <c r="F103" s="566"/>
    </row>
    <row r="104" spans="2:6" x14ac:dyDescent="0.35">
      <c r="B104" s="563"/>
      <c r="C104" s="564"/>
      <c r="D104" s="565"/>
      <c r="E104" s="565"/>
      <c r="F104" s="566"/>
    </row>
    <row r="105" spans="2:6" x14ac:dyDescent="0.35">
      <c r="B105" s="563"/>
      <c r="C105" s="564"/>
      <c r="D105" s="565"/>
      <c r="E105" s="565"/>
      <c r="F105" s="566"/>
    </row>
    <row r="106" spans="2:6" x14ac:dyDescent="0.35">
      <c r="B106" s="563"/>
      <c r="C106" s="564"/>
      <c r="D106" s="565"/>
      <c r="E106" s="565"/>
      <c r="F106" s="566"/>
    </row>
    <row r="107" spans="2:6" x14ac:dyDescent="0.35">
      <c r="B107" s="563"/>
      <c r="C107" s="564"/>
      <c r="D107" s="565"/>
      <c r="E107" s="565"/>
      <c r="F107" s="566"/>
    </row>
    <row r="108" spans="2:6" x14ac:dyDescent="0.35">
      <c r="B108" s="563"/>
      <c r="C108" s="564"/>
      <c r="D108" s="565"/>
      <c r="E108" s="565"/>
      <c r="F108" s="566"/>
    </row>
    <row r="109" spans="2:6" x14ac:dyDescent="0.35">
      <c r="B109" s="563"/>
      <c r="C109" s="564"/>
      <c r="D109" s="565"/>
      <c r="E109" s="565"/>
      <c r="F109" s="566"/>
    </row>
    <row r="110" spans="2:6" x14ac:dyDescent="0.35">
      <c r="B110" s="338"/>
      <c r="C110" s="339"/>
      <c r="D110" s="340"/>
      <c r="E110" s="340"/>
      <c r="F110" s="341"/>
    </row>
    <row r="111" spans="2:6" x14ac:dyDescent="0.35">
      <c r="B111" s="338"/>
      <c r="C111" s="339"/>
      <c r="D111" s="340"/>
      <c r="E111" s="340"/>
      <c r="F111" s="341"/>
    </row>
    <row r="112" spans="2:6" x14ac:dyDescent="0.35">
      <c r="B112" s="338"/>
      <c r="C112" s="339"/>
      <c r="D112" s="340"/>
      <c r="E112" s="340"/>
      <c r="F112" s="341"/>
    </row>
    <row r="113" spans="2:6" x14ac:dyDescent="0.35">
      <c r="B113" s="338"/>
      <c r="C113" s="339"/>
      <c r="D113" s="340"/>
      <c r="E113" s="340"/>
      <c r="F113" s="341"/>
    </row>
    <row r="114" spans="2:6" ht="15.75" customHeight="1" thickBot="1" x14ac:dyDescent="0.4">
      <c r="B114" s="338"/>
      <c r="C114" s="339"/>
      <c r="D114" s="340"/>
      <c r="E114" s="340"/>
      <c r="F114" s="341"/>
    </row>
    <row r="115" spans="2:6" ht="15" thickBot="1" x14ac:dyDescent="0.4">
      <c r="B115" s="68" t="s">
        <v>766</v>
      </c>
      <c r="C115" s="537"/>
      <c r="D115" s="571">
        <f>SUMIF(E84:E114,"",D84:D114)</f>
        <v>0</v>
      </c>
      <c r="E115" s="70">
        <f>SUBTOTAL(9,E84:E114)</f>
        <v>0</v>
      </c>
      <c r="F115" s="71"/>
    </row>
    <row r="116" spans="2:6" ht="15" thickBot="1" x14ac:dyDescent="0.4">
      <c r="B116" s="573" t="s">
        <v>167</v>
      </c>
      <c r="C116" s="574">
        <v>0</v>
      </c>
      <c r="D116" s="184"/>
      <c r="E116" s="184"/>
      <c r="F116" s="184"/>
    </row>
    <row r="117" spans="2:6" ht="8.15" customHeight="1" thickBot="1" x14ac:dyDescent="0.4">
      <c r="B117" s="72"/>
      <c r="C117" s="87"/>
      <c r="D117" s="567"/>
      <c r="E117" s="567"/>
      <c r="F117" s="567"/>
    </row>
    <row r="118" spans="2:6" ht="15" thickBot="1" x14ac:dyDescent="0.4">
      <c r="B118" s="331" t="s">
        <v>168</v>
      </c>
      <c r="C118" s="332" t="s">
        <v>749</v>
      </c>
      <c r="D118" s="332" t="s">
        <v>200</v>
      </c>
      <c r="E118" s="332" t="s">
        <v>750</v>
      </c>
      <c r="F118" s="333" t="s">
        <v>751</v>
      </c>
    </row>
    <row r="119" spans="2:6" x14ac:dyDescent="0.35">
      <c r="B119" s="334"/>
      <c r="C119" s="335"/>
      <c r="D119" s="336"/>
      <c r="E119" s="336"/>
      <c r="F119" s="337"/>
    </row>
    <row r="120" spans="2:6" x14ac:dyDescent="0.35">
      <c r="B120" s="338"/>
      <c r="C120" s="339"/>
      <c r="D120" s="340"/>
      <c r="E120" s="340"/>
      <c r="F120" s="341"/>
    </row>
    <row r="121" spans="2:6" x14ac:dyDescent="0.35">
      <c r="B121" s="338"/>
      <c r="C121" s="339"/>
      <c r="D121" s="340"/>
      <c r="E121" s="340"/>
      <c r="F121" s="341"/>
    </row>
    <row r="122" spans="2:6" x14ac:dyDescent="0.35">
      <c r="B122" s="563"/>
      <c r="C122" s="564"/>
      <c r="D122" s="565"/>
      <c r="E122" s="565"/>
      <c r="F122" s="566"/>
    </row>
    <row r="123" spans="2:6" x14ac:dyDescent="0.35">
      <c r="B123" s="563"/>
      <c r="C123" s="564"/>
      <c r="D123" s="565"/>
      <c r="E123" s="565"/>
      <c r="F123" s="566"/>
    </row>
    <row r="124" spans="2:6" x14ac:dyDescent="0.35">
      <c r="B124" s="563"/>
      <c r="C124" s="564"/>
      <c r="D124" s="565"/>
      <c r="E124" s="565"/>
      <c r="F124" s="566"/>
    </row>
    <row r="125" spans="2:6" x14ac:dyDescent="0.35">
      <c r="B125" s="563"/>
      <c r="C125" s="564"/>
      <c r="D125" s="565"/>
      <c r="E125" s="565"/>
      <c r="F125" s="566"/>
    </row>
    <row r="126" spans="2:6" x14ac:dyDescent="0.35">
      <c r="B126" s="563"/>
      <c r="C126" s="564"/>
      <c r="D126" s="565"/>
      <c r="E126" s="565"/>
      <c r="F126" s="566"/>
    </row>
    <row r="127" spans="2:6" x14ac:dyDescent="0.35">
      <c r="B127" s="563"/>
      <c r="C127" s="564"/>
      <c r="D127" s="565"/>
      <c r="E127" s="565"/>
      <c r="F127" s="566"/>
    </row>
    <row r="128" spans="2:6" x14ac:dyDescent="0.35">
      <c r="B128" s="563"/>
      <c r="C128" s="564"/>
      <c r="D128" s="565"/>
      <c r="E128" s="565"/>
      <c r="F128" s="566"/>
    </row>
    <row r="129" spans="2:6" x14ac:dyDescent="0.35">
      <c r="B129" s="563"/>
      <c r="C129" s="564"/>
      <c r="D129" s="565"/>
      <c r="E129" s="565"/>
      <c r="F129" s="566"/>
    </row>
    <row r="130" spans="2:6" x14ac:dyDescent="0.35">
      <c r="B130" s="563"/>
      <c r="C130" s="564"/>
      <c r="D130" s="565"/>
      <c r="E130" s="565"/>
      <c r="F130" s="566"/>
    </row>
    <row r="131" spans="2:6" x14ac:dyDescent="0.35">
      <c r="B131" s="563"/>
      <c r="C131" s="564"/>
      <c r="D131" s="565"/>
      <c r="E131" s="565"/>
      <c r="F131" s="566"/>
    </row>
    <row r="132" spans="2:6" x14ac:dyDescent="0.35">
      <c r="B132" s="563"/>
      <c r="C132" s="564"/>
      <c r="D132" s="565"/>
      <c r="E132" s="565"/>
      <c r="F132" s="566"/>
    </row>
    <row r="133" spans="2:6" x14ac:dyDescent="0.35">
      <c r="B133" s="563"/>
      <c r="C133" s="564"/>
      <c r="D133" s="565"/>
      <c r="E133" s="565"/>
      <c r="F133" s="566"/>
    </row>
    <row r="134" spans="2:6" x14ac:dyDescent="0.35">
      <c r="B134" s="563"/>
      <c r="C134" s="564"/>
      <c r="D134" s="565"/>
      <c r="E134" s="565"/>
      <c r="F134" s="566"/>
    </row>
    <row r="135" spans="2:6" x14ac:dyDescent="0.35">
      <c r="B135" s="563"/>
      <c r="C135" s="564"/>
      <c r="D135" s="565"/>
      <c r="E135" s="565"/>
      <c r="F135" s="566"/>
    </row>
    <row r="136" spans="2:6" x14ac:dyDescent="0.35">
      <c r="B136" s="563"/>
      <c r="C136" s="564"/>
      <c r="D136" s="565"/>
      <c r="E136" s="565"/>
      <c r="F136" s="566"/>
    </row>
    <row r="137" spans="2:6" x14ac:dyDescent="0.35">
      <c r="B137" s="563"/>
      <c r="C137" s="564"/>
      <c r="D137" s="565"/>
      <c r="E137" s="565"/>
      <c r="F137" s="566"/>
    </row>
    <row r="138" spans="2:6" x14ac:dyDescent="0.35">
      <c r="B138" s="563"/>
      <c r="C138" s="564"/>
      <c r="D138" s="565"/>
      <c r="E138" s="565"/>
      <c r="F138" s="566"/>
    </row>
    <row r="139" spans="2:6" x14ac:dyDescent="0.35">
      <c r="B139" s="563"/>
      <c r="C139" s="564"/>
      <c r="D139" s="565"/>
      <c r="E139" s="565"/>
      <c r="F139" s="566"/>
    </row>
    <row r="140" spans="2:6" x14ac:dyDescent="0.35">
      <c r="B140" s="563"/>
      <c r="C140" s="564"/>
      <c r="D140" s="565"/>
      <c r="E140" s="565"/>
      <c r="F140" s="566"/>
    </row>
    <row r="141" spans="2:6" x14ac:dyDescent="0.35">
      <c r="B141" s="338"/>
      <c r="C141" s="339"/>
      <c r="D141" s="340"/>
      <c r="E141" s="340"/>
      <c r="F141" s="341"/>
    </row>
    <row r="142" spans="2:6" x14ac:dyDescent="0.35">
      <c r="B142" s="338"/>
      <c r="C142" s="339"/>
      <c r="D142" s="340"/>
      <c r="E142" s="340"/>
      <c r="F142" s="341"/>
    </row>
    <row r="143" spans="2:6" x14ac:dyDescent="0.35">
      <c r="B143" s="338"/>
      <c r="C143" s="339"/>
      <c r="D143" s="340"/>
      <c r="E143" s="340"/>
      <c r="F143" s="341"/>
    </row>
    <row r="144" spans="2:6" x14ac:dyDescent="0.35">
      <c r="B144" s="338"/>
      <c r="C144" s="339"/>
      <c r="D144" s="340"/>
      <c r="E144" s="340"/>
      <c r="F144" s="341"/>
    </row>
    <row r="145" spans="2:6" x14ac:dyDescent="0.35">
      <c r="B145" s="338"/>
      <c r="C145" s="339"/>
      <c r="D145" s="340"/>
      <c r="E145" s="340"/>
      <c r="F145" s="341"/>
    </row>
    <row r="146" spans="2:6" x14ac:dyDescent="0.35">
      <c r="B146" s="338"/>
      <c r="C146" s="339"/>
      <c r="D146" s="340"/>
      <c r="E146" s="340"/>
      <c r="F146" s="341"/>
    </row>
    <row r="147" spans="2:6" s="166" customFormat="1" x14ac:dyDescent="0.35">
      <c r="B147" s="338"/>
      <c r="C147" s="339"/>
      <c r="D147" s="340"/>
      <c r="E147" s="340"/>
      <c r="F147" s="341"/>
    </row>
    <row r="148" spans="2:6" s="166" customFormat="1" ht="15" thickBot="1" x14ac:dyDescent="0.4">
      <c r="B148" s="338"/>
      <c r="C148" s="339"/>
      <c r="D148" s="340"/>
      <c r="E148" s="340"/>
      <c r="F148" s="341"/>
    </row>
    <row r="149" spans="2:6" s="166" customFormat="1" ht="15" thickBot="1" x14ac:dyDescent="0.4">
      <c r="B149" s="68" t="s">
        <v>766</v>
      </c>
      <c r="C149" s="537"/>
      <c r="D149" s="571">
        <f>SUMIF(E118:E148,"",D118:D148)</f>
        <v>0</v>
      </c>
      <c r="E149" s="70">
        <f>SUBTOTAL(9,E118:E148)</f>
        <v>0</v>
      </c>
      <c r="F149" s="71"/>
    </row>
    <row r="150" spans="2:6" s="166" customFormat="1" ht="15" thickBot="1" x14ac:dyDescent="0.4">
      <c r="B150" s="573" t="s">
        <v>1053</v>
      </c>
      <c r="C150" s="574">
        <v>0</v>
      </c>
      <c r="D150" s="217"/>
      <c r="E150" s="217"/>
      <c r="F150" s="217"/>
    </row>
    <row r="151" spans="2:6" s="166" customFormat="1" ht="8.15" customHeight="1" thickBot="1" x14ac:dyDescent="0.4">
      <c r="B151" s="72"/>
      <c r="C151" s="87"/>
      <c r="D151" s="567"/>
      <c r="E151" s="567"/>
      <c r="F151" s="567"/>
    </row>
    <row r="152" spans="2:6" s="166" customFormat="1" ht="15" thickBot="1" x14ac:dyDescent="0.4">
      <c r="B152" s="331" t="s">
        <v>756</v>
      </c>
      <c r="C152" s="332" t="s">
        <v>749</v>
      </c>
      <c r="D152" s="332" t="s">
        <v>200</v>
      </c>
      <c r="E152" s="332" t="s">
        <v>750</v>
      </c>
      <c r="F152" s="333" t="s">
        <v>751</v>
      </c>
    </row>
    <row r="153" spans="2:6" s="166" customFormat="1" x14ac:dyDescent="0.35">
      <c r="B153" s="334"/>
      <c r="C153" s="335"/>
      <c r="D153" s="336"/>
      <c r="E153" s="336"/>
      <c r="F153" s="337"/>
    </row>
    <row r="154" spans="2:6" s="166" customFormat="1" x14ac:dyDescent="0.35">
      <c r="B154" s="338"/>
      <c r="C154" s="339"/>
      <c r="D154" s="340"/>
      <c r="E154" s="340"/>
      <c r="F154" s="341"/>
    </row>
    <row r="155" spans="2:6" s="166" customFormat="1" x14ac:dyDescent="0.35">
      <c r="B155" s="338"/>
      <c r="C155" s="339"/>
      <c r="D155" s="340"/>
      <c r="E155" s="340"/>
      <c r="F155" s="341"/>
    </row>
    <row r="156" spans="2:6" x14ac:dyDescent="0.35">
      <c r="B156" s="563"/>
      <c r="C156" s="564"/>
      <c r="D156" s="565"/>
      <c r="E156" s="565"/>
      <c r="F156" s="566"/>
    </row>
    <row r="157" spans="2:6" x14ac:dyDescent="0.35">
      <c r="B157" s="563"/>
      <c r="C157" s="564"/>
      <c r="D157" s="565"/>
      <c r="E157" s="565"/>
      <c r="F157" s="566"/>
    </row>
    <row r="158" spans="2:6" x14ac:dyDescent="0.35">
      <c r="B158" s="563"/>
      <c r="C158" s="564"/>
      <c r="D158" s="565"/>
      <c r="E158" s="565"/>
      <c r="F158" s="566"/>
    </row>
    <row r="159" spans="2:6" x14ac:dyDescent="0.35">
      <c r="B159" s="563"/>
      <c r="C159" s="564"/>
      <c r="D159" s="565"/>
      <c r="E159" s="565"/>
      <c r="F159" s="566"/>
    </row>
    <row r="160" spans="2:6" x14ac:dyDescent="0.35">
      <c r="B160" s="563"/>
      <c r="C160" s="564"/>
      <c r="D160" s="565"/>
      <c r="E160" s="565"/>
      <c r="F160" s="566"/>
    </row>
    <row r="161" spans="2:6" x14ac:dyDescent="0.35">
      <c r="B161" s="563"/>
      <c r="C161" s="564"/>
      <c r="D161" s="565"/>
      <c r="E161" s="565"/>
      <c r="F161" s="566"/>
    </row>
    <row r="162" spans="2:6" x14ac:dyDescent="0.35">
      <c r="B162" s="563"/>
      <c r="C162" s="564"/>
      <c r="D162" s="565"/>
      <c r="E162" s="565"/>
      <c r="F162" s="566"/>
    </row>
    <row r="163" spans="2:6" x14ac:dyDescent="0.35">
      <c r="B163" s="563"/>
      <c r="C163" s="564"/>
      <c r="D163" s="565"/>
      <c r="E163" s="565"/>
      <c r="F163" s="566"/>
    </row>
    <row r="164" spans="2:6" x14ac:dyDescent="0.35">
      <c r="B164" s="563"/>
      <c r="C164" s="564"/>
      <c r="D164" s="565"/>
      <c r="E164" s="565"/>
      <c r="F164" s="566"/>
    </row>
    <row r="165" spans="2:6" x14ac:dyDescent="0.35">
      <c r="B165" s="563"/>
      <c r="C165" s="564"/>
      <c r="D165" s="565"/>
      <c r="E165" s="565"/>
      <c r="F165" s="566"/>
    </row>
    <row r="166" spans="2:6" x14ac:dyDescent="0.35">
      <c r="B166" s="338"/>
      <c r="C166" s="339"/>
      <c r="D166" s="340"/>
      <c r="E166" s="340"/>
      <c r="F166" s="341"/>
    </row>
    <row r="167" spans="2:6" x14ac:dyDescent="0.35">
      <c r="B167" s="338"/>
      <c r="C167" s="339"/>
      <c r="D167" s="340"/>
      <c r="E167" s="340"/>
      <c r="F167" s="341"/>
    </row>
    <row r="168" spans="2:6" x14ac:dyDescent="0.35">
      <c r="B168" s="338"/>
      <c r="C168" s="339"/>
      <c r="D168" s="340"/>
      <c r="E168" s="340"/>
      <c r="F168" s="341"/>
    </row>
    <row r="169" spans="2:6" x14ac:dyDescent="0.35">
      <c r="B169" s="338"/>
      <c r="C169" s="339"/>
      <c r="D169" s="340"/>
      <c r="E169" s="340"/>
      <c r="F169" s="341"/>
    </row>
    <row r="170" spans="2:6" x14ac:dyDescent="0.35">
      <c r="B170" s="338"/>
      <c r="C170" s="339"/>
      <c r="D170" s="340"/>
      <c r="E170" s="340"/>
      <c r="F170" s="341"/>
    </row>
    <row r="171" spans="2:6" s="166" customFormat="1" x14ac:dyDescent="0.35">
      <c r="B171" s="338"/>
      <c r="C171" s="339"/>
      <c r="D171" s="340"/>
      <c r="E171" s="340"/>
      <c r="F171" s="341"/>
    </row>
    <row r="172" spans="2:6" s="166" customFormat="1" x14ac:dyDescent="0.35">
      <c r="B172" s="338"/>
      <c r="C172" s="339"/>
      <c r="D172" s="340"/>
      <c r="E172" s="340"/>
      <c r="F172" s="341"/>
    </row>
    <row r="173" spans="2:6" s="166" customFormat="1" x14ac:dyDescent="0.35">
      <c r="B173" s="338"/>
      <c r="C173" s="339"/>
      <c r="D173" s="340"/>
      <c r="E173" s="340"/>
      <c r="F173" s="341"/>
    </row>
    <row r="174" spans="2:6" s="166" customFormat="1" x14ac:dyDescent="0.35">
      <c r="B174" s="338"/>
      <c r="C174" s="339"/>
      <c r="D174" s="340"/>
      <c r="E174" s="340"/>
      <c r="F174" s="341"/>
    </row>
    <row r="175" spans="2:6" s="166" customFormat="1" x14ac:dyDescent="0.35">
      <c r="B175" s="563"/>
      <c r="C175" s="564"/>
      <c r="D175" s="565"/>
      <c r="E175" s="565"/>
      <c r="F175" s="566"/>
    </row>
    <row r="176" spans="2:6" s="166" customFormat="1" x14ac:dyDescent="0.35">
      <c r="B176" s="563"/>
      <c r="C176" s="564"/>
      <c r="D176" s="565"/>
      <c r="E176" s="565"/>
      <c r="F176" s="566"/>
    </row>
    <row r="177" spans="2:6" s="166" customFormat="1" x14ac:dyDescent="0.35">
      <c r="B177" s="563"/>
      <c r="C177" s="564"/>
      <c r="D177" s="565"/>
      <c r="E177" s="565"/>
      <c r="F177" s="566"/>
    </row>
    <row r="178" spans="2:6" s="166" customFormat="1" x14ac:dyDescent="0.35">
      <c r="B178" s="563"/>
      <c r="C178" s="564"/>
      <c r="D178" s="565"/>
      <c r="E178" s="565"/>
      <c r="F178" s="566"/>
    </row>
    <row r="179" spans="2:6" s="166" customFormat="1" x14ac:dyDescent="0.35">
      <c r="B179" s="563"/>
      <c r="C179" s="564"/>
      <c r="D179" s="565"/>
      <c r="E179" s="565"/>
      <c r="F179" s="566"/>
    </row>
    <row r="180" spans="2:6" x14ac:dyDescent="0.35">
      <c r="B180" s="563"/>
      <c r="C180" s="564"/>
      <c r="D180" s="565"/>
      <c r="E180" s="565"/>
      <c r="F180" s="566"/>
    </row>
    <row r="181" spans="2:6" x14ac:dyDescent="0.35">
      <c r="B181" s="563"/>
      <c r="C181" s="564"/>
      <c r="D181" s="565"/>
      <c r="E181" s="565"/>
      <c r="F181" s="566"/>
    </row>
    <row r="182" spans="2:6" ht="15" thickBot="1" x14ac:dyDescent="0.4">
      <c r="B182" s="563"/>
      <c r="C182" s="564"/>
      <c r="D182" s="565"/>
      <c r="E182" s="565"/>
      <c r="F182" s="566"/>
    </row>
    <row r="183" spans="2:6" s="166" customFormat="1" ht="15" thickBot="1" x14ac:dyDescent="0.4">
      <c r="B183" s="68" t="s">
        <v>766</v>
      </c>
      <c r="C183" s="537"/>
      <c r="D183" s="343">
        <f>SUMIF(E153:E182,"",D153:D182)</f>
        <v>0</v>
      </c>
      <c r="E183" s="70">
        <f>SUBTOTAL(9,E153:E182)</f>
        <v>0</v>
      </c>
      <c r="F183" s="71"/>
    </row>
    <row r="184" spans="2:6" ht="15" thickBot="1" x14ac:dyDescent="0.4">
      <c r="B184" s="573" t="s">
        <v>1054</v>
      </c>
      <c r="C184" s="574">
        <v>0</v>
      </c>
    </row>
    <row r="185" spans="2:6" s="166" customFormat="1" ht="15" thickBot="1" x14ac:dyDescent="0.4">
      <c r="B185" s="111"/>
      <c r="C185" s="73"/>
      <c r="D185" s="73"/>
      <c r="E185" s="83"/>
      <c r="F185" s="83"/>
    </row>
    <row r="186" spans="2:6" s="166" customFormat="1" ht="15" thickBot="1" x14ac:dyDescent="0.4">
      <c r="B186" s="347" t="s">
        <v>1047</v>
      </c>
      <c r="C186" s="345"/>
      <c r="D186" s="346">
        <f xml:space="preserve"> SUM(D47,D81,D115,D149,D183)</f>
        <v>0</v>
      </c>
      <c r="E186" s="348">
        <f>SUM('GMP-PO Breakdown'!D80:D83)</f>
        <v>0</v>
      </c>
      <c r="F186" s="460"/>
    </row>
    <row r="187" spans="2:6" s="166" customFormat="1" ht="15" thickBot="1" x14ac:dyDescent="0.4">
      <c r="B187" s="111"/>
      <c r="C187" s="73"/>
      <c r="D187" s="73"/>
      <c r="E187" s="83"/>
      <c r="F187" s="83"/>
    </row>
    <row r="188" spans="2:6" s="166" customFormat="1" ht="15" thickBot="1" x14ac:dyDescent="0.4">
      <c r="B188" s="347" t="s">
        <v>1048</v>
      </c>
      <c r="C188" s="345"/>
      <c r="D188" s="346"/>
      <c r="E188" s="348">
        <f>(E183+E149+E115+E81+E47)+D186</f>
        <v>0</v>
      </c>
      <c r="F188" s="83"/>
    </row>
    <row r="189" spans="2:6" s="166" customFormat="1" ht="15" thickBot="1" x14ac:dyDescent="0.4">
      <c r="B189" s="111"/>
      <c r="C189" s="73"/>
      <c r="D189" s="73"/>
      <c r="E189" s="83"/>
      <c r="F189" s="83"/>
    </row>
    <row r="190" spans="2:6" s="166" customFormat="1" ht="15" thickBot="1" x14ac:dyDescent="0.4">
      <c r="B190" s="347" t="s">
        <v>1049</v>
      </c>
      <c r="C190" s="345"/>
      <c r="D190" s="346"/>
      <c r="E190" s="348">
        <f>E186-E188</f>
        <v>0</v>
      </c>
      <c r="F190" s="83"/>
    </row>
    <row r="191" spans="2:6" s="166" customFormat="1" ht="8.15" customHeight="1" thickBot="1" x14ac:dyDescent="0.4">
      <c r="B191" s="111"/>
      <c r="C191" s="73"/>
      <c r="D191" s="73"/>
      <c r="E191" s="83"/>
      <c r="F191" s="83"/>
    </row>
    <row r="192" spans="2:6" s="166" customFormat="1" ht="15" thickBot="1" x14ac:dyDescent="0.4">
      <c r="B192" s="347" t="s">
        <v>755</v>
      </c>
      <c r="C192" s="345"/>
      <c r="D192" s="346"/>
      <c r="E192" s="348"/>
      <c r="F192" s="83"/>
    </row>
    <row r="193" spans="2:6" s="166" customFormat="1" ht="8.15" customHeight="1" x14ac:dyDescent="0.35">
      <c r="B193" s="111"/>
      <c r="C193" s="73"/>
      <c r="D193" s="73"/>
      <c r="E193" s="83"/>
      <c r="F193" s="83"/>
    </row>
    <row r="194" spans="2:6" s="166" customFormat="1" x14ac:dyDescent="0.35">
      <c r="B194" s="111"/>
      <c r="C194" s="73"/>
      <c r="D194" s="73"/>
      <c r="E194" s="83"/>
      <c r="F194" s="83"/>
    </row>
    <row r="195" spans="2:6" s="166" customFormat="1" ht="8.15" customHeight="1" x14ac:dyDescent="0.35">
      <c r="B195" s="111"/>
      <c r="C195" s="73"/>
      <c r="D195" s="73"/>
      <c r="E195" s="83"/>
      <c r="F195" s="83"/>
    </row>
    <row r="196" spans="2:6" s="166" customFormat="1" x14ac:dyDescent="0.35">
      <c r="B196" s="111"/>
      <c r="C196" s="73"/>
      <c r="D196" s="73"/>
      <c r="E196" s="83"/>
      <c r="F196" s="83"/>
    </row>
    <row r="197" spans="2:6" s="166" customFormat="1" ht="8.15" customHeight="1" x14ac:dyDescent="0.35">
      <c r="B197" s="111"/>
      <c r="C197" s="73"/>
      <c r="D197" s="73"/>
      <c r="E197" s="83"/>
      <c r="F197" s="83"/>
    </row>
    <row r="198" spans="2:6" s="166" customFormat="1" x14ac:dyDescent="0.35">
      <c r="B198" s="111"/>
      <c r="C198" s="73"/>
      <c r="D198" s="73"/>
      <c r="E198" s="83"/>
      <c r="F198" s="83"/>
    </row>
    <row r="199" spans="2:6" s="166" customFormat="1" x14ac:dyDescent="0.35">
      <c r="B199" s="111"/>
      <c r="C199" s="73"/>
      <c r="D199" s="73"/>
      <c r="E199" s="83"/>
      <c r="F199" s="83"/>
    </row>
    <row r="200" spans="2:6" s="166" customFormat="1" x14ac:dyDescent="0.35">
      <c r="B200" s="165"/>
      <c r="C200" s="73"/>
      <c r="D200" s="73"/>
      <c r="E200" s="83"/>
      <c r="F200" s="83"/>
    </row>
    <row r="201" spans="2:6" s="166" customFormat="1" x14ac:dyDescent="0.35">
      <c r="B201" s="165"/>
      <c r="C201" s="165"/>
      <c r="D201" s="165"/>
      <c r="E201" s="165"/>
      <c r="F201" s="165"/>
    </row>
    <row r="202" spans="2:6" s="166" customFormat="1" x14ac:dyDescent="0.35">
      <c r="B202" s="165"/>
      <c r="C202" s="165"/>
      <c r="D202" s="165"/>
      <c r="E202" s="165"/>
      <c r="F202" s="165"/>
    </row>
    <row r="203" spans="2:6" s="166" customFormat="1" x14ac:dyDescent="0.35">
      <c r="B203" s="165"/>
      <c r="C203" s="165"/>
      <c r="D203" s="165"/>
      <c r="E203" s="165"/>
      <c r="F203" s="165"/>
    </row>
    <row r="204" spans="2:6" s="166" customFormat="1" x14ac:dyDescent="0.35">
      <c r="B204" s="165"/>
      <c r="C204" s="165"/>
      <c r="D204" s="165"/>
      <c r="E204" s="165"/>
      <c r="F204" s="165"/>
    </row>
    <row r="205" spans="2:6" s="166" customFormat="1" x14ac:dyDescent="0.35">
      <c r="B205" s="165"/>
      <c r="C205" s="165"/>
      <c r="D205" s="165"/>
      <c r="E205" s="165"/>
      <c r="F205" s="165"/>
    </row>
    <row r="206" spans="2:6" s="166" customFormat="1" x14ac:dyDescent="0.35">
      <c r="B206" s="165"/>
      <c r="C206" s="165"/>
      <c r="D206" s="165"/>
      <c r="E206" s="165"/>
      <c r="F206" s="165"/>
    </row>
    <row r="207" spans="2:6" s="166" customFormat="1" x14ac:dyDescent="0.35">
      <c r="B207" s="165"/>
      <c r="C207" s="165"/>
      <c r="D207" s="165"/>
      <c r="E207" s="165"/>
      <c r="F207" s="165"/>
    </row>
    <row r="208" spans="2:6" s="166" customFormat="1" x14ac:dyDescent="0.35">
      <c r="B208" s="165"/>
      <c r="C208" s="165"/>
      <c r="D208" s="165"/>
      <c r="E208" s="165"/>
      <c r="F208" s="165"/>
    </row>
    <row r="209" spans="2:6" s="166" customFormat="1" x14ac:dyDescent="0.35">
      <c r="B209" s="165"/>
      <c r="C209" s="165"/>
      <c r="D209" s="165"/>
      <c r="E209" s="165"/>
      <c r="F209" s="165"/>
    </row>
    <row r="210" spans="2:6" s="166" customFormat="1" x14ac:dyDescent="0.35">
      <c r="B210" s="165"/>
      <c r="C210" s="165"/>
      <c r="D210" s="165"/>
      <c r="E210" s="165"/>
      <c r="F210" s="165"/>
    </row>
    <row r="211" spans="2:6" s="166" customFormat="1" x14ac:dyDescent="0.35">
      <c r="B211" s="165"/>
      <c r="C211" s="165"/>
      <c r="D211" s="165"/>
      <c r="E211" s="165"/>
      <c r="F211" s="165"/>
    </row>
    <row r="212" spans="2:6" s="166" customFormat="1" x14ac:dyDescent="0.35">
      <c r="B212" s="165"/>
      <c r="C212" s="165"/>
      <c r="D212" s="165"/>
      <c r="E212" s="165"/>
      <c r="F212" s="165"/>
    </row>
    <row r="213" spans="2:6" s="166" customFormat="1" x14ac:dyDescent="0.35">
      <c r="B213" s="165"/>
      <c r="C213" s="165"/>
      <c r="D213" s="165"/>
      <c r="E213" s="165"/>
      <c r="F213" s="165"/>
    </row>
    <row r="214" spans="2:6" s="166" customFormat="1" x14ac:dyDescent="0.35">
      <c r="B214" s="165"/>
      <c r="C214" s="165"/>
      <c r="D214" s="165"/>
      <c r="E214" s="165"/>
      <c r="F214" s="165"/>
    </row>
    <row r="215" spans="2:6" s="166" customFormat="1" x14ac:dyDescent="0.35">
      <c r="B215" s="165"/>
      <c r="C215" s="165"/>
      <c r="D215" s="165"/>
      <c r="E215" s="165"/>
      <c r="F215" s="165"/>
    </row>
    <row r="216" spans="2:6" s="166" customFormat="1" x14ac:dyDescent="0.35">
      <c r="B216" s="165"/>
      <c r="C216" s="165"/>
      <c r="D216" s="165"/>
      <c r="E216" s="165"/>
      <c r="F216" s="165"/>
    </row>
    <row r="217" spans="2:6" s="166" customFormat="1" x14ac:dyDescent="0.35">
      <c r="B217" s="165"/>
      <c r="C217" s="165"/>
      <c r="D217" s="165"/>
      <c r="E217" s="165"/>
      <c r="F217" s="165"/>
    </row>
    <row r="218" spans="2:6" s="166" customFormat="1" x14ac:dyDescent="0.35">
      <c r="B218" s="165"/>
      <c r="C218" s="165"/>
      <c r="D218" s="165"/>
      <c r="E218" s="165"/>
      <c r="F218" s="165"/>
    </row>
    <row r="219" spans="2:6" s="166" customFormat="1" x14ac:dyDescent="0.35">
      <c r="B219" s="165"/>
      <c r="C219" s="165"/>
      <c r="D219" s="165"/>
      <c r="E219" s="165"/>
      <c r="F219" s="165"/>
    </row>
    <row r="220" spans="2:6" s="166" customFormat="1" x14ac:dyDescent="0.35">
      <c r="B220" s="165"/>
      <c r="C220" s="165"/>
      <c r="D220" s="165"/>
      <c r="E220" s="165"/>
      <c r="F220" s="165"/>
    </row>
    <row r="221" spans="2:6" s="166" customFormat="1" x14ac:dyDescent="0.35">
      <c r="B221" s="165"/>
      <c r="C221" s="165"/>
      <c r="D221" s="165"/>
      <c r="E221" s="165"/>
      <c r="F221" s="165"/>
    </row>
    <row r="222" spans="2:6" s="166" customFormat="1" x14ac:dyDescent="0.35">
      <c r="B222" s="165"/>
      <c r="C222" s="165"/>
      <c r="D222" s="165"/>
      <c r="E222" s="165"/>
      <c r="F222" s="165"/>
    </row>
    <row r="223" spans="2:6" s="166" customFormat="1" x14ac:dyDescent="0.35">
      <c r="B223" s="165"/>
      <c r="C223" s="165"/>
      <c r="D223" s="165"/>
      <c r="E223" s="165"/>
      <c r="F223" s="165"/>
    </row>
    <row r="224" spans="2:6" s="166" customFormat="1" x14ac:dyDescent="0.35">
      <c r="B224" s="165"/>
      <c r="C224" s="165"/>
      <c r="D224" s="165"/>
      <c r="E224" s="165"/>
      <c r="F224" s="165"/>
    </row>
    <row r="225" spans="2:6" s="166" customFormat="1" x14ac:dyDescent="0.35">
      <c r="B225" s="165"/>
      <c r="C225" s="165"/>
      <c r="D225" s="165"/>
      <c r="E225" s="165"/>
      <c r="F225" s="165"/>
    </row>
    <row r="226" spans="2:6" s="166" customFormat="1" x14ac:dyDescent="0.35">
      <c r="B226" s="165"/>
      <c r="C226" s="165"/>
      <c r="D226" s="165"/>
      <c r="E226" s="165"/>
      <c r="F226" s="165"/>
    </row>
    <row r="227" spans="2:6" s="166" customFormat="1" x14ac:dyDescent="0.35">
      <c r="B227" s="165"/>
      <c r="C227" s="165"/>
      <c r="D227" s="165"/>
      <c r="E227" s="165"/>
      <c r="F227" s="165"/>
    </row>
    <row r="228" spans="2:6" s="166" customFormat="1" x14ac:dyDescent="0.35">
      <c r="B228" s="165"/>
      <c r="C228" s="165"/>
      <c r="D228" s="165"/>
      <c r="E228" s="165"/>
      <c r="F228" s="165"/>
    </row>
    <row r="229" spans="2:6" s="166" customFormat="1" x14ac:dyDescent="0.35">
      <c r="B229" s="165"/>
      <c r="C229" s="165"/>
      <c r="D229" s="165"/>
      <c r="E229" s="165"/>
      <c r="F229" s="165"/>
    </row>
    <row r="230" spans="2:6" s="166" customFormat="1" x14ac:dyDescent="0.35">
      <c r="B230" s="165"/>
      <c r="C230" s="165"/>
      <c r="D230" s="165"/>
      <c r="E230" s="165"/>
      <c r="F230" s="165"/>
    </row>
    <row r="231" spans="2:6" s="166" customFormat="1" x14ac:dyDescent="0.35">
      <c r="B231" s="165"/>
      <c r="C231" s="165"/>
      <c r="D231" s="165"/>
      <c r="E231" s="165"/>
      <c r="F231" s="165"/>
    </row>
    <row r="232" spans="2:6" s="166" customFormat="1" x14ac:dyDescent="0.35">
      <c r="B232" s="165"/>
      <c r="C232" s="165"/>
      <c r="D232" s="165"/>
      <c r="E232" s="165"/>
      <c r="F232" s="165"/>
    </row>
    <row r="233" spans="2:6" s="166" customFormat="1" x14ac:dyDescent="0.35">
      <c r="B233" s="165"/>
      <c r="C233" s="165"/>
      <c r="D233" s="165"/>
      <c r="E233" s="165"/>
      <c r="F233" s="165"/>
    </row>
    <row r="234" spans="2:6" s="166" customFormat="1" x14ac:dyDescent="0.35">
      <c r="B234" s="165"/>
      <c r="C234" s="165"/>
      <c r="D234" s="165"/>
      <c r="E234" s="165"/>
      <c r="F234" s="165"/>
    </row>
    <row r="235" spans="2:6" s="166" customFormat="1" x14ac:dyDescent="0.35">
      <c r="B235" s="165"/>
      <c r="C235" s="165"/>
      <c r="D235" s="165"/>
      <c r="E235" s="165"/>
      <c r="F235" s="165"/>
    </row>
    <row r="236" spans="2:6" s="166" customFormat="1" x14ac:dyDescent="0.35">
      <c r="B236" s="165"/>
      <c r="C236" s="165"/>
      <c r="D236" s="165"/>
      <c r="E236" s="165"/>
      <c r="F236" s="165"/>
    </row>
    <row r="237" spans="2:6" s="166" customFormat="1" x14ac:dyDescent="0.35">
      <c r="B237" s="165"/>
      <c r="C237" s="165"/>
      <c r="D237" s="165"/>
      <c r="E237" s="165"/>
      <c r="F237" s="165"/>
    </row>
    <row r="238" spans="2:6" s="166" customFormat="1" x14ac:dyDescent="0.35">
      <c r="B238" s="165"/>
      <c r="C238" s="165"/>
      <c r="D238" s="165"/>
      <c r="E238" s="165"/>
      <c r="F238" s="165"/>
    </row>
    <row r="239" spans="2:6" s="166" customFormat="1" x14ac:dyDescent="0.35">
      <c r="B239" s="165"/>
      <c r="C239" s="165"/>
      <c r="D239" s="165"/>
      <c r="E239" s="165"/>
      <c r="F239" s="165"/>
    </row>
    <row r="240" spans="2:6" s="166" customFormat="1" x14ac:dyDescent="0.35">
      <c r="B240" s="165"/>
      <c r="C240" s="165"/>
      <c r="D240" s="165"/>
      <c r="E240" s="165"/>
      <c r="F240" s="165"/>
    </row>
    <row r="241" spans="2:6" s="166" customFormat="1" x14ac:dyDescent="0.35">
      <c r="B241" s="165"/>
      <c r="C241" s="165"/>
      <c r="D241" s="165"/>
      <c r="E241" s="165"/>
      <c r="F241" s="165"/>
    </row>
    <row r="242" spans="2:6" s="166" customFormat="1" x14ac:dyDescent="0.35">
      <c r="B242" s="165"/>
      <c r="C242" s="165"/>
      <c r="D242" s="165"/>
      <c r="E242" s="165"/>
      <c r="F242" s="165"/>
    </row>
    <row r="243" spans="2:6" s="166" customFormat="1" x14ac:dyDescent="0.35">
      <c r="B243" s="165"/>
      <c r="C243" s="165"/>
      <c r="D243" s="165"/>
      <c r="E243" s="165"/>
      <c r="F243" s="165"/>
    </row>
    <row r="244" spans="2:6" s="166" customFormat="1" x14ac:dyDescent="0.35">
      <c r="B244" s="165"/>
      <c r="C244" s="165"/>
      <c r="D244" s="165"/>
      <c r="E244" s="165"/>
      <c r="F244" s="165"/>
    </row>
    <row r="245" spans="2:6" s="166" customFormat="1" x14ac:dyDescent="0.35">
      <c r="B245" s="165"/>
      <c r="C245" s="165"/>
      <c r="D245" s="165"/>
      <c r="E245" s="165"/>
      <c r="F245" s="165"/>
    </row>
    <row r="246" spans="2:6" s="166" customFormat="1" x14ac:dyDescent="0.35">
      <c r="B246" s="165"/>
      <c r="C246" s="165"/>
      <c r="D246" s="165"/>
      <c r="E246" s="165"/>
      <c r="F246" s="165"/>
    </row>
    <row r="247" spans="2:6" s="166" customFormat="1" x14ac:dyDescent="0.35">
      <c r="B247" s="165"/>
      <c r="C247" s="165"/>
      <c r="D247" s="165"/>
      <c r="E247" s="165"/>
      <c r="F247" s="165"/>
    </row>
    <row r="248" spans="2:6" s="166" customFormat="1" x14ac:dyDescent="0.35">
      <c r="B248" s="165"/>
      <c r="C248" s="165"/>
      <c r="D248" s="165"/>
      <c r="E248" s="165"/>
      <c r="F248" s="165"/>
    </row>
  </sheetData>
  <sheetProtection algorithmName="SHA-512" hashValue="fIVx4w+69JFASJeVXT4oW+EM9eHlrBiCEGnn8npC3qybm61Fy+lmhvRenUjwbNoP7wh3H2B3vnrCYhPM1DReAA==" saltValue="4zugOSQkIM1bLo2O2V76PQ==" spinCount="100000" sheet="1" objects="1" scenarios="1"/>
  <pageMargins left="0.7" right="0.7" top="0.75" bottom="0.75" header="0.3" footer="0.3"/>
  <pageSetup scale="81" fitToHeight="0"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F73F-8F69-43C2-B93F-1310B28DA770}">
  <sheetPr codeName="Sheet8">
    <pageSetUpPr fitToPage="1"/>
  </sheetPr>
  <dimension ref="A1:H97"/>
  <sheetViews>
    <sheetView topLeftCell="A28" zoomScaleNormal="100" workbookViewId="0">
      <selection activeCell="O42" sqref="O42"/>
    </sheetView>
  </sheetViews>
  <sheetFormatPr defaultColWidth="9.1796875" defaultRowHeight="14.5" x14ac:dyDescent="0.35"/>
  <cols>
    <col min="1" max="1" width="3.7265625" style="165" customWidth="1"/>
    <col min="2" max="2" width="40.1796875" style="165" customWidth="1"/>
    <col min="3" max="3" width="36.6328125" style="165" customWidth="1"/>
    <col min="4" max="8" width="16.54296875" style="165" customWidth="1"/>
    <col min="9" max="16384" width="9.1796875" style="165"/>
  </cols>
  <sheetData>
    <row r="1" spans="2:6" x14ac:dyDescent="0.35">
      <c r="B1" s="35" t="s">
        <v>49</v>
      </c>
      <c r="C1" s="33"/>
    </row>
    <row r="2" spans="2:6" x14ac:dyDescent="0.35">
      <c r="B2" s="34"/>
      <c r="C2" s="33"/>
    </row>
    <row r="3" spans="2:6" x14ac:dyDescent="0.35">
      <c r="B3" s="35" t="s">
        <v>757</v>
      </c>
      <c r="C3" s="33"/>
    </row>
    <row r="4" spans="2:6" ht="15" thickBot="1" x14ac:dyDescent="0.4">
      <c r="B4" s="34"/>
      <c r="C4" s="33"/>
    </row>
    <row r="5" spans="2:6" ht="15" thickBot="1" x14ac:dyDescent="0.4">
      <c r="B5" s="42" t="s">
        <v>53</v>
      </c>
      <c r="C5" s="167">
        <f>'GMP-PO Breakdown'!C5</f>
        <v>0</v>
      </c>
    </row>
    <row r="6" spans="2:6" ht="15" thickBot="1" x14ac:dyDescent="0.4">
      <c r="F6" s="547"/>
    </row>
    <row r="7" spans="2:6" x14ac:dyDescent="0.35">
      <c r="B7" s="171" t="s">
        <v>55</v>
      </c>
      <c r="C7" s="172">
        <f>'GMP-PO Breakdown'!C6</f>
        <v>0</v>
      </c>
    </row>
    <row r="8" spans="2:6" x14ac:dyDescent="0.35">
      <c r="B8" s="44" t="s">
        <v>231</v>
      </c>
      <c r="C8" s="175">
        <f>'GMP-PO Breakdown'!C7</f>
        <v>0</v>
      </c>
    </row>
    <row r="9" spans="2:6" x14ac:dyDescent="0.35">
      <c r="B9" s="44" t="s">
        <v>67</v>
      </c>
      <c r="C9" s="175">
        <f>'GMP-PO Breakdown'!C12</f>
        <v>0</v>
      </c>
      <c r="F9" s="547"/>
    </row>
    <row r="10" spans="2:6" x14ac:dyDescent="0.35">
      <c r="B10" s="44" t="s">
        <v>69</v>
      </c>
      <c r="C10" s="175">
        <f>'GMP-PO Breakdown'!C13</f>
        <v>0</v>
      </c>
    </row>
    <row r="11" spans="2:6" ht="15" thickBot="1" x14ac:dyDescent="0.4">
      <c r="B11" s="49" t="s">
        <v>71</v>
      </c>
      <c r="C11" s="183">
        <f>'GMP-PO Breakdown'!C14</f>
        <v>0</v>
      </c>
    </row>
    <row r="12" spans="2:6" x14ac:dyDescent="0.35">
      <c r="F12" s="547"/>
    </row>
    <row r="13" spans="2:6" ht="14.25" customHeight="1" x14ac:dyDescent="0.35"/>
    <row r="14" spans="2:6" ht="18" customHeight="1" thickBot="1" x14ac:dyDescent="0.4">
      <c r="B14" s="353" t="s">
        <v>758</v>
      </c>
    </row>
    <row r="15" spans="2:6" ht="26" x14ac:dyDescent="0.35">
      <c r="B15" s="548" t="s">
        <v>199</v>
      </c>
      <c r="C15" s="548" t="s">
        <v>759</v>
      </c>
      <c r="D15" s="549" t="s">
        <v>760</v>
      </c>
    </row>
    <row r="16" spans="2:6" x14ac:dyDescent="0.35">
      <c r="B16" s="592"/>
      <c r="C16" s="590"/>
      <c r="D16" s="589"/>
    </row>
    <row r="17" spans="2:7" x14ac:dyDescent="0.35">
      <c r="B17" s="588"/>
      <c r="C17" s="593"/>
      <c r="D17" s="589"/>
    </row>
    <row r="18" spans="2:7" x14ac:dyDescent="0.35">
      <c r="B18" s="588"/>
      <c r="C18" s="593"/>
      <c r="D18" s="589"/>
    </row>
    <row r="19" spans="2:7" x14ac:dyDescent="0.35">
      <c r="B19" s="588"/>
      <c r="C19" s="591"/>
      <c r="D19" s="589"/>
    </row>
    <row r="20" spans="2:7" x14ac:dyDescent="0.35">
      <c r="B20" s="588"/>
      <c r="C20" s="584"/>
      <c r="D20" s="589"/>
    </row>
    <row r="21" spans="2:7" x14ac:dyDescent="0.35">
      <c r="B21" s="467"/>
      <c r="C21" s="587"/>
      <c r="D21" s="552"/>
    </row>
    <row r="22" spans="2:7" x14ac:dyDescent="0.35">
      <c r="B22" s="467"/>
      <c r="C22" s="584"/>
      <c r="D22" s="552"/>
    </row>
    <row r="23" spans="2:7" x14ac:dyDescent="0.35">
      <c r="B23" s="467"/>
      <c r="C23" s="584"/>
      <c r="D23" s="552"/>
    </row>
    <row r="24" spans="2:7" x14ac:dyDescent="0.35">
      <c r="B24" s="467"/>
      <c r="C24" s="584"/>
      <c r="D24" s="552"/>
      <c r="G24" s="184"/>
    </row>
    <row r="25" spans="2:7" x14ac:dyDescent="0.35">
      <c r="B25" s="467"/>
      <c r="C25" s="584"/>
      <c r="D25" s="552"/>
      <c r="G25" s="184"/>
    </row>
    <row r="26" spans="2:7" x14ac:dyDescent="0.35">
      <c r="B26" s="467"/>
      <c r="C26" s="584"/>
      <c r="D26" s="552"/>
    </row>
    <row r="27" spans="2:7" x14ac:dyDescent="0.35">
      <c r="B27" s="467"/>
      <c r="C27" s="584"/>
      <c r="D27" s="552"/>
    </row>
    <row r="28" spans="2:7" x14ac:dyDescent="0.35">
      <c r="B28" s="467"/>
      <c r="C28" s="584"/>
      <c r="D28" s="552"/>
    </row>
    <row r="29" spans="2:7" x14ac:dyDescent="0.35">
      <c r="B29" s="467"/>
      <c r="C29" s="584"/>
      <c r="D29" s="552"/>
    </row>
    <row r="30" spans="2:7" x14ac:dyDescent="0.35">
      <c r="B30" s="467"/>
      <c r="C30" s="584"/>
      <c r="D30" s="552"/>
    </row>
    <row r="31" spans="2:7" x14ac:dyDescent="0.35">
      <c r="B31" s="467"/>
      <c r="C31" s="584"/>
      <c r="D31" s="552"/>
    </row>
    <row r="32" spans="2:7" x14ac:dyDescent="0.35">
      <c r="B32" s="467"/>
      <c r="C32" s="584"/>
      <c r="D32" s="552"/>
    </row>
    <row r="33" spans="1:8" x14ac:dyDescent="0.35">
      <c r="B33" s="467"/>
      <c r="C33" s="584"/>
      <c r="D33" s="552"/>
    </row>
    <row r="34" spans="1:8" x14ac:dyDescent="0.35">
      <c r="B34" s="467"/>
      <c r="C34" s="584"/>
      <c r="D34" s="552"/>
      <c r="G34" s="165" t="s">
        <v>1027</v>
      </c>
    </row>
    <row r="35" spans="1:8" x14ac:dyDescent="0.35">
      <c r="B35" s="467"/>
      <c r="C35" s="584"/>
      <c r="D35" s="552"/>
    </row>
    <row r="36" spans="1:8" x14ac:dyDescent="0.35">
      <c r="B36" s="467"/>
      <c r="C36" s="584"/>
      <c r="D36" s="552"/>
    </row>
    <row r="37" spans="1:8" x14ac:dyDescent="0.35">
      <c r="A37" s="184"/>
      <c r="B37" s="480"/>
      <c r="C37" s="585"/>
      <c r="D37" s="553"/>
    </row>
    <row r="38" spans="1:8" ht="29.15" customHeight="1" thickBot="1" x14ac:dyDescent="0.4">
      <c r="A38" s="184"/>
      <c r="B38" s="506" t="s">
        <v>1030</v>
      </c>
      <c r="C38" s="505"/>
      <c r="D38" s="554"/>
    </row>
    <row r="39" spans="1:8" ht="18" customHeight="1" thickBot="1" x14ac:dyDescent="0.4">
      <c r="A39" s="484"/>
      <c r="B39" s="485" t="s">
        <v>761</v>
      </c>
      <c r="C39" s="487"/>
      <c r="D39" s="486">
        <f>COUNTA(D16:D38)</f>
        <v>0</v>
      </c>
    </row>
    <row r="40" spans="1:8" ht="14.25" customHeight="1" x14ac:dyDescent="0.35"/>
    <row r="41" spans="1:8" ht="14.25" customHeight="1" x14ac:dyDescent="0.35"/>
    <row r="42" spans="1:8" ht="15" customHeight="1" thickBot="1" x14ac:dyDescent="0.4">
      <c r="C42" s="353" t="s">
        <v>762</v>
      </c>
    </row>
    <row r="43" spans="1:8" s="509" customFormat="1" ht="29.15" customHeight="1" x14ac:dyDescent="0.35">
      <c r="C43" s="508" t="s">
        <v>763</v>
      </c>
      <c r="D43" s="508" t="s">
        <v>764</v>
      </c>
      <c r="E43" s="508" t="s">
        <v>760</v>
      </c>
      <c r="F43" s="508" t="s">
        <v>765</v>
      </c>
      <c r="G43" s="508" t="s">
        <v>1031</v>
      </c>
      <c r="H43" s="508" t="s">
        <v>1032</v>
      </c>
    </row>
    <row r="44" spans="1:8" ht="15.5" x14ac:dyDescent="0.35">
      <c r="C44" s="354"/>
      <c r="D44" s="355"/>
      <c r="E44" s="355"/>
      <c r="F44" s="462">
        <f>D44-E44</f>
        <v>0</v>
      </c>
      <c r="G44" s="355" t="str">
        <f>IF(C44&lt;&gt;"",F44,"")</f>
        <v/>
      </c>
      <c r="H44" s="355">
        <v>0</v>
      </c>
    </row>
    <row r="45" spans="1:8" ht="15.5" x14ac:dyDescent="0.35">
      <c r="C45" s="354"/>
      <c r="D45" s="355"/>
      <c r="E45" s="355"/>
      <c r="F45" s="462">
        <f>D45-E45</f>
        <v>0</v>
      </c>
      <c r="G45" s="355" t="str">
        <f>IF(C45&lt;&gt;"",$F45+$G44,"")</f>
        <v/>
      </c>
      <c r="H45" s="355">
        <v>0</v>
      </c>
    </row>
    <row r="46" spans="1:8" ht="15.5" x14ac:dyDescent="0.35">
      <c r="C46" s="354"/>
      <c r="D46" s="356"/>
      <c r="E46" s="356"/>
      <c r="F46" s="462">
        <f t="shared" ref="F46:F72" si="0">D46-E46</f>
        <v>0</v>
      </c>
      <c r="G46" s="355" t="str">
        <f t="shared" ref="G46:G72" si="1">IF(C46&lt;&gt;"",$F46+$G45,"")</f>
        <v/>
      </c>
      <c r="H46" s="355">
        <v>0</v>
      </c>
    </row>
    <row r="47" spans="1:8" ht="15.5" x14ac:dyDescent="0.35">
      <c r="C47" s="354"/>
      <c r="D47" s="356"/>
      <c r="E47" s="356"/>
      <c r="F47" s="462">
        <f t="shared" si="0"/>
        <v>0</v>
      </c>
      <c r="G47" s="355" t="str">
        <f t="shared" si="1"/>
        <v/>
      </c>
      <c r="H47" s="355">
        <v>0</v>
      </c>
    </row>
    <row r="48" spans="1:8" ht="15.5" x14ac:dyDescent="0.35">
      <c r="C48" s="354"/>
      <c r="D48" s="356"/>
      <c r="E48" s="356"/>
      <c r="F48" s="462">
        <f t="shared" si="0"/>
        <v>0</v>
      </c>
      <c r="G48" s="355" t="str">
        <f t="shared" si="1"/>
        <v/>
      </c>
      <c r="H48" s="355">
        <v>0</v>
      </c>
    </row>
    <row r="49" spans="3:8" ht="15.5" x14ac:dyDescent="0.35">
      <c r="C49" s="354"/>
      <c r="D49" s="356"/>
      <c r="E49" s="356"/>
      <c r="F49" s="462">
        <f t="shared" si="0"/>
        <v>0</v>
      </c>
      <c r="G49" s="355" t="str">
        <f t="shared" si="1"/>
        <v/>
      </c>
      <c r="H49" s="355">
        <v>0</v>
      </c>
    </row>
    <row r="50" spans="3:8" ht="15.5" x14ac:dyDescent="0.35">
      <c r="C50" s="354"/>
      <c r="D50" s="356"/>
      <c r="E50" s="356"/>
      <c r="F50" s="462">
        <f t="shared" si="0"/>
        <v>0</v>
      </c>
      <c r="G50" s="355" t="str">
        <f t="shared" si="1"/>
        <v/>
      </c>
      <c r="H50" s="355">
        <v>0</v>
      </c>
    </row>
    <row r="51" spans="3:8" ht="15.5" x14ac:dyDescent="0.35">
      <c r="C51" s="354"/>
      <c r="D51" s="356"/>
      <c r="E51" s="356"/>
      <c r="F51" s="462">
        <f t="shared" si="0"/>
        <v>0</v>
      </c>
      <c r="G51" s="355" t="str">
        <f t="shared" si="1"/>
        <v/>
      </c>
      <c r="H51" s="355">
        <v>0</v>
      </c>
    </row>
    <row r="52" spans="3:8" ht="15.5" x14ac:dyDescent="0.35">
      <c r="C52" s="354"/>
      <c r="D52" s="356"/>
      <c r="E52" s="356"/>
      <c r="F52" s="462">
        <f t="shared" si="0"/>
        <v>0</v>
      </c>
      <c r="G52" s="355" t="str">
        <f t="shared" si="1"/>
        <v/>
      </c>
      <c r="H52" s="355">
        <v>0</v>
      </c>
    </row>
    <row r="53" spans="3:8" ht="15.5" x14ac:dyDescent="0.35">
      <c r="C53" s="354"/>
      <c r="D53" s="356"/>
      <c r="E53" s="356"/>
      <c r="F53" s="462">
        <f t="shared" si="0"/>
        <v>0</v>
      </c>
      <c r="G53" s="355" t="str">
        <f t="shared" si="1"/>
        <v/>
      </c>
      <c r="H53" s="355">
        <v>0</v>
      </c>
    </row>
    <row r="54" spans="3:8" ht="15.5" x14ac:dyDescent="0.35">
      <c r="C54" s="354"/>
      <c r="D54" s="356"/>
      <c r="E54" s="356"/>
      <c r="F54" s="462">
        <f t="shared" si="0"/>
        <v>0</v>
      </c>
      <c r="G54" s="355" t="str">
        <f t="shared" si="1"/>
        <v/>
      </c>
      <c r="H54" s="355">
        <v>0</v>
      </c>
    </row>
    <row r="55" spans="3:8" ht="15.5" x14ac:dyDescent="0.35">
      <c r="C55" s="354"/>
      <c r="D55" s="356"/>
      <c r="E55" s="356"/>
      <c r="F55" s="462">
        <f t="shared" si="0"/>
        <v>0</v>
      </c>
      <c r="G55" s="355" t="str">
        <f t="shared" si="1"/>
        <v/>
      </c>
      <c r="H55" s="355">
        <v>0</v>
      </c>
    </row>
    <row r="56" spans="3:8" ht="15.5" x14ac:dyDescent="0.35">
      <c r="C56" s="354"/>
      <c r="D56" s="356"/>
      <c r="E56" s="356"/>
      <c r="F56" s="462">
        <f t="shared" si="0"/>
        <v>0</v>
      </c>
      <c r="G56" s="355" t="str">
        <f t="shared" si="1"/>
        <v/>
      </c>
      <c r="H56" s="355">
        <v>0</v>
      </c>
    </row>
    <row r="57" spans="3:8" ht="15.5" x14ac:dyDescent="0.35">
      <c r="C57" s="354"/>
      <c r="D57" s="356"/>
      <c r="E57" s="356"/>
      <c r="F57" s="462">
        <f t="shared" si="0"/>
        <v>0</v>
      </c>
      <c r="G57" s="355" t="str">
        <f t="shared" si="1"/>
        <v/>
      </c>
      <c r="H57" s="355">
        <v>0</v>
      </c>
    </row>
    <row r="58" spans="3:8" ht="15.5" x14ac:dyDescent="0.35">
      <c r="C58" s="354"/>
      <c r="D58" s="356"/>
      <c r="E58" s="356"/>
      <c r="F58" s="462">
        <f t="shared" si="0"/>
        <v>0</v>
      </c>
      <c r="G58" s="355" t="str">
        <f t="shared" si="1"/>
        <v/>
      </c>
      <c r="H58" s="355">
        <v>0</v>
      </c>
    </row>
    <row r="59" spans="3:8" ht="15.5" x14ac:dyDescent="0.35">
      <c r="C59" s="354"/>
      <c r="D59" s="356"/>
      <c r="E59" s="356"/>
      <c r="F59" s="462">
        <f t="shared" si="0"/>
        <v>0</v>
      </c>
      <c r="G59" s="355" t="str">
        <f t="shared" si="1"/>
        <v/>
      </c>
      <c r="H59" s="355">
        <v>0</v>
      </c>
    </row>
    <row r="60" spans="3:8" ht="15.5" x14ac:dyDescent="0.35">
      <c r="C60" s="354"/>
      <c r="D60" s="356"/>
      <c r="E60" s="356"/>
      <c r="F60" s="462">
        <f t="shared" si="0"/>
        <v>0</v>
      </c>
      <c r="G60" s="355" t="str">
        <f t="shared" si="1"/>
        <v/>
      </c>
      <c r="H60" s="355">
        <v>0</v>
      </c>
    </row>
    <row r="61" spans="3:8" ht="15.5" x14ac:dyDescent="0.35">
      <c r="C61" s="354"/>
      <c r="D61" s="356"/>
      <c r="E61" s="356"/>
      <c r="F61" s="462">
        <f t="shared" si="0"/>
        <v>0</v>
      </c>
      <c r="G61" s="355" t="str">
        <f t="shared" si="1"/>
        <v/>
      </c>
      <c r="H61" s="355">
        <v>0</v>
      </c>
    </row>
    <row r="62" spans="3:8" ht="15.5" x14ac:dyDescent="0.35">
      <c r="C62" s="357"/>
      <c r="D62" s="356"/>
      <c r="E62" s="356"/>
      <c r="F62" s="462">
        <f t="shared" si="0"/>
        <v>0</v>
      </c>
      <c r="G62" s="355" t="str">
        <f t="shared" si="1"/>
        <v/>
      </c>
      <c r="H62" s="355">
        <v>0</v>
      </c>
    </row>
    <row r="63" spans="3:8" ht="15.5" x14ac:dyDescent="0.35">
      <c r="C63" s="357"/>
      <c r="D63" s="356"/>
      <c r="E63" s="356"/>
      <c r="F63" s="462">
        <f t="shared" si="0"/>
        <v>0</v>
      </c>
      <c r="G63" s="355" t="str">
        <f t="shared" si="1"/>
        <v/>
      </c>
      <c r="H63" s="355">
        <v>0</v>
      </c>
    </row>
    <row r="64" spans="3:8" ht="15.5" x14ac:dyDescent="0.35">
      <c r="C64" s="357"/>
      <c r="D64" s="356"/>
      <c r="E64" s="356"/>
      <c r="F64" s="462">
        <f t="shared" si="0"/>
        <v>0</v>
      </c>
      <c r="G64" s="355" t="str">
        <f t="shared" si="1"/>
        <v/>
      </c>
      <c r="H64" s="355">
        <v>0</v>
      </c>
    </row>
    <row r="65" spans="3:8" ht="15.5" x14ac:dyDescent="0.35">
      <c r="C65" s="357"/>
      <c r="D65" s="356"/>
      <c r="E65" s="356"/>
      <c r="F65" s="462">
        <f t="shared" si="0"/>
        <v>0</v>
      </c>
      <c r="G65" s="355" t="str">
        <f t="shared" si="1"/>
        <v/>
      </c>
      <c r="H65" s="355">
        <v>0</v>
      </c>
    </row>
    <row r="66" spans="3:8" ht="15.5" x14ac:dyDescent="0.35">
      <c r="C66" s="357"/>
      <c r="D66" s="356"/>
      <c r="E66" s="356"/>
      <c r="F66" s="462">
        <f t="shared" si="0"/>
        <v>0</v>
      </c>
      <c r="G66" s="355" t="str">
        <f t="shared" si="1"/>
        <v/>
      </c>
      <c r="H66" s="355">
        <v>0</v>
      </c>
    </row>
    <row r="67" spans="3:8" ht="15.5" x14ac:dyDescent="0.35">
      <c r="C67" s="357"/>
      <c r="D67" s="356"/>
      <c r="E67" s="356"/>
      <c r="F67" s="462">
        <f t="shared" si="0"/>
        <v>0</v>
      </c>
      <c r="G67" s="355" t="str">
        <f t="shared" si="1"/>
        <v/>
      </c>
      <c r="H67" s="355">
        <v>0</v>
      </c>
    </row>
    <row r="68" spans="3:8" ht="15.5" x14ac:dyDescent="0.35">
      <c r="C68" s="357"/>
      <c r="D68" s="356"/>
      <c r="E68" s="356"/>
      <c r="F68" s="462">
        <f t="shared" si="0"/>
        <v>0</v>
      </c>
      <c r="G68" s="355" t="str">
        <f t="shared" si="1"/>
        <v/>
      </c>
      <c r="H68" s="355">
        <v>0</v>
      </c>
    </row>
    <row r="69" spans="3:8" ht="15.5" x14ac:dyDescent="0.35">
      <c r="C69" s="357"/>
      <c r="D69" s="356"/>
      <c r="E69" s="356"/>
      <c r="F69" s="462">
        <f t="shared" si="0"/>
        <v>0</v>
      </c>
      <c r="G69" s="355" t="str">
        <f t="shared" si="1"/>
        <v/>
      </c>
      <c r="H69" s="355">
        <v>0</v>
      </c>
    </row>
    <row r="70" spans="3:8" ht="15.5" x14ac:dyDescent="0.35">
      <c r="C70" s="357"/>
      <c r="D70" s="356"/>
      <c r="E70" s="356"/>
      <c r="F70" s="462">
        <f t="shared" si="0"/>
        <v>0</v>
      </c>
      <c r="G70" s="355" t="str">
        <f t="shared" si="1"/>
        <v/>
      </c>
      <c r="H70" s="355">
        <v>0</v>
      </c>
    </row>
    <row r="71" spans="3:8" ht="15.5" x14ac:dyDescent="0.35">
      <c r="C71" s="357"/>
      <c r="D71" s="356"/>
      <c r="E71" s="356"/>
      <c r="F71" s="462">
        <f t="shared" si="0"/>
        <v>0</v>
      </c>
      <c r="G71" s="355" t="str">
        <f t="shared" si="1"/>
        <v/>
      </c>
      <c r="H71" s="355">
        <v>0</v>
      </c>
    </row>
    <row r="72" spans="3:8" ht="16" thickBot="1" x14ac:dyDescent="0.4">
      <c r="C72" s="358"/>
      <c r="D72" s="359"/>
      <c r="E72" s="359"/>
      <c r="F72" s="462">
        <f t="shared" si="0"/>
        <v>0</v>
      </c>
      <c r="G72" s="355" t="str">
        <f t="shared" si="1"/>
        <v/>
      </c>
      <c r="H72" s="355">
        <v>0</v>
      </c>
    </row>
    <row r="73" spans="3:8" ht="16" thickBot="1" x14ac:dyDescent="0.4">
      <c r="C73" s="360" t="s">
        <v>766</v>
      </c>
      <c r="D73" s="361">
        <f>SUBTOTAL(9,D44:D72)</f>
        <v>0</v>
      </c>
      <c r="E73" s="361">
        <f>SUBTOTAL(9,E44:E72)</f>
        <v>0</v>
      </c>
      <c r="F73" s="361">
        <f>SUBTOTAL(9,F44:F72)</f>
        <v>0</v>
      </c>
      <c r="G73" s="361">
        <f>IF(COUNT(G44:G72)&lt;&gt;0, INDEX(G44:G72,(COUNT(G44:G72))),0)</f>
        <v>0</v>
      </c>
      <c r="H73" s="361">
        <f t="shared" ref="H73" si="2">SUBTOTAL(9,H44:H72)</f>
        <v>0</v>
      </c>
    </row>
    <row r="74" spans="3:8" ht="15" thickBot="1" x14ac:dyDescent="0.4"/>
    <row r="75" spans="3:8" ht="15" thickBot="1" x14ac:dyDescent="0.4">
      <c r="C75" s="362" t="s">
        <v>767</v>
      </c>
      <c r="D75" s="363"/>
      <c r="E75" s="364">
        <f>D73-E73</f>
        <v>0</v>
      </c>
    </row>
    <row r="76" spans="3:8" x14ac:dyDescent="0.35">
      <c r="C76" s="463"/>
      <c r="D76" s="184"/>
      <c r="E76" s="184"/>
    </row>
    <row r="77" spans="3:8" ht="16" thickBot="1" x14ac:dyDescent="0.4">
      <c r="C77" s="353" t="s">
        <v>768</v>
      </c>
    </row>
    <row r="78" spans="3:8" s="507" customFormat="1" ht="29.15" customHeight="1" x14ac:dyDescent="0.35">
      <c r="C78" s="508" t="s">
        <v>769</v>
      </c>
      <c r="D78" s="508" t="s">
        <v>770</v>
      </c>
      <c r="E78" s="544" t="s">
        <v>771</v>
      </c>
    </row>
    <row r="79" spans="3:8" x14ac:dyDescent="0.35">
      <c r="C79" s="365"/>
      <c r="D79" s="366"/>
      <c r="E79" s="545"/>
    </row>
    <row r="80" spans="3:8" x14ac:dyDescent="0.35">
      <c r="C80" s="365"/>
      <c r="D80" s="366"/>
      <c r="E80" s="546"/>
    </row>
    <row r="81" spans="3:5" x14ac:dyDescent="0.35">
      <c r="C81" s="351"/>
      <c r="D81" s="367"/>
      <c r="E81" s="545"/>
    </row>
    <row r="82" spans="3:5" x14ac:dyDescent="0.35">
      <c r="C82" s="365"/>
      <c r="D82" s="366"/>
      <c r="E82" s="545"/>
    </row>
    <row r="83" spans="3:5" x14ac:dyDescent="0.35">
      <c r="C83" s="365"/>
      <c r="D83" s="366"/>
      <c r="E83" s="546"/>
    </row>
    <row r="84" spans="3:5" x14ac:dyDescent="0.35">
      <c r="C84" s="351"/>
      <c r="D84" s="367"/>
      <c r="E84" s="545"/>
    </row>
    <row r="85" spans="3:5" x14ac:dyDescent="0.35">
      <c r="C85" s="365"/>
      <c r="D85" s="366"/>
      <c r="E85" s="545"/>
    </row>
    <row r="86" spans="3:5" x14ac:dyDescent="0.35">
      <c r="C86" s="365"/>
      <c r="D86" s="366"/>
      <c r="E86" s="546"/>
    </row>
    <row r="87" spans="3:5" x14ac:dyDescent="0.35">
      <c r="C87" s="351"/>
      <c r="D87" s="367"/>
      <c r="E87" s="545"/>
    </row>
    <row r="88" spans="3:5" x14ac:dyDescent="0.35">
      <c r="C88" s="365"/>
      <c r="D88" s="366"/>
      <c r="E88" s="545"/>
    </row>
    <row r="89" spans="3:5" x14ac:dyDescent="0.35">
      <c r="C89" s="365"/>
      <c r="D89" s="366"/>
      <c r="E89" s="546"/>
    </row>
    <row r="90" spans="3:5" x14ac:dyDescent="0.35">
      <c r="C90" s="365"/>
      <c r="D90" s="367"/>
      <c r="E90" s="545"/>
    </row>
    <row r="91" spans="3:5" x14ac:dyDescent="0.35">
      <c r="C91" s="351"/>
      <c r="D91" s="366"/>
      <c r="E91" s="545"/>
    </row>
    <row r="92" spans="3:5" x14ac:dyDescent="0.35">
      <c r="C92" s="365"/>
      <c r="D92" s="366"/>
      <c r="E92" s="546"/>
    </row>
    <row r="93" spans="3:5" x14ac:dyDescent="0.35">
      <c r="C93" s="365"/>
      <c r="D93" s="367"/>
      <c r="E93" s="545"/>
    </row>
    <row r="94" spans="3:5" x14ac:dyDescent="0.35">
      <c r="C94" s="351"/>
      <c r="D94" s="366"/>
      <c r="E94" s="545"/>
    </row>
    <row r="95" spans="3:5" x14ac:dyDescent="0.35">
      <c r="C95" s="365"/>
      <c r="D95" s="366"/>
      <c r="E95" s="546"/>
    </row>
    <row r="96" spans="3:5" x14ac:dyDescent="0.35">
      <c r="C96" s="365"/>
      <c r="D96" s="367"/>
      <c r="E96" s="545"/>
    </row>
    <row r="97" spans="3:5" ht="15" thickBot="1" x14ac:dyDescent="0.4">
      <c r="C97" s="352"/>
      <c r="D97" s="368"/>
      <c r="E97" s="369"/>
    </row>
  </sheetData>
  <sheetProtection algorithmName="SHA-512" hashValue="9pXtBsg/bXWfUgjHticvG1BwtoWcka6QDVsa3prf9QXUArUS7ADbe0pNw4A0pvA4Alg1DQWy1iljgCn3L4IBBw==" saltValue="b7tXwBLEc+hV3PexmJ321Q==" spinCount="100000" sheet="1" objects="1" scenarios="1"/>
  <pageMargins left="0.7" right="0.7" top="0.75" bottom="0.75" header="0.3" footer="0.3"/>
  <pageSetup scale="62" fitToHeight="0"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0F340-6EFD-4E22-91C5-0157EA52E04B}">
  <sheetPr codeName="Sheet3"/>
  <dimension ref="A1:K95"/>
  <sheetViews>
    <sheetView showGridLines="0" zoomScaleNormal="100" workbookViewId="0">
      <selection activeCell="B95" sqref="B95"/>
    </sheetView>
  </sheetViews>
  <sheetFormatPr defaultColWidth="8.81640625" defaultRowHeight="14" x14ac:dyDescent="0.3"/>
  <cols>
    <col min="1" max="1" width="8.81640625" style="326"/>
    <col min="2" max="2" width="27.81640625" style="326" customWidth="1"/>
    <col min="3" max="3" width="18.1796875" style="326" customWidth="1"/>
    <col min="4" max="4" width="38.1796875" style="326" customWidth="1"/>
    <col min="5" max="5" width="21.1796875" style="326" customWidth="1"/>
    <col min="6" max="6" width="27" style="326" customWidth="1"/>
    <col min="7" max="7" width="18.81640625" style="326" customWidth="1"/>
    <col min="8" max="8" width="23" style="326" customWidth="1"/>
    <col min="9" max="10" width="8.81640625" style="326"/>
    <col min="11" max="11" width="10.81640625" style="326" customWidth="1"/>
    <col min="12" max="16384" width="8.81640625" style="326"/>
  </cols>
  <sheetData>
    <row r="1" spans="1:11" ht="2.15" customHeight="1" x14ac:dyDescent="0.3">
      <c r="A1" s="370"/>
      <c r="B1" s="370"/>
      <c r="C1" s="370"/>
      <c r="D1" s="370"/>
      <c r="E1" s="370"/>
      <c r="F1" s="370"/>
      <c r="G1" s="370"/>
      <c r="H1" s="370"/>
      <c r="I1" s="370"/>
      <c r="J1" s="370"/>
      <c r="K1" s="370"/>
    </row>
    <row r="2" spans="1:11" ht="20.149999999999999" customHeight="1" x14ac:dyDescent="0.3">
      <c r="A2" s="370"/>
      <c r="B2" s="371" t="s">
        <v>772</v>
      </c>
      <c r="C2" s="370"/>
      <c r="D2" s="372"/>
      <c r="E2" s="372">
        <f>startSummary</f>
        <v>0</v>
      </c>
      <c r="F2" s="370"/>
      <c r="G2" s="370"/>
      <c r="H2" s="370"/>
      <c r="I2" s="370"/>
      <c r="J2" s="370"/>
      <c r="K2" s="370"/>
    </row>
    <row r="4" spans="1:11" ht="14.5" thickBot="1" x14ac:dyDescent="0.35"/>
    <row r="5" spans="1:11" ht="14.5" thickBot="1" x14ac:dyDescent="0.35">
      <c r="F5" s="639" t="s">
        <v>746</v>
      </c>
      <c r="G5" s="640"/>
      <c r="H5" s="641"/>
    </row>
    <row r="6" spans="1:11" ht="77.5" x14ac:dyDescent="0.3">
      <c r="B6" s="325" t="s">
        <v>745</v>
      </c>
      <c r="C6" s="324" t="s">
        <v>744</v>
      </c>
      <c r="D6" s="324" t="s">
        <v>743</v>
      </c>
      <c r="E6" s="324" t="s">
        <v>742</v>
      </c>
      <c r="F6" s="324" t="s">
        <v>741</v>
      </c>
      <c r="G6" s="324" t="s">
        <v>740</v>
      </c>
      <c r="H6" s="324" t="s">
        <v>739</v>
      </c>
      <c r="I6" s="324" t="s">
        <v>738</v>
      </c>
      <c r="J6" s="324" t="s">
        <v>737</v>
      </c>
      <c r="K6" s="323" t="s">
        <v>736</v>
      </c>
    </row>
    <row r="7" spans="1:11" ht="15.5" x14ac:dyDescent="0.35">
      <c r="B7" s="317"/>
      <c r="C7" s="316"/>
      <c r="D7" s="316"/>
      <c r="E7" s="322"/>
      <c r="F7" s="316"/>
      <c r="G7" s="321"/>
      <c r="H7" s="316"/>
      <c r="I7" s="319">
        <f>IF(OR($D7="Landfill / trash / waste",$D7="Incineration / Waste-to-energy", ,$D7=""),0,IF($D7="Recycled - mixed processing (commingled)", ($G7*$E7),$E7))</f>
        <v>0</v>
      </c>
      <c r="J7" s="318">
        <f>IFERROR(I7/E7,0)</f>
        <v>0</v>
      </c>
      <c r="K7" s="313">
        <f>E7-I7</f>
        <v>0</v>
      </c>
    </row>
    <row r="8" spans="1:11" ht="15.5" x14ac:dyDescent="0.35">
      <c r="B8" s="317"/>
      <c r="C8" s="316"/>
      <c r="D8" s="316"/>
      <c r="E8" s="322"/>
      <c r="F8" s="316"/>
      <c r="G8" s="321"/>
      <c r="H8" s="316"/>
      <c r="I8" s="319">
        <f>IF(OR($D8="Landfill / trash / waste",$D8="Incineration / Waste-to-energy", ,$D8=""),0,IF($D8="Recycled - mixed processing (commingled)", ($G8*$E8),$E8))</f>
        <v>0</v>
      </c>
      <c r="J8" s="318">
        <f t="shared" ref="J8:J26" si="0">IFERROR(I8/E8,0)</f>
        <v>0</v>
      </c>
      <c r="K8" s="313">
        <f t="shared" ref="K8:K26" si="1">E8-I8</f>
        <v>0</v>
      </c>
    </row>
    <row r="9" spans="1:11" ht="15.5" x14ac:dyDescent="0.35">
      <c r="B9" s="317"/>
      <c r="C9" s="316"/>
      <c r="D9" s="316"/>
      <c r="E9" s="322"/>
      <c r="F9" s="316"/>
      <c r="G9" s="321"/>
      <c r="H9" s="316"/>
      <c r="I9" s="319">
        <f>IF(OR($D9="Landfill / trash / waste",$D9="Incineration / Waste-to-energy", ,$D9=""),0,IF($D9="Recycled - mixed processing (commingled)", ($G9*$E9),$E9))</f>
        <v>0</v>
      </c>
      <c r="J9" s="318">
        <f t="shared" si="0"/>
        <v>0</v>
      </c>
      <c r="K9" s="313">
        <f t="shared" si="1"/>
        <v>0</v>
      </c>
    </row>
    <row r="10" spans="1:11" ht="15.5" x14ac:dyDescent="0.35">
      <c r="B10" s="317"/>
      <c r="C10" s="316"/>
      <c r="D10" s="316"/>
      <c r="E10" s="322"/>
      <c r="F10" s="316"/>
      <c r="G10" s="321"/>
      <c r="H10" s="316"/>
      <c r="I10" s="319">
        <f t="shared" ref="I10:I26" si="2">IF(OR($D10="Landfill / trash / waste",$D10="Incineration / Waste-to-energy", ,$D10=""),0,IF($D10="Recycled - mixed processing (commingled)", ($G10*$E10),$E10))</f>
        <v>0</v>
      </c>
      <c r="J10" s="318">
        <f t="shared" si="0"/>
        <v>0</v>
      </c>
      <c r="K10" s="313">
        <f t="shared" si="1"/>
        <v>0</v>
      </c>
    </row>
    <row r="11" spans="1:11" ht="15.5" x14ac:dyDescent="0.35">
      <c r="B11" s="317"/>
      <c r="C11" s="316"/>
      <c r="D11" s="316"/>
      <c r="E11" s="373"/>
      <c r="F11" s="316"/>
      <c r="G11" s="375"/>
      <c r="H11" s="316"/>
      <c r="I11" s="319">
        <f t="shared" si="2"/>
        <v>0</v>
      </c>
      <c r="J11" s="318">
        <f t="shared" si="0"/>
        <v>0</v>
      </c>
      <c r="K11" s="313">
        <f t="shared" si="1"/>
        <v>0</v>
      </c>
    </row>
    <row r="12" spans="1:11" ht="15.5" x14ac:dyDescent="0.35">
      <c r="B12" s="317"/>
      <c r="C12" s="316"/>
      <c r="D12" s="316"/>
      <c r="E12" s="373"/>
      <c r="F12" s="316"/>
      <c r="G12" s="375"/>
      <c r="H12" s="316"/>
      <c r="I12" s="319">
        <f>IF(OR($D12="Landfill / trash / waste",$D12="Incineration / Waste-to-energy", ,$D12=""),0,IF($D12="Recycled - mixed processing (commingled)", ($G12*$E12),$E12))</f>
        <v>0</v>
      </c>
      <c r="J12" s="318">
        <f t="shared" si="0"/>
        <v>0</v>
      </c>
      <c r="K12" s="313">
        <f t="shared" si="1"/>
        <v>0</v>
      </c>
    </row>
    <row r="13" spans="1:11" ht="15.5" x14ac:dyDescent="0.35">
      <c r="B13" s="317"/>
      <c r="C13" s="316"/>
      <c r="D13" s="316"/>
      <c r="E13" s="373"/>
      <c r="F13" s="316"/>
      <c r="G13" s="375"/>
      <c r="H13" s="316"/>
      <c r="I13" s="319">
        <f t="shared" si="2"/>
        <v>0</v>
      </c>
      <c r="J13" s="318">
        <f t="shared" si="0"/>
        <v>0</v>
      </c>
      <c r="K13" s="313">
        <f t="shared" si="1"/>
        <v>0</v>
      </c>
    </row>
    <row r="14" spans="1:11" ht="15.5" x14ac:dyDescent="0.35">
      <c r="B14" s="317"/>
      <c r="C14" s="316"/>
      <c r="D14" s="316"/>
      <c r="E14" s="373"/>
      <c r="F14" s="316"/>
      <c r="G14" s="375"/>
      <c r="H14" s="316"/>
      <c r="I14" s="319">
        <f t="shared" si="2"/>
        <v>0</v>
      </c>
      <c r="J14" s="318">
        <f t="shared" si="0"/>
        <v>0</v>
      </c>
      <c r="K14" s="313">
        <f t="shared" si="1"/>
        <v>0</v>
      </c>
    </row>
    <row r="15" spans="1:11" ht="15.5" x14ac:dyDescent="0.35">
      <c r="B15" s="317"/>
      <c r="C15" s="316"/>
      <c r="D15" s="316"/>
      <c r="E15" s="373"/>
      <c r="F15" s="316"/>
      <c r="G15" s="375"/>
      <c r="H15" s="316"/>
      <c r="I15" s="319">
        <f t="shared" si="2"/>
        <v>0</v>
      </c>
      <c r="J15" s="318">
        <f t="shared" si="0"/>
        <v>0</v>
      </c>
      <c r="K15" s="313">
        <f t="shared" si="1"/>
        <v>0</v>
      </c>
    </row>
    <row r="16" spans="1:11" ht="15.5" x14ac:dyDescent="0.35">
      <c r="B16" s="317"/>
      <c r="C16" s="316"/>
      <c r="D16" s="316"/>
      <c r="E16" s="373"/>
      <c r="F16" s="316"/>
      <c r="G16" s="375"/>
      <c r="H16" s="316"/>
      <c r="I16" s="319">
        <f t="shared" si="2"/>
        <v>0</v>
      </c>
      <c r="J16" s="318">
        <f t="shared" si="0"/>
        <v>0</v>
      </c>
      <c r="K16" s="313">
        <f t="shared" si="1"/>
        <v>0</v>
      </c>
    </row>
    <row r="17" spans="2:11" ht="15.5" x14ac:dyDescent="0.35">
      <c r="B17" s="317"/>
      <c r="C17" s="316"/>
      <c r="D17" s="316"/>
      <c r="E17" s="373"/>
      <c r="F17" s="316"/>
      <c r="G17" s="375"/>
      <c r="H17" s="316"/>
      <c r="I17" s="319">
        <f t="shared" si="2"/>
        <v>0</v>
      </c>
      <c r="J17" s="318">
        <f t="shared" si="0"/>
        <v>0</v>
      </c>
      <c r="K17" s="313">
        <f t="shared" si="1"/>
        <v>0</v>
      </c>
    </row>
    <row r="18" spans="2:11" ht="15.5" x14ac:dyDescent="0.35">
      <c r="B18" s="317"/>
      <c r="C18" s="316"/>
      <c r="D18" s="316"/>
      <c r="E18" s="373"/>
      <c r="F18" s="316"/>
      <c r="G18" s="375"/>
      <c r="H18" s="316"/>
      <c r="I18" s="319">
        <f t="shared" si="2"/>
        <v>0</v>
      </c>
      <c r="J18" s="318">
        <f t="shared" si="0"/>
        <v>0</v>
      </c>
      <c r="K18" s="313">
        <f t="shared" si="1"/>
        <v>0</v>
      </c>
    </row>
    <row r="19" spans="2:11" ht="15.5" x14ac:dyDescent="0.35">
      <c r="B19" s="317"/>
      <c r="C19" s="316"/>
      <c r="D19" s="316"/>
      <c r="E19" s="373"/>
      <c r="F19" s="316"/>
      <c r="G19" s="375"/>
      <c r="H19" s="316"/>
      <c r="I19" s="319">
        <f t="shared" si="2"/>
        <v>0</v>
      </c>
      <c r="J19" s="318">
        <f t="shared" si="0"/>
        <v>0</v>
      </c>
      <c r="K19" s="313">
        <f t="shared" si="1"/>
        <v>0</v>
      </c>
    </row>
    <row r="20" spans="2:11" ht="15.5" x14ac:dyDescent="0.35">
      <c r="B20" s="317"/>
      <c r="C20" s="316"/>
      <c r="D20" s="316"/>
      <c r="E20" s="373"/>
      <c r="F20" s="316"/>
      <c r="G20" s="375"/>
      <c r="H20" s="316"/>
      <c r="I20" s="319">
        <f t="shared" si="2"/>
        <v>0</v>
      </c>
      <c r="J20" s="318">
        <f t="shared" si="0"/>
        <v>0</v>
      </c>
      <c r="K20" s="313">
        <f t="shared" si="1"/>
        <v>0</v>
      </c>
    </row>
    <row r="21" spans="2:11" ht="15.5" x14ac:dyDescent="0.35">
      <c r="B21" s="317"/>
      <c r="C21" s="316"/>
      <c r="D21" s="316"/>
      <c r="E21" s="373"/>
      <c r="F21" s="316"/>
      <c r="G21" s="375"/>
      <c r="H21" s="316"/>
      <c r="I21" s="319">
        <f t="shared" si="2"/>
        <v>0</v>
      </c>
      <c r="J21" s="318">
        <f t="shared" si="0"/>
        <v>0</v>
      </c>
      <c r="K21" s="313">
        <f t="shared" si="1"/>
        <v>0</v>
      </c>
    </row>
    <row r="22" spans="2:11" ht="15.5" x14ac:dyDescent="0.35">
      <c r="B22" s="320"/>
      <c r="C22" s="316"/>
      <c r="D22" s="316"/>
      <c r="E22" s="373"/>
      <c r="F22" s="374"/>
      <c r="G22" s="375"/>
      <c r="H22" s="316"/>
      <c r="I22" s="319">
        <f t="shared" si="2"/>
        <v>0</v>
      </c>
      <c r="J22" s="318">
        <f t="shared" si="0"/>
        <v>0</v>
      </c>
      <c r="K22" s="313">
        <f t="shared" si="1"/>
        <v>0</v>
      </c>
    </row>
    <row r="23" spans="2:11" ht="15.5" x14ac:dyDescent="0.35">
      <c r="B23" s="320"/>
      <c r="C23" s="316"/>
      <c r="D23" s="316"/>
      <c r="E23" s="373"/>
      <c r="F23" s="374"/>
      <c r="G23" s="375"/>
      <c r="H23" s="316"/>
      <c r="I23" s="319">
        <f t="shared" si="2"/>
        <v>0</v>
      </c>
      <c r="J23" s="318">
        <f t="shared" si="0"/>
        <v>0</v>
      </c>
      <c r="K23" s="313">
        <f t="shared" si="1"/>
        <v>0</v>
      </c>
    </row>
    <row r="24" spans="2:11" ht="15.5" x14ac:dyDescent="0.35">
      <c r="B24" s="320"/>
      <c r="C24" s="316"/>
      <c r="D24" s="316"/>
      <c r="E24" s="373"/>
      <c r="F24" s="374"/>
      <c r="G24" s="375"/>
      <c r="H24" s="316"/>
      <c r="I24" s="319">
        <f t="shared" si="2"/>
        <v>0</v>
      </c>
      <c r="J24" s="318">
        <f t="shared" si="0"/>
        <v>0</v>
      </c>
      <c r="K24" s="313">
        <f t="shared" si="1"/>
        <v>0</v>
      </c>
    </row>
    <row r="25" spans="2:11" ht="15.5" x14ac:dyDescent="0.35">
      <c r="B25" s="320"/>
      <c r="C25" s="316"/>
      <c r="D25" s="316"/>
      <c r="E25" s="373"/>
      <c r="F25" s="374"/>
      <c r="G25" s="375"/>
      <c r="H25" s="316"/>
      <c r="I25" s="319">
        <f t="shared" si="2"/>
        <v>0</v>
      </c>
      <c r="J25" s="318">
        <f t="shared" si="0"/>
        <v>0</v>
      </c>
      <c r="K25" s="313">
        <f t="shared" si="1"/>
        <v>0</v>
      </c>
    </row>
    <row r="26" spans="2:11" ht="15.5" x14ac:dyDescent="0.35">
      <c r="B26" s="317"/>
      <c r="C26" s="316"/>
      <c r="D26" s="316"/>
      <c r="E26" s="376"/>
      <c r="F26" s="377"/>
      <c r="G26" s="378"/>
      <c r="H26" s="316"/>
      <c r="I26" s="315">
        <f t="shared" si="2"/>
        <v>0</v>
      </c>
      <c r="J26" s="314">
        <f t="shared" si="0"/>
        <v>0</v>
      </c>
      <c r="K26" s="313">
        <f t="shared" si="1"/>
        <v>0</v>
      </c>
    </row>
    <row r="27" spans="2:11" ht="18" x14ac:dyDescent="0.4">
      <c r="B27" s="312"/>
      <c r="C27" s="379"/>
      <c r="D27" s="379"/>
      <c r="E27" s="379"/>
      <c r="F27" s="379"/>
      <c r="G27" s="379"/>
      <c r="H27" s="311"/>
      <c r="I27" s="311"/>
      <c r="J27" s="300" t="s">
        <v>735</v>
      </c>
      <c r="K27" s="310">
        <f>SUM(K7:K26)</f>
        <v>0</v>
      </c>
    </row>
    <row r="28" spans="2:11" ht="18" x14ac:dyDescent="0.4">
      <c r="B28" s="302"/>
      <c r="C28" s="380"/>
      <c r="D28" s="380"/>
      <c r="E28" s="380"/>
      <c r="F28" s="380"/>
      <c r="G28" s="380"/>
      <c r="H28" s="301"/>
      <c r="I28" s="301"/>
      <c r="J28" s="308" t="s">
        <v>734</v>
      </c>
      <c r="K28" s="309">
        <f>SUM(I7:I26)</f>
        <v>0</v>
      </c>
    </row>
    <row r="29" spans="2:11" ht="18" x14ac:dyDescent="0.4">
      <c r="B29" s="302"/>
      <c r="C29" s="380"/>
      <c r="D29" s="380"/>
      <c r="E29" s="380"/>
      <c r="F29" s="380"/>
      <c r="G29" s="380"/>
      <c r="H29" s="301"/>
      <c r="I29" s="301"/>
      <c r="J29" s="308" t="s">
        <v>733</v>
      </c>
      <c r="K29" s="307">
        <f>SUM(E7:E26)</f>
        <v>0</v>
      </c>
    </row>
    <row r="30" spans="2:11" ht="18" x14ac:dyDescent="0.4">
      <c r="B30" s="306"/>
      <c r="C30" s="381"/>
      <c r="D30" s="381"/>
      <c r="E30" s="381"/>
      <c r="F30" s="381"/>
      <c r="G30" s="381"/>
      <c r="H30" s="305"/>
      <c r="I30" s="305"/>
      <c r="J30" s="304" t="s">
        <v>732</v>
      </c>
      <c r="K30" s="303">
        <f>IFERROR(K28/K27, 0)</f>
        <v>0</v>
      </c>
    </row>
    <row r="31" spans="2:11" ht="18" x14ac:dyDescent="0.4">
      <c r="B31" s="302"/>
      <c r="C31" s="380"/>
      <c r="D31" s="380"/>
      <c r="E31" s="380"/>
      <c r="F31" s="380"/>
      <c r="G31" s="380"/>
      <c r="H31" s="301"/>
      <c r="I31" s="301"/>
      <c r="J31" s="300" t="s">
        <v>731</v>
      </c>
      <c r="K31" s="299">
        <f>COUNTA(D7:D26)-IF(COUNTIF(D7:D26,"Recycled - mixed processing (Commingled) - recycled")&gt;0,(COUNTIF(D7:D26,"Recycled - mixed processing (Commingled) - recycled"))-1,0)-IF(COUNTIF(D7:D26,"Landfill waste")&gt;0,COUNTIF(D7:D26,"Landfill waste"),0)-(COUNTIF(D7:D26,"Landfill / trash / waste"))-(COUNTIF(D7:D26,"Incineration / waste-to-energy"))</f>
        <v>0</v>
      </c>
    </row>
    <row r="32" spans="2:11" ht="18.5" thickBot="1" x14ac:dyDescent="0.45">
      <c r="B32" s="298"/>
      <c r="C32" s="382"/>
      <c r="D32" s="382"/>
      <c r="E32" s="382"/>
      <c r="F32" s="382"/>
      <c r="G32" s="382"/>
      <c r="H32" s="297"/>
      <c r="I32" s="297"/>
      <c r="J32" s="296" t="s">
        <v>730</v>
      </c>
      <c r="K32" s="295" t="str">
        <f>IF(COUNTIF(H7:H26, "yes"), "1", "0")</f>
        <v>0</v>
      </c>
    </row>
    <row r="33" spans="2:11" ht="15.5" x14ac:dyDescent="0.35">
      <c r="B33" s="380"/>
      <c r="C33" s="380"/>
      <c r="D33" s="380"/>
      <c r="E33" s="380"/>
      <c r="F33" s="380"/>
      <c r="G33" s="380"/>
      <c r="H33" s="380"/>
      <c r="I33" s="380"/>
      <c r="J33" s="380"/>
      <c r="K33" s="383"/>
    </row>
    <row r="34" spans="2:11" ht="15.5" x14ac:dyDescent="0.35">
      <c r="B34" s="380"/>
      <c r="C34" s="380"/>
      <c r="D34" s="380"/>
      <c r="E34" s="380"/>
      <c r="F34" s="380"/>
      <c r="G34" s="380"/>
      <c r="H34" s="380"/>
      <c r="I34" s="380"/>
      <c r="J34" s="380"/>
      <c r="K34" s="383"/>
    </row>
    <row r="35" spans="2:11" ht="14.5" thickBot="1" x14ac:dyDescent="0.35"/>
    <row r="36" spans="2:11" ht="31.5" customHeight="1" x14ac:dyDescent="0.3">
      <c r="B36" s="384"/>
      <c r="C36" s="385" t="s">
        <v>773</v>
      </c>
      <c r="D36" s="386"/>
      <c r="E36" s="386"/>
      <c r="F36" s="386"/>
      <c r="G36" s="386"/>
      <c r="H36" s="386"/>
      <c r="I36" s="386"/>
      <c r="J36" s="386"/>
      <c r="K36" s="387"/>
    </row>
    <row r="37" spans="2:11" x14ac:dyDescent="0.3">
      <c r="B37" s="388"/>
      <c r="C37" s="389" t="s">
        <v>774</v>
      </c>
      <c r="D37" s="389"/>
      <c r="E37" s="389"/>
      <c r="F37" s="389"/>
      <c r="G37" s="389"/>
      <c r="H37" s="389"/>
      <c r="I37" s="389"/>
      <c r="J37" s="389"/>
      <c r="K37" s="390"/>
    </row>
    <row r="38" spans="2:11" ht="14.5" thickBot="1" x14ac:dyDescent="0.35">
      <c r="B38" s="388"/>
      <c r="C38" s="389"/>
      <c r="D38" s="389"/>
      <c r="E38" s="389"/>
      <c r="F38" s="391"/>
      <c r="G38" s="389"/>
      <c r="H38" s="389"/>
      <c r="I38" s="389"/>
      <c r="J38" s="389"/>
      <c r="K38" s="390"/>
    </row>
    <row r="39" spans="2:11" ht="18.5" thickBot="1" x14ac:dyDescent="0.45">
      <c r="B39" s="388"/>
      <c r="C39" s="392" t="s">
        <v>775</v>
      </c>
      <c r="D39" s="393"/>
      <c r="E39" s="393"/>
      <c r="F39" s="394">
        <f>K29</f>
        <v>0</v>
      </c>
      <c r="G39" s="389"/>
      <c r="I39" s="395"/>
      <c r="J39" s="395"/>
      <c r="K39" s="390"/>
    </row>
    <row r="40" spans="2:11" ht="18.5" thickBot="1" x14ac:dyDescent="0.45">
      <c r="B40" s="388"/>
      <c r="C40" s="396"/>
      <c r="D40" s="389"/>
      <c r="E40" s="389"/>
      <c r="F40" s="397"/>
      <c r="G40" s="389"/>
      <c r="H40" s="398"/>
      <c r="I40" s="398"/>
      <c r="J40" s="398"/>
      <c r="K40" s="390"/>
    </row>
    <row r="41" spans="2:11" ht="18.5" thickBot="1" x14ac:dyDescent="0.45">
      <c r="B41" s="388"/>
      <c r="C41" s="392" t="s">
        <v>776</v>
      </c>
      <c r="D41" s="393"/>
      <c r="E41" s="393"/>
      <c r="F41" s="394">
        <f>K28</f>
        <v>0</v>
      </c>
      <c r="G41" s="389"/>
      <c r="I41" s="395"/>
      <c r="J41" s="395"/>
      <c r="K41" s="390"/>
    </row>
    <row r="42" spans="2:11" ht="18.5" thickBot="1" x14ac:dyDescent="0.45">
      <c r="B42" s="388"/>
      <c r="C42" s="396"/>
      <c r="D42" s="389"/>
      <c r="E42" s="389"/>
      <c r="F42" s="397"/>
      <c r="G42" s="389"/>
      <c r="H42" s="398"/>
      <c r="I42" s="398"/>
      <c r="J42" s="398"/>
      <c r="K42" s="390"/>
    </row>
    <row r="43" spans="2:11" ht="18.5" thickBot="1" x14ac:dyDescent="0.45">
      <c r="B43" s="388"/>
      <c r="C43" s="392" t="s">
        <v>732</v>
      </c>
      <c r="D43" s="393"/>
      <c r="E43" s="393"/>
      <c r="F43" s="399">
        <f>IFERROR(F41/F39,0)</f>
        <v>0</v>
      </c>
      <c r="G43" s="389"/>
      <c r="I43" s="400"/>
      <c r="J43" s="400"/>
      <c r="K43" s="390"/>
    </row>
    <row r="44" spans="2:11" ht="15.65" customHeight="1" x14ac:dyDescent="0.3">
      <c r="B44" s="401"/>
      <c r="C44" s="402"/>
      <c r="D44" s="402"/>
      <c r="E44" s="402"/>
      <c r="F44" s="64"/>
      <c r="G44" s="402"/>
      <c r="H44" s="403"/>
      <c r="I44" s="403"/>
      <c r="J44" s="403"/>
      <c r="K44" s="404"/>
    </row>
    <row r="45" spans="2:11" ht="14.5" thickBot="1" x14ac:dyDescent="0.35">
      <c r="B45" s="388"/>
      <c r="C45" s="389"/>
      <c r="D45" s="389"/>
      <c r="E45" s="389"/>
      <c r="F45" s="397"/>
      <c r="G45" s="389"/>
      <c r="H45" s="405"/>
      <c r="I45" s="405"/>
      <c r="J45" s="405"/>
      <c r="K45" s="390"/>
    </row>
    <row r="46" spans="2:11" ht="18.5" thickBot="1" x14ac:dyDescent="0.45">
      <c r="B46" s="388"/>
      <c r="C46" s="392" t="s">
        <v>777</v>
      </c>
      <c r="D46" s="393"/>
      <c r="E46" s="393"/>
      <c r="F46" s="394">
        <f>K31+K32</f>
        <v>0</v>
      </c>
      <c r="G46" s="406"/>
      <c r="I46" s="407"/>
      <c r="J46" s="407"/>
      <c r="K46" s="408"/>
    </row>
    <row r="47" spans="2:11" ht="14.5" thickBot="1" x14ac:dyDescent="0.35">
      <c r="B47" s="409"/>
      <c r="C47" s="410"/>
      <c r="D47" s="410"/>
      <c r="E47" s="410"/>
      <c r="F47" s="410"/>
      <c r="G47" s="410"/>
      <c r="H47" s="410"/>
      <c r="I47" s="410"/>
      <c r="J47" s="410"/>
      <c r="K47" s="411"/>
    </row>
    <row r="50" spans="2:7" ht="14.5" thickBot="1" x14ac:dyDescent="0.35"/>
    <row r="51" spans="2:7" ht="73.5" customHeight="1" thickBot="1" x14ac:dyDescent="0.35">
      <c r="B51" s="294" t="s">
        <v>719</v>
      </c>
      <c r="C51" s="294" t="s">
        <v>735</v>
      </c>
      <c r="D51" s="294" t="s">
        <v>734</v>
      </c>
      <c r="E51" s="412" t="s">
        <v>732</v>
      </c>
      <c r="F51" s="412" t="s">
        <v>777</v>
      </c>
      <c r="G51" s="412" t="s">
        <v>1029</v>
      </c>
    </row>
    <row r="52" spans="2:7" ht="15.5" x14ac:dyDescent="0.35">
      <c r="B52" s="543" t="str">
        <f>IFERROR(IF('Cash Flow'!B25&lt;&gt;0,'Cash Flow'!B25,IF(AND('Cash Flow'!B22&lt;&gt;0, ROW('Cash Flow'!B25)&gt; ROW(startCashFlow)+2),DATE(YEAR(B51),MONTH(B51)+1,DAY(B51)),"")),"")</f>
        <v/>
      </c>
      <c r="C52" s="550"/>
      <c r="D52" s="550"/>
      <c r="E52" s="413"/>
      <c r="F52" s="414"/>
      <c r="G52" s="414"/>
    </row>
    <row r="53" spans="2:7" ht="15.5" x14ac:dyDescent="0.35">
      <c r="B53" s="543" t="str">
        <f>IFERROR(IF('Cash Flow'!B26&lt;&gt;0,'Cash Flow'!B26,IF(AND('Cash Flow'!B23&lt;&gt;0, ROW('Cash Flow'!B26)&gt; ROW(startCashFlow)+2),DATE(YEAR(B52),MONTH(B52)+1,DAY(B52)),"")),"")</f>
        <v/>
      </c>
      <c r="C53" s="550"/>
      <c r="D53" s="550"/>
      <c r="E53" s="413"/>
      <c r="F53" s="414"/>
      <c r="G53" s="414"/>
    </row>
    <row r="54" spans="2:7" ht="15.5" x14ac:dyDescent="0.35">
      <c r="B54" s="543" t="str">
        <f>IFERROR(IF('Cash Flow'!B27&lt;&gt;0,'Cash Flow'!B27,IF(AND('Cash Flow'!B24&lt;&gt;0, ROW('Cash Flow'!B27)&gt; ROW(startCashFlow)+2),DATE(YEAR(B53),MONTH(B53)+1,DAY(B53)),"")),"")</f>
        <v/>
      </c>
      <c r="C54" s="550"/>
      <c r="D54" s="550"/>
      <c r="E54" s="413"/>
      <c r="F54" s="414"/>
      <c r="G54" s="414"/>
    </row>
    <row r="55" spans="2:7" ht="15.5" x14ac:dyDescent="0.35">
      <c r="B55" s="543" t="str">
        <f>IFERROR(IF('Cash Flow'!B28&lt;&gt;0,'Cash Flow'!B28,IF(AND('Cash Flow'!B25&lt;&gt;0, ROW('Cash Flow'!B28)&gt; ROW(startCashFlow)+2),DATE(YEAR(B54),MONTH(B54)+1,DAY(B54)),"")),"")</f>
        <v/>
      </c>
      <c r="C55" s="550"/>
      <c r="D55" s="550"/>
      <c r="E55" s="413"/>
      <c r="F55" s="414"/>
      <c r="G55" s="414"/>
    </row>
    <row r="56" spans="2:7" ht="15.5" x14ac:dyDescent="0.35">
      <c r="B56" s="543" t="str">
        <f>IFERROR(IF('Cash Flow'!B29&lt;&gt;0,'Cash Flow'!B29,IF(AND('Cash Flow'!B26&lt;&gt;0, ROW('Cash Flow'!B29)&gt; ROW(startCashFlow)+2),DATE(YEAR(B55),MONTH(B55)+1,DAY(B55)),"")),"")</f>
        <v/>
      </c>
      <c r="C56" s="550"/>
      <c r="D56" s="550"/>
      <c r="E56" s="413"/>
      <c r="F56" s="414"/>
      <c r="G56" s="414"/>
    </row>
    <row r="57" spans="2:7" ht="15.5" x14ac:dyDescent="0.35">
      <c r="B57" s="543" t="str">
        <f>IFERROR(IF('Cash Flow'!B30&lt;&gt;0,'Cash Flow'!B30,IF(AND('Cash Flow'!B27&lt;&gt;0, ROW('Cash Flow'!B30)&gt; ROW(startCashFlow)+2),DATE(YEAR(B56),MONTH(B56)+1,DAY(B56)),"")),"")</f>
        <v/>
      </c>
      <c r="C57" s="550"/>
      <c r="D57" s="550"/>
      <c r="E57" s="413"/>
      <c r="F57" s="414"/>
      <c r="G57" s="414"/>
    </row>
    <row r="58" spans="2:7" ht="15.5" x14ac:dyDescent="0.35">
      <c r="B58" s="543" t="str">
        <f>IFERROR(IF('Cash Flow'!B31&lt;&gt;0,'Cash Flow'!B31,IF(AND('Cash Flow'!B28&lt;&gt;0, ROW('Cash Flow'!B31)&gt; ROW(startCashFlow)+2),DATE(YEAR(B57),MONTH(B57)+1,DAY(B57)),"")),"")</f>
        <v/>
      </c>
      <c r="C58" s="550"/>
      <c r="D58" s="550"/>
      <c r="E58" s="413"/>
      <c r="F58" s="414"/>
      <c r="G58" s="414"/>
    </row>
    <row r="59" spans="2:7" ht="15.5" x14ac:dyDescent="0.35">
      <c r="B59" s="543" t="str">
        <f>IFERROR(IF('Cash Flow'!B32&lt;&gt;0,'Cash Flow'!B32,IF(AND('Cash Flow'!B29&lt;&gt;0, ROW('Cash Flow'!B32)&gt; ROW(startCashFlow)+2),DATE(YEAR(B58),MONTH(B58)+1,DAY(B58)),"")),"")</f>
        <v/>
      </c>
      <c r="C59" s="550"/>
      <c r="D59" s="550"/>
      <c r="E59" s="413"/>
      <c r="F59" s="414"/>
      <c r="G59" s="414"/>
    </row>
    <row r="60" spans="2:7" ht="15.5" x14ac:dyDescent="0.35">
      <c r="B60" s="543" t="str">
        <f>IFERROR(IF('Cash Flow'!B33&lt;&gt;0,'Cash Flow'!B33,IF(AND('Cash Flow'!B30&lt;&gt;0, ROW('Cash Flow'!B33)&gt; ROW(startCashFlow)+2),DATE(YEAR(B59),MONTH(B59)+1,DAY(B59)),"")),"")</f>
        <v/>
      </c>
      <c r="C60" s="550"/>
      <c r="D60" s="550"/>
      <c r="E60" s="413"/>
      <c r="F60" s="414"/>
      <c r="G60" s="414"/>
    </row>
    <row r="61" spans="2:7" ht="15.5" x14ac:dyDescent="0.35">
      <c r="B61" s="543" t="str">
        <f>IFERROR(IF('Cash Flow'!B34&lt;&gt;0,'Cash Flow'!B34,IF(AND('Cash Flow'!B31&lt;&gt;0, ROW('Cash Flow'!B34)&gt; ROW(startCashFlow)+2),DATE(YEAR(B60),MONTH(B60)+1,DAY(B60)),"")),"")</f>
        <v/>
      </c>
      <c r="C61" s="550"/>
      <c r="D61" s="550"/>
      <c r="E61" s="413"/>
      <c r="F61" s="414"/>
      <c r="G61" s="414"/>
    </row>
    <row r="62" spans="2:7" ht="15.5" x14ac:dyDescent="0.35">
      <c r="B62" s="543" t="str">
        <f>IFERROR(IF('Cash Flow'!B35&lt;&gt;0,'Cash Flow'!B35,IF(AND('Cash Flow'!B32&lt;&gt;0, ROW('Cash Flow'!B35)&gt; ROW(startCashFlow)+2),DATE(YEAR(B61),MONTH(B61)+1,DAY(B61)),"")),"")</f>
        <v/>
      </c>
      <c r="C62" s="550"/>
      <c r="D62" s="550"/>
      <c r="E62" s="413"/>
      <c r="F62" s="414"/>
      <c r="G62" s="414"/>
    </row>
    <row r="63" spans="2:7" ht="15.5" x14ac:dyDescent="0.35">
      <c r="B63" s="543" t="str">
        <f>IFERROR(IF('Cash Flow'!B36&lt;&gt;0,'Cash Flow'!B36,IF(AND('Cash Flow'!B33&lt;&gt;0, ROW('Cash Flow'!B36)&gt; ROW(startCashFlow)+2),DATE(YEAR(B62),MONTH(B62)+1,DAY(B62)),"")),"")</f>
        <v/>
      </c>
      <c r="C63" s="550"/>
      <c r="D63" s="550"/>
      <c r="E63" s="413"/>
      <c r="F63" s="414"/>
      <c r="G63" s="414"/>
    </row>
    <row r="64" spans="2:7" ht="15.5" x14ac:dyDescent="0.35">
      <c r="B64" s="543" t="str">
        <f>IFERROR(IF('Cash Flow'!B37&lt;&gt;0,'Cash Flow'!B37,IF(AND('Cash Flow'!B34&lt;&gt;0, ROW('Cash Flow'!B37)&gt; ROW(startCashFlow)+2),DATE(YEAR(B63),MONTH(B63)+1,DAY(B63)),"")),"")</f>
        <v/>
      </c>
      <c r="C64" s="550"/>
      <c r="D64" s="550"/>
      <c r="E64" s="413"/>
      <c r="F64" s="414"/>
      <c r="G64" s="414"/>
    </row>
    <row r="65" spans="2:7" ht="15.5" x14ac:dyDescent="0.35">
      <c r="B65" s="543" t="str">
        <f>IFERROR(IF('Cash Flow'!B38&lt;&gt;0,'Cash Flow'!B38,IF(AND('Cash Flow'!B35&lt;&gt;0, ROW('Cash Flow'!B38)&gt; ROW(startCashFlow)+2),DATE(YEAR(B64),MONTH(B64)+1,DAY(B64)),"")),"")</f>
        <v/>
      </c>
      <c r="C65" s="550"/>
      <c r="D65" s="550"/>
      <c r="E65" s="413"/>
      <c r="F65" s="414"/>
      <c r="G65" s="414"/>
    </row>
    <row r="66" spans="2:7" ht="15.5" x14ac:dyDescent="0.35">
      <c r="B66" s="543" t="str">
        <f>IFERROR(IF('Cash Flow'!B39&lt;&gt;0,'Cash Flow'!B39,IF(AND('Cash Flow'!B36&lt;&gt;0, ROW('Cash Flow'!B39)&gt; ROW(startCashFlow)+2),DATE(YEAR(B65),MONTH(B65)+1,DAY(B65)),"")),"")</f>
        <v/>
      </c>
      <c r="C66" s="550"/>
      <c r="D66" s="550"/>
      <c r="E66" s="413"/>
      <c r="F66" s="414"/>
      <c r="G66" s="414"/>
    </row>
    <row r="67" spans="2:7" ht="15.5" x14ac:dyDescent="0.35">
      <c r="B67" s="543" t="str">
        <f>IFERROR(IF('Cash Flow'!B40&lt;&gt;0,'Cash Flow'!B40,IF(AND('Cash Flow'!B37&lt;&gt;0, ROW('Cash Flow'!B40)&gt; ROW(startCashFlow)+2),DATE(YEAR(B66),MONTH(B66)+1,DAY(B66)),"")),"")</f>
        <v/>
      </c>
      <c r="C67" s="550"/>
      <c r="D67" s="550"/>
      <c r="E67" s="413"/>
      <c r="F67" s="414"/>
      <c r="G67" s="414"/>
    </row>
    <row r="68" spans="2:7" ht="15.5" x14ac:dyDescent="0.35">
      <c r="B68" s="543" t="str">
        <f>IFERROR(IF('Cash Flow'!B41&lt;&gt;0,'Cash Flow'!B41,IF(AND('Cash Flow'!B38&lt;&gt;0, ROW('Cash Flow'!B41)&gt; ROW(startCashFlow)+2),DATE(YEAR(B67),MONTH(B67)+1,DAY(B67)),"")),"")</f>
        <v/>
      </c>
      <c r="C68" s="550"/>
      <c r="D68" s="550"/>
      <c r="E68" s="413"/>
      <c r="F68" s="414"/>
      <c r="G68" s="414"/>
    </row>
    <row r="69" spans="2:7" ht="15.5" x14ac:dyDescent="0.35">
      <c r="B69" s="543" t="str">
        <f>IFERROR(IF('Cash Flow'!B42&lt;&gt;0,'Cash Flow'!B42,IF(AND('Cash Flow'!B39&lt;&gt;0, ROW('Cash Flow'!B42)&gt; ROW(startCashFlow)+2),DATE(YEAR(B68),MONTH(B68)+1,DAY(B68)),"")),"")</f>
        <v/>
      </c>
      <c r="C69" s="550"/>
      <c r="D69" s="550"/>
      <c r="E69" s="413"/>
      <c r="F69" s="414"/>
      <c r="G69" s="414"/>
    </row>
    <row r="70" spans="2:7" ht="15.5" x14ac:dyDescent="0.35">
      <c r="B70" s="543" t="str">
        <f>IFERROR(IF('Cash Flow'!B43&lt;&gt;0,'Cash Flow'!B43,IF(AND('Cash Flow'!B40&lt;&gt;0, ROW('Cash Flow'!B43)&gt; ROW(startCashFlow)+2),DATE(YEAR(B69),MONTH(B69)+1,DAY(B69)),"")),"")</f>
        <v/>
      </c>
      <c r="C70" s="550"/>
      <c r="D70" s="550"/>
      <c r="E70" s="413"/>
      <c r="F70" s="414"/>
      <c r="G70" s="414"/>
    </row>
    <row r="71" spans="2:7" ht="15.5" x14ac:dyDescent="0.35">
      <c r="B71" s="543" t="str">
        <f>IFERROR(IF('Cash Flow'!B44&lt;&gt;0,'Cash Flow'!B44,IF(AND('Cash Flow'!B41&lt;&gt;0, ROW('Cash Flow'!B44)&gt; ROW(startCashFlow)+2),DATE(YEAR(B70),MONTH(B70)+1,DAY(B70)),"")),"")</f>
        <v/>
      </c>
      <c r="C71" s="550"/>
      <c r="D71" s="550"/>
      <c r="E71" s="413"/>
      <c r="F71" s="414"/>
      <c r="G71" s="414"/>
    </row>
    <row r="72" spans="2:7" ht="15.5" x14ac:dyDescent="0.35">
      <c r="B72" s="543" t="str">
        <f>IFERROR(IF('Cash Flow'!B45&lt;&gt;0,'Cash Flow'!B45,IF(AND('Cash Flow'!B42&lt;&gt;0, ROW('Cash Flow'!B45)&gt; ROW(startCashFlow)+2),DATE(YEAR(B71),MONTH(B71)+1,DAY(B71)),"")),"")</f>
        <v/>
      </c>
      <c r="C72" s="550"/>
      <c r="D72" s="550"/>
      <c r="E72" s="413"/>
      <c r="F72" s="414"/>
      <c r="G72" s="414"/>
    </row>
    <row r="73" spans="2:7" ht="15.5" x14ac:dyDescent="0.35">
      <c r="B73" s="543" t="str">
        <f>IFERROR(IF('Cash Flow'!B46&lt;&gt;0,'Cash Flow'!B46,IF(AND('Cash Flow'!B43&lt;&gt;0, ROW('Cash Flow'!B46)&gt; ROW(startCashFlow)+2),DATE(YEAR(B72),MONTH(B72)+1,DAY(B72)),"")),"")</f>
        <v/>
      </c>
      <c r="C73" s="550"/>
      <c r="D73" s="550"/>
      <c r="E73" s="413"/>
      <c r="F73" s="414"/>
      <c r="G73" s="414"/>
    </row>
    <row r="74" spans="2:7" ht="15.5" x14ac:dyDescent="0.35">
      <c r="B74" s="543" t="str">
        <f>IFERROR(IF('Cash Flow'!B47&lt;&gt;0,'Cash Flow'!B47,IF(AND('Cash Flow'!B44&lt;&gt;0, ROW('Cash Flow'!B47)&gt; ROW(startCashFlow)+2),DATE(YEAR(B73),MONTH(B73)+1,DAY(B73)),"")),"")</f>
        <v/>
      </c>
      <c r="C74" s="550"/>
      <c r="D74" s="550"/>
      <c r="E74" s="413"/>
      <c r="F74" s="414"/>
      <c r="G74" s="414"/>
    </row>
    <row r="75" spans="2:7" ht="15.5" x14ac:dyDescent="0.35">
      <c r="B75" s="543" t="str">
        <f>IFERROR(IF('Cash Flow'!B48&lt;&gt;0,'Cash Flow'!B48,IF(AND('Cash Flow'!B45&lt;&gt;0, ROW('Cash Flow'!B48)&gt; ROW(startCashFlow)+2),DATE(YEAR(B74),MONTH(B74)+1,DAY(B74)),"")),"")</f>
        <v/>
      </c>
      <c r="C75" s="550"/>
      <c r="D75" s="550"/>
      <c r="E75" s="413"/>
      <c r="F75" s="414"/>
      <c r="G75" s="414"/>
    </row>
    <row r="76" spans="2:7" ht="15.5" x14ac:dyDescent="0.35">
      <c r="B76" s="543" t="str">
        <f>IFERROR(IF('Cash Flow'!B49&lt;&gt;0,'Cash Flow'!B49,IF(AND('Cash Flow'!B46&lt;&gt;0, ROW('Cash Flow'!B49)&gt; ROW(startCashFlow)+2),DATE(YEAR(B75),MONTH(B75)+1,DAY(B75)),"")),"")</f>
        <v/>
      </c>
      <c r="C76" s="550"/>
      <c r="D76" s="550"/>
      <c r="E76" s="413"/>
      <c r="F76" s="414"/>
      <c r="G76" s="414"/>
    </row>
    <row r="77" spans="2:7" ht="15.5" x14ac:dyDescent="0.35">
      <c r="B77" s="543" t="str">
        <f>IFERROR(IF('Cash Flow'!B50&lt;&gt;0,'Cash Flow'!B50,IF(AND('Cash Flow'!B47&lt;&gt;0, ROW('Cash Flow'!B50)&gt; ROW(startCashFlow)+2),DATE(YEAR(B76),MONTH(B76)+1,DAY(B76)),"")),"")</f>
        <v/>
      </c>
      <c r="C77" s="550"/>
      <c r="D77" s="550"/>
      <c r="E77" s="413"/>
      <c r="F77" s="414"/>
      <c r="G77" s="414"/>
    </row>
    <row r="78" spans="2:7" ht="15.5" x14ac:dyDescent="0.35">
      <c r="B78" s="543" t="str">
        <f>IFERROR(IF('Cash Flow'!B51&lt;&gt;0,'Cash Flow'!B51,IF(AND('Cash Flow'!B48&lt;&gt;0, ROW('Cash Flow'!B51)&gt; ROW(startCashFlow)+2),DATE(YEAR(B77),MONTH(B77)+1,DAY(B77)),"")),"")</f>
        <v/>
      </c>
      <c r="C78" s="550"/>
      <c r="D78" s="550"/>
      <c r="E78" s="413"/>
      <c r="F78" s="414"/>
      <c r="G78" s="414"/>
    </row>
    <row r="79" spans="2:7" ht="15.5" x14ac:dyDescent="0.35">
      <c r="B79" s="543" t="str">
        <f>IFERROR(IF('Cash Flow'!B52&lt;&gt;0,'Cash Flow'!B52,IF(AND('Cash Flow'!B49&lt;&gt;0, ROW('Cash Flow'!B52)&gt; ROW(startCashFlow)+2),DATE(YEAR(B78),MONTH(B78)+1,DAY(B78)),"")),"")</f>
        <v/>
      </c>
      <c r="C79" s="550"/>
      <c r="D79" s="550"/>
      <c r="E79" s="413"/>
      <c r="F79" s="414"/>
      <c r="G79" s="414"/>
    </row>
    <row r="80" spans="2:7" ht="15.5" x14ac:dyDescent="0.35">
      <c r="B80" s="543" t="str">
        <f>IFERROR(IF('Cash Flow'!B53&lt;&gt;0,'Cash Flow'!B53,IF(AND('Cash Flow'!B50&lt;&gt;0, ROW('Cash Flow'!B53)&gt; ROW(startCashFlow)+2),DATE(YEAR(B79),MONTH(B79)+1,DAY(B79)),"")),"")</f>
        <v/>
      </c>
      <c r="C80" s="550"/>
      <c r="D80" s="550"/>
      <c r="E80" s="413"/>
      <c r="F80" s="414"/>
      <c r="G80" s="414"/>
    </row>
    <row r="81" spans="2:7" ht="15.5" x14ac:dyDescent="0.35">
      <c r="B81" s="543" t="str">
        <f>IFERROR(IF('Cash Flow'!B54&lt;&gt;0,'Cash Flow'!B54,IF(AND('Cash Flow'!B51&lt;&gt;0, ROW('Cash Flow'!B54)&gt; ROW(startCashFlow)+2),DATE(YEAR(B80),MONTH(B80)+1,DAY(B80)),"")),"")</f>
        <v/>
      </c>
      <c r="C81" s="550"/>
      <c r="D81" s="550"/>
      <c r="E81" s="413"/>
      <c r="F81" s="414"/>
      <c r="G81" s="414"/>
    </row>
    <row r="82" spans="2:7" ht="15.5" x14ac:dyDescent="0.35">
      <c r="B82" s="543" t="str">
        <f>IFERROR(IF('Cash Flow'!B55&lt;&gt;0,'Cash Flow'!B55,IF(AND('Cash Flow'!B52&lt;&gt;0, ROW('Cash Flow'!B55)&gt; ROW(startCashFlow)+2),DATE(YEAR(B81),MONTH(B81)+1,DAY(B81)),"")),"")</f>
        <v/>
      </c>
      <c r="C82" s="550"/>
      <c r="D82" s="550"/>
      <c r="E82" s="413"/>
      <c r="F82" s="414"/>
      <c r="G82" s="414"/>
    </row>
    <row r="83" spans="2:7" ht="15.5" x14ac:dyDescent="0.35">
      <c r="B83" s="543" t="str">
        <f>IFERROR(IF('Cash Flow'!B56&lt;&gt;0,'Cash Flow'!B56,IF(AND('Cash Flow'!B53&lt;&gt;0, ROW('Cash Flow'!B56)&gt; ROW(startCashFlow)+2),DATE(YEAR(B82),MONTH(B82)+1,DAY(B82)),"")),"")</f>
        <v/>
      </c>
      <c r="C83" s="550"/>
      <c r="D83" s="550"/>
      <c r="E83" s="413"/>
      <c r="F83" s="414"/>
      <c r="G83" s="414"/>
    </row>
    <row r="84" spans="2:7" ht="15.5" x14ac:dyDescent="0.35">
      <c r="B84" s="543" t="str">
        <f>IFERROR(IF('Cash Flow'!B57&lt;&gt;0,'Cash Flow'!B57,IF(AND('Cash Flow'!B54&lt;&gt;0, ROW('Cash Flow'!B57)&gt; ROW(startCashFlow)+2),DATE(YEAR(B83),MONTH(B83)+1,DAY(B83)),"")),"")</f>
        <v/>
      </c>
      <c r="C84" s="550"/>
      <c r="D84" s="550"/>
      <c r="E84" s="413"/>
      <c r="F84" s="414"/>
      <c r="G84" s="414"/>
    </row>
    <row r="85" spans="2:7" ht="15.5" x14ac:dyDescent="0.35">
      <c r="B85" s="543" t="str">
        <f>IFERROR(IF('Cash Flow'!B58&lt;&gt;0,'Cash Flow'!B58,IF(AND('Cash Flow'!B55&lt;&gt;0, ROW('Cash Flow'!B58)&gt; ROW(startCashFlow)+2),DATE(YEAR(B84),MONTH(B84)+1,DAY(B84)),"")),"")</f>
        <v/>
      </c>
      <c r="C85" s="550"/>
      <c r="D85" s="550"/>
      <c r="E85" s="413"/>
      <c r="F85" s="414"/>
      <c r="G85" s="414"/>
    </row>
    <row r="86" spans="2:7" ht="15.5" x14ac:dyDescent="0.35">
      <c r="B86" s="543" t="str">
        <f>IFERROR(IF('Cash Flow'!B59&lt;&gt;0,'Cash Flow'!B59,IF(AND('Cash Flow'!B56&lt;&gt;0, ROW('Cash Flow'!B59)&gt; ROW(startCashFlow)+2),DATE(YEAR(B85),MONTH(B85)+1,DAY(B85)),"")),"")</f>
        <v/>
      </c>
      <c r="C86" s="550"/>
      <c r="D86" s="550"/>
      <c r="E86" s="413"/>
      <c r="F86" s="414"/>
      <c r="G86" s="414"/>
    </row>
    <row r="87" spans="2:7" ht="15.5" x14ac:dyDescent="0.35">
      <c r="B87" s="543" t="str">
        <f>IFERROR(IF('Cash Flow'!B60&lt;&gt;0,'Cash Flow'!B60,IF(AND('Cash Flow'!B57&lt;&gt;0, ROW('Cash Flow'!B60)&gt; ROW(startCashFlow)+2),DATE(YEAR(B86),MONTH(B86)+1,DAY(B86)),"")),"")</f>
        <v/>
      </c>
      <c r="C87" s="550"/>
      <c r="D87" s="550"/>
      <c r="E87" s="413"/>
      <c r="F87" s="414"/>
      <c r="G87" s="414"/>
    </row>
    <row r="88" spans="2:7" ht="15.5" x14ac:dyDescent="0.35">
      <c r="B88" s="543" t="str">
        <f>IFERROR(IF('Cash Flow'!B61&lt;&gt;0,'Cash Flow'!B61,IF(AND('Cash Flow'!B58&lt;&gt;0, ROW('Cash Flow'!B61)&gt; ROW(startCashFlow)+2),DATE(YEAR(B87),MONTH(B87)+1,DAY(B87)),"")),"")</f>
        <v/>
      </c>
      <c r="C88" s="550"/>
      <c r="D88" s="550"/>
      <c r="E88" s="413"/>
      <c r="F88" s="414"/>
      <c r="G88" s="414"/>
    </row>
    <row r="89" spans="2:7" ht="15.5" x14ac:dyDescent="0.35">
      <c r="B89" s="543" t="str">
        <f>IFERROR(IF('Cash Flow'!B62&lt;&gt;0,'Cash Flow'!B62,IF(AND('Cash Flow'!B59&lt;&gt;0, ROW('Cash Flow'!B62)&gt; ROW(startCashFlow)+2),DATE(YEAR(B88),MONTH(B88)+1,DAY(B88)),"")),"")</f>
        <v/>
      </c>
      <c r="C89" s="550"/>
      <c r="D89" s="550"/>
      <c r="E89" s="413"/>
      <c r="F89" s="414"/>
      <c r="G89" s="414"/>
    </row>
    <row r="90" spans="2:7" ht="15.5" x14ac:dyDescent="0.35">
      <c r="B90" s="543" t="str">
        <f>IFERROR(IF('Cash Flow'!B63&lt;&gt;0,'Cash Flow'!B63,IF(AND('Cash Flow'!B60&lt;&gt;0, ROW('Cash Flow'!B63)&gt; ROW(startCashFlow)+2),DATE(YEAR(B89),MONTH(B89)+1,DAY(B89)),"")),"")</f>
        <v/>
      </c>
      <c r="C90" s="550"/>
      <c r="D90" s="550"/>
      <c r="E90" s="413"/>
      <c r="F90" s="414"/>
      <c r="G90" s="414"/>
    </row>
    <row r="91" spans="2:7" ht="15.5" x14ac:dyDescent="0.35">
      <c r="B91" s="543" t="str">
        <f>IFERROR(IF('Cash Flow'!B64&lt;&gt;0,'Cash Flow'!B64,IF(AND('Cash Flow'!B61&lt;&gt;0, ROW('Cash Flow'!B64)&gt; ROW(startCashFlow)+2),DATE(YEAR(B90),MONTH(B90)+1,DAY(B90)),"")),"")</f>
        <v/>
      </c>
      <c r="C91" s="550"/>
      <c r="D91" s="550"/>
      <c r="E91" s="413"/>
      <c r="F91" s="414"/>
      <c r="G91" s="414"/>
    </row>
    <row r="92" spans="2:7" ht="15.5" x14ac:dyDescent="0.35">
      <c r="B92" s="543" t="str">
        <f>IFERROR(IF('Cash Flow'!B65&lt;&gt;0,'Cash Flow'!B65,IF(AND('Cash Flow'!B62&lt;&gt;0, ROW('Cash Flow'!B65)&gt; ROW(startCashFlow)+2),DATE(YEAR(B91),MONTH(B91)+1,DAY(B91)),"")),"")</f>
        <v/>
      </c>
      <c r="C92" s="550"/>
      <c r="D92" s="550"/>
      <c r="E92" s="413"/>
      <c r="F92" s="414"/>
      <c r="G92" s="414"/>
    </row>
    <row r="93" spans="2:7" ht="15.5" x14ac:dyDescent="0.35">
      <c r="B93" s="543" t="str">
        <f>IFERROR(IF('Cash Flow'!B66&lt;&gt;0,'Cash Flow'!B66,IF(AND('Cash Flow'!B63&lt;&gt;0, ROW('Cash Flow'!B66)&gt; ROW(startCashFlow)+2),DATE(YEAR(B92),MONTH(B92)+1,DAY(B92)),"")),"")</f>
        <v/>
      </c>
      <c r="C93" s="550"/>
      <c r="D93" s="550"/>
      <c r="E93" s="413"/>
      <c r="F93" s="414"/>
      <c r="G93" s="414"/>
    </row>
    <row r="94" spans="2:7" ht="16" thickBot="1" x14ac:dyDescent="0.4">
      <c r="B94" s="543" t="str">
        <f>IFERROR(IF('Cash Flow'!B67&lt;&gt;0,'Cash Flow'!B67,IF(AND('Cash Flow'!B64&lt;&gt;0, ROW('Cash Flow'!B67)&gt; ROW(startCashFlow)+2),DATE(YEAR(B93),MONTH(B93)+1,DAY(B93)),"")),"")</f>
        <v/>
      </c>
      <c r="C94" s="551"/>
      <c r="D94" s="551"/>
      <c r="E94" s="415"/>
      <c r="F94" s="416"/>
      <c r="G94" s="414"/>
    </row>
    <row r="95" spans="2:7" ht="19" thickBot="1" x14ac:dyDescent="0.5">
      <c r="B95" s="293" t="s">
        <v>729</v>
      </c>
      <c r="C95" s="292">
        <f>SUM(C52:C94)</f>
        <v>0</v>
      </c>
      <c r="D95" s="291">
        <f>SUM(D52:D94)</f>
        <v>0</v>
      </c>
      <c r="E95" s="290">
        <f>SUM(E52:E94)</f>
        <v>0</v>
      </c>
      <c r="F95" s="289">
        <f>SUM(F52:F94)</f>
        <v>0</v>
      </c>
      <c r="G95" s="289">
        <f>SUM(G52:G94)</f>
        <v>0</v>
      </c>
    </row>
  </sheetData>
  <sheetProtection algorithmName="SHA-512" hashValue="uSyerafgkbR0NqihzLHA6kE6hcyGE8y1Q/1XhrcNPXbCSKCoJ/0oI4/w/jVokLvrchZZbEIKap/Aa3/GuEfsMQ==" saltValue="mwIczCe2UndNNMcp3My3xg==" spinCount="100000" sheet="1" objects="1" scenarios="1"/>
  <dataConsolidate/>
  <mergeCells count="1">
    <mergeCell ref="F5:H5"/>
  </mergeCells>
  <dataValidations count="2">
    <dataValidation type="date" operator="greaterThan" allowBlank="1" showInputMessage="1" showErrorMessage="1" errorTitle="Expected format" error="mmm-yy example: APR-21" promptTitle="Expected format " sqref="B52:B94" xr:uid="{DD960CFA-B2CF-496C-8054-9A160CB7AFBB}">
      <formula1>43466</formula1>
    </dataValidation>
    <dataValidation type="list" allowBlank="1" showInputMessage="1" showErrorMessage="1" sqref="H7:H26" xr:uid="{0CF592D7-7836-4135-8BA9-DAA0AFF2D356}">
      <formula1>"Yes,No"</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417731D-F35F-4119-AE94-E5E3BEF64AF8}">
          <x14:formula1>
            <xm:f>'Drop Down'!$A$9:$A$25</xm:f>
          </x14:formula1>
          <xm:sqref>C7:C26</xm:sqref>
        </x14:dataValidation>
        <x14:dataValidation type="list" allowBlank="1" showInputMessage="1" showErrorMessage="1" xr:uid="{0916A60B-1074-4150-8154-38A10BDCF4D1}">
          <x14:formula1>
            <xm:f>'Drop Down'!$A$28:$A$37</xm:f>
          </x14:formula1>
          <xm:sqref>D7:D26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01355-30F3-4FC8-A453-3A37C1824DED}">
  <sheetPr codeName="Sheet12"/>
  <dimension ref="A1"/>
  <sheetViews>
    <sheetView workbookViewId="0">
      <selection activeCell="K15" sqref="K15"/>
    </sheetView>
  </sheetViews>
  <sheetFormatPr defaultRowHeight="14.5" x14ac:dyDescent="0.3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45EA1-C2E6-47C4-AF3A-8CAAF838BABF}">
  <sheetPr codeName="Sheet10"/>
  <dimension ref="A1:H57"/>
  <sheetViews>
    <sheetView topLeftCell="A28" workbookViewId="0">
      <selection activeCell="H44" sqref="H44"/>
    </sheetView>
  </sheetViews>
  <sheetFormatPr defaultRowHeight="14.5" x14ac:dyDescent="0.35"/>
  <cols>
    <col min="1" max="1" width="9.1796875" bestFit="1" customWidth="1"/>
    <col min="2" max="2" width="29" bestFit="1" customWidth="1"/>
    <col min="3" max="3" width="38.453125" bestFit="1" customWidth="1"/>
    <col min="4" max="4" width="38" bestFit="1" customWidth="1"/>
    <col min="5" max="5" width="15.26953125" bestFit="1" customWidth="1"/>
    <col min="6" max="6" width="13.54296875" bestFit="1" customWidth="1"/>
    <col min="7" max="7" width="15.1796875" style="165" bestFit="1" customWidth="1"/>
    <col min="8" max="8" width="24.81640625" bestFit="1" customWidth="1"/>
  </cols>
  <sheetData>
    <row r="1" spans="1:7" x14ac:dyDescent="0.35">
      <c r="A1" s="35" t="s">
        <v>49</v>
      </c>
      <c r="B1" s="33"/>
      <c r="E1" s="165"/>
      <c r="G1"/>
    </row>
    <row r="2" spans="1:7" x14ac:dyDescent="0.35">
      <c r="A2" s="34"/>
      <c r="B2" s="33"/>
      <c r="E2" s="165"/>
      <c r="G2"/>
    </row>
    <row r="3" spans="1:7" x14ac:dyDescent="0.35">
      <c r="A3" s="35" t="s">
        <v>782</v>
      </c>
      <c r="B3" s="33"/>
      <c r="E3" s="165"/>
      <c r="G3"/>
    </row>
    <row r="4" spans="1:7" ht="15" thickBot="1" x14ac:dyDescent="0.4">
      <c r="A4" s="34"/>
      <c r="B4" s="33"/>
      <c r="E4" s="165"/>
      <c r="G4"/>
    </row>
    <row r="5" spans="1:7" ht="15" thickBot="1" x14ac:dyDescent="0.4">
      <c r="A5" s="42" t="s">
        <v>53</v>
      </c>
      <c r="B5" s="167">
        <f>'GMP-PO Breakdown'!C5</f>
        <v>0</v>
      </c>
      <c r="E5" s="165"/>
      <c r="G5"/>
    </row>
    <row r="6" spans="1:7" ht="15" thickBot="1" x14ac:dyDescent="0.4">
      <c r="A6" s="165"/>
      <c r="B6" s="165"/>
      <c r="E6" s="165"/>
      <c r="G6"/>
    </row>
    <row r="7" spans="1:7" x14ac:dyDescent="0.35">
      <c r="A7" s="171" t="s">
        <v>55</v>
      </c>
      <c r="B7" s="172">
        <f>'GMP-PO Breakdown'!C6</f>
        <v>0</v>
      </c>
      <c r="E7" s="165"/>
      <c r="G7"/>
    </row>
    <row r="8" spans="1:7" x14ac:dyDescent="0.35">
      <c r="A8" s="44" t="s">
        <v>231</v>
      </c>
      <c r="B8" s="175">
        <f>'GMP-PO Breakdown'!C7</f>
        <v>0</v>
      </c>
      <c r="E8" s="165"/>
      <c r="G8"/>
    </row>
    <row r="9" spans="1:7" x14ac:dyDescent="0.35">
      <c r="A9" s="44" t="s">
        <v>67</v>
      </c>
      <c r="B9" s="175">
        <f>'GMP-PO Breakdown'!C12</f>
        <v>0</v>
      </c>
      <c r="E9" s="165"/>
      <c r="G9"/>
    </row>
    <row r="10" spans="1:7" x14ac:dyDescent="0.35">
      <c r="A10" s="44" t="s">
        <v>69</v>
      </c>
      <c r="B10" s="175">
        <f>'GMP-PO Breakdown'!C13</f>
        <v>0</v>
      </c>
      <c r="E10" s="165"/>
      <c r="G10"/>
    </row>
    <row r="11" spans="1:7" ht="15" thickBot="1" x14ac:dyDescent="0.4">
      <c r="A11" s="49" t="s">
        <v>71</v>
      </c>
      <c r="B11" s="183">
        <f>'GMP-PO Breakdown'!C14</f>
        <v>0</v>
      </c>
      <c r="E11" s="165"/>
      <c r="G11"/>
    </row>
    <row r="12" spans="1:7" x14ac:dyDescent="0.35">
      <c r="A12" s="185"/>
      <c r="B12" s="186"/>
    </row>
    <row r="13" spans="1:7" x14ac:dyDescent="0.35">
      <c r="A13" s="185"/>
      <c r="B13" s="186"/>
    </row>
    <row r="14" spans="1:7" ht="15" thickBot="1" x14ac:dyDescent="0.4">
      <c r="A14" s="185"/>
      <c r="B14" s="186"/>
    </row>
    <row r="15" spans="1:7" ht="15" hidden="1" thickBot="1" x14ac:dyDescent="0.4">
      <c r="A15" s="185"/>
      <c r="B15" s="186"/>
    </row>
    <row r="16" spans="1:7" ht="15" hidden="1" thickBot="1" x14ac:dyDescent="0.4">
      <c r="A16" s="185"/>
      <c r="B16" s="186"/>
    </row>
    <row r="17" spans="1:8" ht="15" hidden="1" thickBot="1" x14ac:dyDescent="0.4">
      <c r="A17" s="185"/>
      <c r="B17" s="186"/>
    </row>
    <row r="18" spans="1:8" ht="15" hidden="1" thickBot="1" x14ac:dyDescent="0.4">
      <c r="A18" s="185"/>
      <c r="B18" s="186"/>
    </row>
    <row r="19" spans="1:8" ht="15" hidden="1" thickBot="1" x14ac:dyDescent="0.4">
      <c r="A19" s="185"/>
      <c r="B19" s="186"/>
    </row>
    <row r="20" spans="1:8" ht="15" hidden="1" thickBot="1" x14ac:dyDescent="0.4">
      <c r="A20" s="185"/>
      <c r="B20" s="186"/>
    </row>
    <row r="21" spans="1:8" ht="15" hidden="1" thickBot="1" x14ac:dyDescent="0.4">
      <c r="A21" s="164"/>
      <c r="B21" s="164"/>
    </row>
    <row r="22" spans="1:8" ht="15" hidden="1" thickBot="1" x14ac:dyDescent="0.4">
      <c r="A22" s="164"/>
      <c r="B22" s="164"/>
    </row>
    <row r="23" spans="1:8" ht="15" hidden="1" thickBot="1" x14ac:dyDescent="0.4">
      <c r="A23" s="164"/>
      <c r="B23" s="164"/>
    </row>
    <row r="24" spans="1:8" ht="15" hidden="1" thickBot="1" x14ac:dyDescent="0.4">
      <c r="A24" s="164"/>
      <c r="B24" s="164"/>
    </row>
    <row r="25" spans="1:8" ht="15" hidden="1" thickBot="1" x14ac:dyDescent="0.4">
      <c r="A25" s="164"/>
      <c r="B25" s="164"/>
    </row>
    <row r="26" spans="1:8" ht="15" hidden="1" thickBot="1" x14ac:dyDescent="0.4">
      <c r="A26" s="164"/>
      <c r="B26" s="164"/>
    </row>
    <row r="27" spans="1:8" ht="15" hidden="1" thickBot="1" x14ac:dyDescent="0.4">
      <c r="A27" s="164"/>
      <c r="B27" s="164"/>
    </row>
    <row r="28" spans="1:8" ht="15.5" thickTop="1" thickBot="1" x14ac:dyDescent="0.4">
      <c r="A28" s="192" t="s">
        <v>240</v>
      </c>
      <c r="B28" s="423" t="s">
        <v>241</v>
      </c>
      <c r="C28" s="423" t="s">
        <v>242</v>
      </c>
      <c r="D28" s="423" t="s">
        <v>243</v>
      </c>
      <c r="E28" s="423" t="s">
        <v>244</v>
      </c>
      <c r="F28" s="423" t="s">
        <v>246</v>
      </c>
      <c r="G28" s="423" t="s">
        <v>247</v>
      </c>
      <c r="H28" s="424" t="s">
        <v>248</v>
      </c>
    </row>
    <row r="29" spans="1:8" ht="15" thickTop="1" x14ac:dyDescent="0.35">
      <c r="A29" s="425" t="s">
        <v>157</v>
      </c>
      <c r="B29" s="426" t="s">
        <v>782</v>
      </c>
      <c r="C29" s="426" t="s">
        <v>242</v>
      </c>
      <c r="D29" s="426" t="s">
        <v>243</v>
      </c>
      <c r="E29" s="426" t="s">
        <v>244</v>
      </c>
      <c r="F29" s="426" t="s">
        <v>246</v>
      </c>
      <c r="G29" s="427" t="s">
        <v>247</v>
      </c>
      <c r="H29" s="428" t="s">
        <v>250</v>
      </c>
    </row>
    <row r="30" spans="1:8" x14ac:dyDescent="0.35">
      <c r="A30" s="429">
        <v>33</v>
      </c>
      <c r="B30" s="430" t="s">
        <v>783</v>
      </c>
      <c r="C30" s="430"/>
      <c r="D30" s="431" t="s">
        <v>784</v>
      </c>
      <c r="E30" s="555">
        <v>0</v>
      </c>
      <c r="F30" s="555">
        <v>0</v>
      </c>
      <c r="G30" s="556">
        <f>E30+F30</f>
        <v>0</v>
      </c>
      <c r="H30" s="557">
        <v>0</v>
      </c>
    </row>
    <row r="31" spans="1:8" x14ac:dyDescent="0.35">
      <c r="A31" s="429">
        <v>3</v>
      </c>
      <c r="B31" s="430" t="s">
        <v>363</v>
      </c>
      <c r="C31" s="430" t="s">
        <v>364</v>
      </c>
      <c r="D31" s="431" t="s">
        <v>785</v>
      </c>
      <c r="E31" s="555">
        <v>0</v>
      </c>
      <c r="F31" s="555">
        <v>0</v>
      </c>
      <c r="G31" s="556">
        <f t="shared" ref="G31:G55" si="0">E31+F31</f>
        <v>0</v>
      </c>
      <c r="H31" s="557">
        <v>0</v>
      </c>
    </row>
    <row r="32" spans="1:8" x14ac:dyDescent="0.35">
      <c r="A32" s="429">
        <v>1</v>
      </c>
      <c r="B32" s="430" t="s">
        <v>786</v>
      </c>
      <c r="C32" s="430" t="s">
        <v>787</v>
      </c>
      <c r="D32" s="431" t="s">
        <v>788</v>
      </c>
      <c r="E32" s="555">
        <v>0</v>
      </c>
      <c r="F32" s="555">
        <v>0</v>
      </c>
      <c r="G32" s="556">
        <f t="shared" si="0"/>
        <v>0</v>
      </c>
      <c r="H32" s="557">
        <v>0</v>
      </c>
    </row>
    <row r="33" spans="1:8" x14ac:dyDescent="0.35">
      <c r="A33" s="429">
        <v>11</v>
      </c>
      <c r="B33" s="430" t="s">
        <v>789</v>
      </c>
      <c r="C33" s="430" t="s">
        <v>568</v>
      </c>
      <c r="D33" s="431" t="s">
        <v>790</v>
      </c>
      <c r="E33" s="555">
        <v>0</v>
      </c>
      <c r="F33" s="555">
        <v>0</v>
      </c>
      <c r="G33" s="556">
        <f t="shared" si="0"/>
        <v>0</v>
      </c>
      <c r="H33" s="557">
        <v>0</v>
      </c>
    </row>
    <row r="34" spans="1:8" x14ac:dyDescent="0.35">
      <c r="A34" s="429">
        <v>26</v>
      </c>
      <c r="B34" s="430" t="s">
        <v>154</v>
      </c>
      <c r="C34" s="430" t="s">
        <v>647</v>
      </c>
      <c r="D34" s="431" t="s">
        <v>791</v>
      </c>
      <c r="E34" s="555">
        <v>0</v>
      </c>
      <c r="F34" s="555">
        <v>0</v>
      </c>
      <c r="G34" s="556">
        <f t="shared" si="0"/>
        <v>0</v>
      </c>
      <c r="H34" s="557">
        <v>0</v>
      </c>
    </row>
    <row r="35" spans="1:8" x14ac:dyDescent="0.35">
      <c r="A35" s="429">
        <v>26</v>
      </c>
      <c r="B35" s="430" t="s">
        <v>154</v>
      </c>
      <c r="C35" s="430" t="s">
        <v>792</v>
      </c>
      <c r="D35" s="431" t="s">
        <v>793</v>
      </c>
      <c r="E35" s="555">
        <v>0</v>
      </c>
      <c r="F35" s="555">
        <v>0</v>
      </c>
      <c r="G35" s="556">
        <f t="shared" si="0"/>
        <v>0</v>
      </c>
      <c r="H35" s="557">
        <v>0</v>
      </c>
    </row>
    <row r="36" spans="1:8" x14ac:dyDescent="0.35">
      <c r="A36" s="429">
        <v>26</v>
      </c>
      <c r="B36" s="430" t="s">
        <v>154</v>
      </c>
      <c r="C36" s="430" t="s">
        <v>652</v>
      </c>
      <c r="D36" s="431" t="s">
        <v>794</v>
      </c>
      <c r="E36" s="555">
        <v>0</v>
      </c>
      <c r="F36" s="555">
        <v>0</v>
      </c>
      <c r="G36" s="556">
        <f t="shared" si="0"/>
        <v>0</v>
      </c>
      <c r="H36" s="557">
        <v>0</v>
      </c>
    </row>
    <row r="37" spans="1:8" x14ac:dyDescent="0.35">
      <c r="A37" s="429">
        <v>26</v>
      </c>
      <c r="B37" s="430" t="s">
        <v>1050</v>
      </c>
      <c r="C37" s="430" t="s">
        <v>1051</v>
      </c>
      <c r="D37" s="431" t="s">
        <v>1052</v>
      </c>
      <c r="E37" s="555">
        <v>0</v>
      </c>
      <c r="F37" s="555">
        <v>0</v>
      </c>
      <c r="G37" s="556">
        <f>E37+F37</f>
        <v>0</v>
      </c>
      <c r="H37" s="557">
        <v>0</v>
      </c>
    </row>
    <row r="38" spans="1:8" x14ac:dyDescent="0.35">
      <c r="A38" s="429">
        <v>1</v>
      </c>
      <c r="B38" s="430" t="s">
        <v>795</v>
      </c>
      <c r="C38" s="430" t="s">
        <v>796</v>
      </c>
      <c r="D38" s="431" t="s">
        <v>797</v>
      </c>
      <c r="E38" s="555">
        <v>0</v>
      </c>
      <c r="F38" s="555">
        <v>0</v>
      </c>
      <c r="G38" s="556">
        <f t="shared" si="0"/>
        <v>0</v>
      </c>
      <c r="H38" s="557">
        <v>0</v>
      </c>
    </row>
    <row r="39" spans="1:8" x14ac:dyDescent="0.35">
      <c r="A39" s="429">
        <v>26</v>
      </c>
      <c r="B39" s="430" t="s">
        <v>798</v>
      </c>
      <c r="C39" s="430" t="s">
        <v>799</v>
      </c>
      <c r="D39" s="431" t="s">
        <v>800</v>
      </c>
      <c r="E39" s="555">
        <v>0</v>
      </c>
      <c r="F39" s="555">
        <v>0</v>
      </c>
      <c r="G39" s="556">
        <f t="shared" si="0"/>
        <v>0</v>
      </c>
      <c r="H39" s="557">
        <v>0</v>
      </c>
    </row>
    <row r="40" spans="1:8" x14ac:dyDescent="0.35">
      <c r="A40" s="429">
        <v>26</v>
      </c>
      <c r="B40" s="430" t="s">
        <v>801</v>
      </c>
      <c r="C40" s="430" t="s">
        <v>802</v>
      </c>
      <c r="D40" s="431" t="s">
        <v>803</v>
      </c>
      <c r="E40" s="555">
        <v>0</v>
      </c>
      <c r="F40" s="555">
        <v>0</v>
      </c>
      <c r="G40" s="556">
        <f t="shared" si="0"/>
        <v>0</v>
      </c>
      <c r="H40" s="557">
        <v>0</v>
      </c>
    </row>
    <row r="41" spans="1:8" x14ac:dyDescent="0.35">
      <c r="A41" s="429">
        <v>26</v>
      </c>
      <c r="B41" s="430" t="s">
        <v>804</v>
      </c>
      <c r="C41" s="430" t="s">
        <v>805</v>
      </c>
      <c r="D41" s="431" t="s">
        <v>806</v>
      </c>
      <c r="E41" s="555">
        <v>0</v>
      </c>
      <c r="F41" s="555">
        <v>0</v>
      </c>
      <c r="G41" s="556">
        <f t="shared" si="0"/>
        <v>0</v>
      </c>
      <c r="H41" s="557">
        <v>0</v>
      </c>
    </row>
    <row r="42" spans="1:8" x14ac:dyDescent="0.35">
      <c r="A42" s="429">
        <v>26</v>
      </c>
      <c r="B42" s="430" t="s">
        <v>807</v>
      </c>
      <c r="C42" s="430" t="s">
        <v>808</v>
      </c>
      <c r="D42" s="431" t="s">
        <v>809</v>
      </c>
      <c r="E42" s="555">
        <v>0</v>
      </c>
      <c r="F42" s="555">
        <v>0</v>
      </c>
      <c r="G42" s="556">
        <f t="shared" si="0"/>
        <v>0</v>
      </c>
      <c r="H42" s="557">
        <v>0</v>
      </c>
    </row>
    <row r="43" spans="1:8" x14ac:dyDescent="0.35">
      <c r="A43" s="429">
        <v>9</v>
      </c>
      <c r="B43" s="430" t="s">
        <v>508</v>
      </c>
      <c r="C43" s="430" t="s">
        <v>810</v>
      </c>
      <c r="D43" s="431" t="s">
        <v>811</v>
      </c>
      <c r="E43" s="555">
        <v>0</v>
      </c>
      <c r="F43" s="555">
        <v>0</v>
      </c>
      <c r="G43" s="556">
        <f t="shared" si="0"/>
        <v>0</v>
      </c>
      <c r="H43" s="557">
        <v>0</v>
      </c>
    </row>
    <row r="44" spans="1:8" ht="65" x14ac:dyDescent="0.35">
      <c r="A44" s="432">
        <v>23</v>
      </c>
      <c r="B44" s="433" t="s">
        <v>152</v>
      </c>
      <c r="C44" s="434" t="s">
        <v>812</v>
      </c>
      <c r="D44" s="435" t="s">
        <v>813</v>
      </c>
      <c r="E44" s="558">
        <v>0</v>
      </c>
      <c r="F44" s="558">
        <v>0</v>
      </c>
      <c r="G44" s="559">
        <f t="shared" si="0"/>
        <v>0</v>
      </c>
      <c r="H44" s="560">
        <v>0</v>
      </c>
    </row>
    <row r="45" spans="1:8" ht="39" x14ac:dyDescent="0.35">
      <c r="A45" s="432">
        <v>23</v>
      </c>
      <c r="B45" s="433" t="s">
        <v>152</v>
      </c>
      <c r="C45" s="434" t="s">
        <v>814</v>
      </c>
      <c r="D45" s="435" t="s">
        <v>815</v>
      </c>
      <c r="E45" s="555">
        <v>0</v>
      </c>
      <c r="F45" s="558">
        <v>0</v>
      </c>
      <c r="G45" s="559">
        <f t="shared" si="0"/>
        <v>0</v>
      </c>
      <c r="H45" s="560">
        <v>0</v>
      </c>
    </row>
    <row r="46" spans="1:8" x14ac:dyDescent="0.35">
      <c r="A46" s="429">
        <v>23</v>
      </c>
      <c r="B46" s="430" t="s">
        <v>152</v>
      </c>
      <c r="C46" s="430" t="s">
        <v>816</v>
      </c>
      <c r="D46" s="431" t="s">
        <v>817</v>
      </c>
      <c r="E46" s="555">
        <v>0</v>
      </c>
      <c r="F46" s="555">
        <v>0</v>
      </c>
      <c r="G46" s="556">
        <f t="shared" si="0"/>
        <v>0</v>
      </c>
      <c r="H46" s="557">
        <v>0</v>
      </c>
    </row>
    <row r="47" spans="1:8" x14ac:dyDescent="0.35">
      <c r="A47" s="429">
        <v>25</v>
      </c>
      <c r="B47" s="430" t="s">
        <v>818</v>
      </c>
      <c r="C47" s="430" t="s">
        <v>819</v>
      </c>
      <c r="D47" s="431" t="s">
        <v>820</v>
      </c>
      <c r="E47" s="555">
        <v>0</v>
      </c>
      <c r="F47" s="555">
        <v>0</v>
      </c>
      <c r="G47" s="556">
        <f t="shared" si="0"/>
        <v>0</v>
      </c>
      <c r="H47" s="557">
        <v>0</v>
      </c>
    </row>
    <row r="48" spans="1:8" x14ac:dyDescent="0.35">
      <c r="A48" s="429">
        <v>1</v>
      </c>
      <c r="B48" s="430" t="s">
        <v>821</v>
      </c>
      <c r="C48" s="430" t="s">
        <v>822</v>
      </c>
      <c r="D48" s="431" t="s">
        <v>823</v>
      </c>
      <c r="E48" s="555">
        <v>0</v>
      </c>
      <c r="F48" s="555">
        <v>0</v>
      </c>
      <c r="G48" s="556">
        <f>E48+F48</f>
        <v>0</v>
      </c>
      <c r="H48" s="557">
        <v>0</v>
      </c>
    </row>
    <row r="49" spans="1:8" x14ac:dyDescent="0.35">
      <c r="A49" s="429">
        <v>22</v>
      </c>
      <c r="B49" s="430" t="s">
        <v>150</v>
      </c>
      <c r="C49" s="430" t="s">
        <v>824</v>
      </c>
      <c r="D49" s="431" t="s">
        <v>825</v>
      </c>
      <c r="E49" s="555">
        <v>0</v>
      </c>
      <c r="F49" s="555">
        <v>0</v>
      </c>
      <c r="G49" s="556">
        <f>E49+F49</f>
        <v>0</v>
      </c>
      <c r="H49" s="557">
        <v>0</v>
      </c>
    </row>
    <row r="50" spans="1:8" x14ac:dyDescent="0.35">
      <c r="A50" s="429">
        <v>22</v>
      </c>
      <c r="B50" s="430" t="s">
        <v>150</v>
      </c>
      <c r="C50" s="430" t="s">
        <v>826</v>
      </c>
      <c r="D50" s="431" t="s">
        <v>827</v>
      </c>
      <c r="E50" s="555">
        <v>0</v>
      </c>
      <c r="F50" s="555">
        <v>0</v>
      </c>
      <c r="G50" s="556">
        <f t="shared" si="0"/>
        <v>0</v>
      </c>
      <c r="H50" s="557">
        <v>0</v>
      </c>
    </row>
    <row r="51" spans="1:8" x14ac:dyDescent="0.35">
      <c r="A51" s="429">
        <v>24</v>
      </c>
      <c r="B51" s="430" t="s">
        <v>828</v>
      </c>
      <c r="C51" s="430" t="s">
        <v>829</v>
      </c>
      <c r="D51" s="431" t="s">
        <v>830</v>
      </c>
      <c r="E51" s="555">
        <v>0</v>
      </c>
      <c r="F51" s="555">
        <v>0</v>
      </c>
      <c r="G51" s="556">
        <f>E51+F51</f>
        <v>0</v>
      </c>
      <c r="H51" s="557">
        <v>0</v>
      </c>
    </row>
    <row r="52" spans="1:8" x14ac:dyDescent="0.35">
      <c r="A52" s="429">
        <v>24</v>
      </c>
      <c r="B52" s="430" t="s">
        <v>828</v>
      </c>
      <c r="C52" s="430" t="s">
        <v>831</v>
      </c>
      <c r="D52" s="431" t="s">
        <v>832</v>
      </c>
      <c r="E52" s="555">
        <v>0</v>
      </c>
      <c r="F52" s="555">
        <v>0</v>
      </c>
      <c r="G52" s="556">
        <f t="shared" si="0"/>
        <v>0</v>
      </c>
      <c r="H52" s="557">
        <v>0</v>
      </c>
    </row>
    <row r="53" spans="1:8" x14ac:dyDescent="0.35">
      <c r="A53" s="429">
        <v>32</v>
      </c>
      <c r="B53" s="430" t="s">
        <v>292</v>
      </c>
      <c r="C53" s="430" t="s">
        <v>833</v>
      </c>
      <c r="D53" s="431" t="s">
        <v>834</v>
      </c>
      <c r="E53" s="555">
        <v>0</v>
      </c>
      <c r="F53" s="555">
        <v>0</v>
      </c>
      <c r="G53" s="556">
        <f t="shared" si="0"/>
        <v>0</v>
      </c>
      <c r="H53" s="557">
        <v>0</v>
      </c>
    </row>
    <row r="54" spans="1:8" x14ac:dyDescent="0.35">
      <c r="A54" s="429">
        <v>32</v>
      </c>
      <c r="B54" s="430" t="s">
        <v>292</v>
      </c>
      <c r="C54" s="430" t="s">
        <v>835</v>
      </c>
      <c r="D54" s="431" t="s">
        <v>836</v>
      </c>
      <c r="E54" s="555">
        <v>0</v>
      </c>
      <c r="F54" s="555">
        <v>0</v>
      </c>
      <c r="G54" s="556">
        <f t="shared" si="0"/>
        <v>0</v>
      </c>
      <c r="H54" s="557">
        <v>0</v>
      </c>
    </row>
    <row r="55" spans="1:8" x14ac:dyDescent="0.35">
      <c r="A55" s="429">
        <v>8</v>
      </c>
      <c r="B55" s="430" t="s">
        <v>460</v>
      </c>
      <c r="C55" s="430" t="s">
        <v>837</v>
      </c>
      <c r="D55" s="431" t="s">
        <v>838</v>
      </c>
      <c r="E55" s="555">
        <v>0</v>
      </c>
      <c r="F55" s="555">
        <v>0</v>
      </c>
      <c r="G55" s="556">
        <f t="shared" si="0"/>
        <v>0</v>
      </c>
      <c r="H55" s="557">
        <v>0</v>
      </c>
    </row>
    <row r="56" spans="1:8" ht="15" thickBot="1" x14ac:dyDescent="0.4">
      <c r="A56" s="436"/>
      <c r="B56" s="437"/>
      <c r="C56" s="438"/>
      <c r="D56" s="438" t="s">
        <v>700</v>
      </c>
      <c r="E56" s="561">
        <f>SUM(E30:E55)</f>
        <v>0</v>
      </c>
      <c r="F56" s="561">
        <f>SUM(F30:F55)</f>
        <v>0</v>
      </c>
      <c r="G56" s="561">
        <f>SUM(G30:G55)</f>
        <v>0</v>
      </c>
      <c r="H56" s="562">
        <f>SUM(H30:H55)</f>
        <v>0</v>
      </c>
    </row>
    <row r="57" spans="1:8" ht="15" thickTop="1" x14ac:dyDescent="0.35"/>
  </sheetData>
  <sheetProtection algorithmName="SHA-512" hashValue="rWrPltd7eryY32qnhIPr24LIcPcOr8mWIxfzIbGn/1OQnuE1EuOGdG/86dyEDpLyEEa46jTBJbFkXyQrO1fT1A==" saltValue="0gdMJaOUxQlgmZpcusYDJQ==" spinCount="100000" sheet="1" objects="1" scenarios="1"/>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6DB77-F194-4DCE-89FB-6F3C31D4FE91}">
  <sheetPr codeName="Sheet11"/>
  <dimension ref="A1:J57"/>
  <sheetViews>
    <sheetView topLeftCell="B13" workbookViewId="0">
      <selection activeCell="N34" sqref="N34"/>
    </sheetView>
  </sheetViews>
  <sheetFormatPr defaultRowHeight="14.5" x14ac:dyDescent="0.35"/>
  <cols>
    <col min="1" max="1" width="15.1796875" bestFit="1" customWidth="1"/>
    <col min="2" max="2" width="26.81640625" bestFit="1" customWidth="1"/>
    <col min="3" max="3" width="16.54296875" bestFit="1" customWidth="1"/>
    <col min="4" max="4" width="13.54296875" bestFit="1" customWidth="1"/>
    <col min="5" max="5" width="17.54296875" bestFit="1" customWidth="1"/>
    <col min="6" max="6" width="17.1796875" customWidth="1"/>
    <col min="7" max="7" width="18.81640625" bestFit="1" customWidth="1"/>
    <col min="8" max="8" width="11" customWidth="1"/>
    <col min="10" max="10" width="20.1796875" bestFit="1" customWidth="1"/>
    <col min="12" max="12" width="11.81640625" bestFit="1" customWidth="1"/>
  </cols>
  <sheetData>
    <row r="1" spans="1:10" x14ac:dyDescent="0.35">
      <c r="A1" t="s">
        <v>778</v>
      </c>
      <c r="B1" t="s">
        <v>871</v>
      </c>
      <c r="C1" t="s">
        <v>872</v>
      </c>
      <c r="D1" t="s">
        <v>873</v>
      </c>
      <c r="E1" t="s">
        <v>874</v>
      </c>
      <c r="F1" t="s">
        <v>875</v>
      </c>
      <c r="G1" t="s">
        <v>876</v>
      </c>
      <c r="H1" t="s">
        <v>877</v>
      </c>
      <c r="J1" t="s">
        <v>878</v>
      </c>
    </row>
    <row r="2" spans="1:10" x14ac:dyDescent="0.35">
      <c r="A2" t="s">
        <v>879</v>
      </c>
      <c r="B2" t="s">
        <v>880</v>
      </c>
      <c r="C2" t="s">
        <v>881</v>
      </c>
      <c r="D2" t="s">
        <v>882</v>
      </c>
      <c r="E2" t="s">
        <v>883</v>
      </c>
      <c r="F2" t="s">
        <v>884</v>
      </c>
      <c r="G2" t="s">
        <v>885</v>
      </c>
      <c r="H2" s="476" t="s">
        <v>781</v>
      </c>
      <c r="J2" t="s">
        <v>886</v>
      </c>
    </row>
    <row r="3" spans="1:10" x14ac:dyDescent="0.35">
      <c r="A3" t="s">
        <v>887</v>
      </c>
      <c r="B3" t="s">
        <v>888</v>
      </c>
      <c r="C3" t="s">
        <v>889</v>
      </c>
      <c r="D3" t="s">
        <v>890</v>
      </c>
      <c r="E3" t="s">
        <v>891</v>
      </c>
      <c r="F3" t="s">
        <v>892</v>
      </c>
      <c r="H3" s="476" t="s">
        <v>893</v>
      </c>
      <c r="J3" t="s">
        <v>1085</v>
      </c>
    </row>
    <row r="4" spans="1:10" x14ac:dyDescent="0.35">
      <c r="A4" t="s">
        <v>895</v>
      </c>
      <c r="B4" t="s">
        <v>896</v>
      </c>
      <c r="C4" t="s">
        <v>897</v>
      </c>
      <c r="E4" t="s">
        <v>898</v>
      </c>
      <c r="F4" t="s">
        <v>899</v>
      </c>
      <c r="H4" s="476" t="s">
        <v>900</v>
      </c>
      <c r="J4" t="s">
        <v>894</v>
      </c>
    </row>
    <row r="5" spans="1:10" x14ac:dyDescent="0.35">
      <c r="A5" t="s">
        <v>902</v>
      </c>
      <c r="B5" t="s">
        <v>903</v>
      </c>
      <c r="C5" t="s">
        <v>904</v>
      </c>
      <c r="E5" t="s">
        <v>905</v>
      </c>
      <c r="F5" t="s">
        <v>906</v>
      </c>
      <c r="H5" s="476" t="s">
        <v>907</v>
      </c>
      <c r="J5" t="s">
        <v>901</v>
      </c>
    </row>
    <row r="6" spans="1:10" x14ac:dyDescent="0.35">
      <c r="A6" t="s">
        <v>779</v>
      </c>
      <c r="B6" t="s">
        <v>909</v>
      </c>
      <c r="C6" t="s">
        <v>910</v>
      </c>
      <c r="E6" t="s">
        <v>911</v>
      </c>
      <c r="F6" t="s">
        <v>912</v>
      </c>
      <c r="H6" s="476" t="s">
        <v>913</v>
      </c>
      <c r="J6" t="s">
        <v>908</v>
      </c>
    </row>
    <row r="7" spans="1:10" x14ac:dyDescent="0.35">
      <c r="A7" t="s">
        <v>915</v>
      </c>
      <c r="B7" t="s">
        <v>916</v>
      </c>
      <c r="C7" t="s">
        <v>917</v>
      </c>
      <c r="E7" t="s">
        <v>918</v>
      </c>
      <c r="H7" s="476" t="s">
        <v>919</v>
      </c>
      <c r="J7" t="s">
        <v>914</v>
      </c>
    </row>
    <row r="8" spans="1:10" x14ac:dyDescent="0.35">
      <c r="A8" t="s">
        <v>921</v>
      </c>
      <c r="B8" t="s">
        <v>922</v>
      </c>
      <c r="C8" t="s">
        <v>923</v>
      </c>
      <c r="E8" t="s">
        <v>924</v>
      </c>
      <c r="H8" s="476" t="s">
        <v>925</v>
      </c>
      <c r="J8" t="s">
        <v>920</v>
      </c>
    </row>
    <row r="9" spans="1:10" x14ac:dyDescent="0.35">
      <c r="A9" t="s">
        <v>927</v>
      </c>
      <c r="B9" t="s">
        <v>928</v>
      </c>
      <c r="C9" t="s">
        <v>929</v>
      </c>
      <c r="H9" s="476" t="s">
        <v>930</v>
      </c>
      <c r="J9" t="s">
        <v>926</v>
      </c>
    </row>
    <row r="10" spans="1:10" x14ac:dyDescent="0.35">
      <c r="A10" t="s">
        <v>932</v>
      </c>
      <c r="B10" t="s">
        <v>933</v>
      </c>
      <c r="C10" t="s">
        <v>934</v>
      </c>
      <c r="H10" s="476" t="s">
        <v>935</v>
      </c>
      <c r="J10" t="s">
        <v>931</v>
      </c>
    </row>
    <row r="11" spans="1:10" x14ac:dyDescent="0.35">
      <c r="A11" t="s">
        <v>937</v>
      </c>
      <c r="B11" t="s">
        <v>938</v>
      </c>
      <c r="H11" s="476" t="s">
        <v>939</v>
      </c>
      <c r="J11" t="s">
        <v>936</v>
      </c>
    </row>
    <row r="12" spans="1:10" x14ac:dyDescent="0.35">
      <c r="A12" t="s">
        <v>941</v>
      </c>
      <c r="H12" s="476" t="s">
        <v>942</v>
      </c>
      <c r="J12" t="s">
        <v>940</v>
      </c>
    </row>
    <row r="13" spans="1:10" x14ac:dyDescent="0.35">
      <c r="A13" t="s">
        <v>943</v>
      </c>
      <c r="H13" s="476" t="s">
        <v>944</v>
      </c>
      <c r="J13" t="s">
        <v>780</v>
      </c>
    </row>
    <row r="14" spans="1:10" x14ac:dyDescent="0.35">
      <c r="A14" t="s">
        <v>946</v>
      </c>
      <c r="H14" s="476" t="s">
        <v>947</v>
      </c>
      <c r="J14" t="s">
        <v>945</v>
      </c>
    </row>
    <row r="15" spans="1:10" x14ac:dyDescent="0.35">
      <c r="A15" t="s">
        <v>949</v>
      </c>
      <c r="H15" s="476" t="s">
        <v>950</v>
      </c>
      <c r="J15" t="s">
        <v>948</v>
      </c>
    </row>
    <row r="16" spans="1:10" x14ac:dyDescent="0.35">
      <c r="A16" t="s">
        <v>952</v>
      </c>
      <c r="H16" s="476" t="s">
        <v>953</v>
      </c>
      <c r="J16" t="s">
        <v>951</v>
      </c>
    </row>
    <row r="17" spans="1:10" x14ac:dyDescent="0.35">
      <c r="A17" t="s">
        <v>955</v>
      </c>
      <c r="J17" t="s">
        <v>954</v>
      </c>
    </row>
    <row r="18" spans="1:10" x14ac:dyDescent="0.35">
      <c r="A18" t="s">
        <v>957</v>
      </c>
      <c r="J18" t="s">
        <v>956</v>
      </c>
    </row>
    <row r="19" spans="1:10" x14ac:dyDescent="0.35">
      <c r="A19" t="s">
        <v>959</v>
      </c>
      <c r="J19" t="s">
        <v>958</v>
      </c>
    </row>
    <row r="20" spans="1:10" x14ac:dyDescent="0.35">
      <c r="A20" t="s">
        <v>961</v>
      </c>
      <c r="J20" t="s">
        <v>960</v>
      </c>
    </row>
    <row r="21" spans="1:10" x14ac:dyDescent="0.35">
      <c r="A21" t="s">
        <v>963</v>
      </c>
      <c r="J21" t="s">
        <v>962</v>
      </c>
    </row>
    <row r="22" spans="1:10" x14ac:dyDescent="0.35">
      <c r="A22" t="s">
        <v>965</v>
      </c>
      <c r="J22" t="s">
        <v>964</v>
      </c>
    </row>
    <row r="23" spans="1:10" x14ac:dyDescent="0.35">
      <c r="A23" t="s">
        <v>967</v>
      </c>
      <c r="J23" t="s">
        <v>966</v>
      </c>
    </row>
    <row r="24" spans="1:10" x14ac:dyDescent="0.35">
      <c r="A24" t="s">
        <v>969</v>
      </c>
      <c r="J24" t="s">
        <v>968</v>
      </c>
    </row>
    <row r="25" spans="1:10" x14ac:dyDescent="0.35">
      <c r="A25" t="s">
        <v>971</v>
      </c>
      <c r="J25" t="s">
        <v>970</v>
      </c>
    </row>
    <row r="26" spans="1:10" x14ac:dyDescent="0.35">
      <c r="A26" t="s">
        <v>973</v>
      </c>
      <c r="J26" t="s">
        <v>972</v>
      </c>
    </row>
    <row r="27" spans="1:10" x14ac:dyDescent="0.35">
      <c r="A27" t="s">
        <v>975</v>
      </c>
      <c r="J27" t="s">
        <v>974</v>
      </c>
    </row>
    <row r="28" spans="1:10" x14ac:dyDescent="0.35">
      <c r="A28" t="s">
        <v>976</v>
      </c>
      <c r="J28" t="s">
        <v>977</v>
      </c>
    </row>
    <row r="29" spans="1:10" x14ac:dyDescent="0.35">
      <c r="A29" t="s">
        <v>978</v>
      </c>
      <c r="J29" t="s">
        <v>979</v>
      </c>
    </row>
    <row r="30" spans="1:10" x14ac:dyDescent="0.35">
      <c r="A30" t="s">
        <v>980</v>
      </c>
      <c r="J30" t="s">
        <v>981</v>
      </c>
    </row>
    <row r="31" spans="1:10" x14ac:dyDescent="0.35">
      <c r="A31" t="s">
        <v>982</v>
      </c>
      <c r="J31" t="s">
        <v>983</v>
      </c>
    </row>
    <row r="32" spans="1:10" x14ac:dyDescent="0.35">
      <c r="A32" t="s">
        <v>984</v>
      </c>
      <c r="J32" t="s">
        <v>985</v>
      </c>
    </row>
    <row r="33" spans="1:10" x14ac:dyDescent="0.35">
      <c r="A33" t="s">
        <v>986</v>
      </c>
      <c r="J33" t="s">
        <v>987</v>
      </c>
    </row>
    <row r="34" spans="1:10" x14ac:dyDescent="0.35">
      <c r="A34" t="s">
        <v>988</v>
      </c>
      <c r="J34" t="s">
        <v>989</v>
      </c>
    </row>
    <row r="35" spans="1:10" x14ac:dyDescent="0.35">
      <c r="A35" t="s">
        <v>990</v>
      </c>
      <c r="J35" t="s">
        <v>1084</v>
      </c>
    </row>
    <row r="36" spans="1:10" x14ac:dyDescent="0.35">
      <c r="A36" t="s">
        <v>992</v>
      </c>
      <c r="J36" t="s">
        <v>991</v>
      </c>
    </row>
    <row r="37" spans="1:10" x14ac:dyDescent="0.35">
      <c r="A37" t="s">
        <v>994</v>
      </c>
      <c r="J37" t="s">
        <v>993</v>
      </c>
    </row>
    <row r="38" spans="1:10" x14ac:dyDescent="0.35">
      <c r="A38" t="s">
        <v>996</v>
      </c>
      <c r="J38" t="s">
        <v>995</v>
      </c>
    </row>
    <row r="39" spans="1:10" x14ac:dyDescent="0.35">
      <c r="A39" t="s">
        <v>998</v>
      </c>
      <c r="J39" t="s">
        <v>997</v>
      </c>
    </row>
    <row r="40" spans="1:10" x14ac:dyDescent="0.35">
      <c r="A40" t="s">
        <v>1000</v>
      </c>
      <c r="J40" t="s">
        <v>999</v>
      </c>
    </row>
    <row r="41" spans="1:10" x14ac:dyDescent="0.35">
      <c r="A41" t="s">
        <v>1002</v>
      </c>
      <c r="J41" t="s">
        <v>1001</v>
      </c>
    </row>
    <row r="42" spans="1:10" x14ac:dyDescent="0.35">
      <c r="A42" t="s">
        <v>1004</v>
      </c>
      <c r="J42" t="s">
        <v>1003</v>
      </c>
    </row>
    <row r="43" spans="1:10" x14ac:dyDescent="0.35">
      <c r="A43" t="s">
        <v>1006</v>
      </c>
      <c r="J43" t="s">
        <v>1005</v>
      </c>
    </row>
    <row r="44" spans="1:10" x14ac:dyDescent="0.35">
      <c r="A44" t="s">
        <v>1008</v>
      </c>
      <c r="J44" t="s">
        <v>1007</v>
      </c>
    </row>
    <row r="45" spans="1:10" x14ac:dyDescent="0.35">
      <c r="A45" t="s">
        <v>1010</v>
      </c>
      <c r="J45" t="s">
        <v>1009</v>
      </c>
    </row>
    <row r="46" spans="1:10" x14ac:dyDescent="0.35">
      <c r="A46" t="s">
        <v>1012</v>
      </c>
      <c r="J46" t="s">
        <v>1011</v>
      </c>
    </row>
    <row r="47" spans="1:10" x14ac:dyDescent="0.35">
      <c r="A47" t="s">
        <v>1014</v>
      </c>
      <c r="J47" t="s">
        <v>1013</v>
      </c>
    </row>
    <row r="48" spans="1:10" x14ac:dyDescent="0.35">
      <c r="A48" t="s">
        <v>1016</v>
      </c>
      <c r="J48" t="s">
        <v>1015</v>
      </c>
    </row>
    <row r="49" spans="1:10" x14ac:dyDescent="0.35">
      <c r="A49" t="s">
        <v>1018</v>
      </c>
      <c r="J49" t="s">
        <v>1086</v>
      </c>
    </row>
    <row r="50" spans="1:10" x14ac:dyDescent="0.35">
      <c r="A50" t="s">
        <v>1020</v>
      </c>
      <c r="J50" t="s">
        <v>1017</v>
      </c>
    </row>
    <row r="51" spans="1:10" x14ac:dyDescent="0.35">
      <c r="A51" t="s">
        <v>1022</v>
      </c>
      <c r="J51" t="s">
        <v>1019</v>
      </c>
    </row>
    <row r="52" spans="1:10" x14ac:dyDescent="0.35">
      <c r="J52" t="s">
        <v>1021</v>
      </c>
    </row>
    <row r="53" spans="1:10" x14ac:dyDescent="0.35">
      <c r="J53" t="s">
        <v>1023</v>
      </c>
    </row>
    <row r="54" spans="1:10" x14ac:dyDescent="0.35">
      <c r="J54" t="s">
        <v>1024</v>
      </c>
    </row>
    <row r="55" spans="1:10" x14ac:dyDescent="0.35">
      <c r="J55" t="s">
        <v>1025</v>
      </c>
    </row>
    <row r="56" spans="1:10" x14ac:dyDescent="0.35">
      <c r="J56" t="s">
        <v>1026</v>
      </c>
    </row>
    <row r="57" spans="1:10" x14ac:dyDescent="0.35">
      <c r="J57" t="str">
        <f>"--Not Listed--"</f>
        <v>--Not Listed--</v>
      </c>
    </row>
  </sheetData>
  <conditionalFormatting sqref="J57">
    <cfRule type="duplicateValues" dxfId="9" priority="1"/>
  </conditionalFormatting>
  <conditionalFormatting sqref="J54 J2:J50 J56">
    <cfRule type="duplicateValues" dxfId="8" priority="27"/>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11CDC-0DD4-42EE-A521-5EEDDF575BBF}">
  <sheetPr codeName="Sheet9"/>
  <dimension ref="A1:A40"/>
  <sheetViews>
    <sheetView workbookViewId="0">
      <selection activeCell="C18" sqref="C18"/>
    </sheetView>
  </sheetViews>
  <sheetFormatPr defaultColWidth="8.81640625" defaultRowHeight="14" x14ac:dyDescent="0.3"/>
  <cols>
    <col min="1" max="1" width="53.54296875" style="465" customWidth="1"/>
    <col min="2" max="16384" width="8.81640625" style="465"/>
  </cols>
  <sheetData>
    <row r="1" spans="1:1" x14ac:dyDescent="0.3">
      <c r="A1" s="464" t="s">
        <v>840</v>
      </c>
    </row>
    <row r="2" spans="1:1" x14ac:dyDescent="0.3">
      <c r="A2" s="465" t="s">
        <v>841</v>
      </c>
    </row>
    <row r="3" spans="1:1" x14ac:dyDescent="0.3">
      <c r="A3" s="465" t="s">
        <v>842</v>
      </c>
    </row>
    <row r="4" spans="1:1" x14ac:dyDescent="0.3">
      <c r="A4" s="465" t="s">
        <v>843</v>
      </c>
    </row>
    <row r="5" spans="1:1" x14ac:dyDescent="0.3">
      <c r="A5" s="465" t="s">
        <v>844</v>
      </c>
    </row>
    <row r="6" spans="1:1" x14ac:dyDescent="0.3">
      <c r="A6" s="465" t="s">
        <v>845</v>
      </c>
    </row>
    <row r="8" spans="1:1" x14ac:dyDescent="0.3">
      <c r="A8" s="464" t="s">
        <v>846</v>
      </c>
    </row>
    <row r="9" spans="1:1" x14ac:dyDescent="0.3">
      <c r="A9" s="465" t="s">
        <v>847</v>
      </c>
    </row>
    <row r="10" spans="1:1" x14ac:dyDescent="0.3">
      <c r="A10" s="465" t="s">
        <v>848</v>
      </c>
    </row>
    <row r="11" spans="1:1" x14ac:dyDescent="0.3">
      <c r="A11" s="465" t="s">
        <v>500</v>
      </c>
    </row>
    <row r="12" spans="1:1" x14ac:dyDescent="0.3">
      <c r="A12" s="465" t="s">
        <v>124</v>
      </c>
    </row>
    <row r="13" spans="1:1" x14ac:dyDescent="0.3">
      <c r="A13" s="465" t="s">
        <v>849</v>
      </c>
    </row>
    <row r="14" spans="1:1" x14ac:dyDescent="0.3">
      <c r="A14" s="465" t="s">
        <v>850</v>
      </c>
    </row>
    <row r="15" spans="1:1" x14ac:dyDescent="0.3">
      <c r="A15" s="465" t="s">
        <v>851</v>
      </c>
    </row>
    <row r="16" spans="1:1" x14ac:dyDescent="0.3">
      <c r="A16" s="465" t="s">
        <v>852</v>
      </c>
    </row>
    <row r="17" spans="1:1" x14ac:dyDescent="0.3">
      <c r="A17" s="465" t="s">
        <v>853</v>
      </c>
    </row>
    <row r="18" spans="1:1" x14ac:dyDescent="0.3">
      <c r="A18" s="465" t="s">
        <v>126</v>
      </c>
    </row>
    <row r="19" spans="1:1" x14ac:dyDescent="0.3">
      <c r="A19" s="465" t="s">
        <v>128</v>
      </c>
    </row>
    <row r="20" spans="1:1" x14ac:dyDescent="0.3">
      <c r="A20" s="465" t="s">
        <v>854</v>
      </c>
    </row>
    <row r="21" spans="1:1" x14ac:dyDescent="0.3">
      <c r="A21" s="465" t="s">
        <v>855</v>
      </c>
    </row>
    <row r="22" spans="1:1" x14ac:dyDescent="0.3">
      <c r="A22" s="465" t="s">
        <v>856</v>
      </c>
    </row>
    <row r="23" spans="1:1" x14ac:dyDescent="0.3">
      <c r="A23" s="465" t="s">
        <v>857</v>
      </c>
    </row>
    <row r="24" spans="1:1" x14ac:dyDescent="0.3">
      <c r="A24" s="465" t="s">
        <v>858</v>
      </c>
    </row>
    <row r="25" spans="1:1" x14ac:dyDescent="0.3">
      <c r="A25" s="465" t="s">
        <v>859</v>
      </c>
    </row>
    <row r="27" spans="1:1" x14ac:dyDescent="0.3">
      <c r="A27" s="464" t="s">
        <v>860</v>
      </c>
    </row>
    <row r="28" spans="1:1" x14ac:dyDescent="0.3">
      <c r="A28" s="465" t="s">
        <v>861</v>
      </c>
    </row>
    <row r="29" spans="1:1" x14ac:dyDescent="0.3">
      <c r="A29" s="465" t="s">
        <v>862</v>
      </c>
    </row>
    <row r="30" spans="1:1" x14ac:dyDescent="0.3">
      <c r="A30" s="465" t="s">
        <v>863</v>
      </c>
    </row>
    <row r="31" spans="1:1" x14ac:dyDescent="0.3">
      <c r="A31" s="465" t="s">
        <v>864</v>
      </c>
    </row>
    <row r="32" spans="1:1" x14ac:dyDescent="0.3">
      <c r="A32" s="465" t="s">
        <v>865</v>
      </c>
    </row>
    <row r="33" spans="1:1" x14ac:dyDescent="0.3">
      <c r="A33" s="465" t="s">
        <v>866</v>
      </c>
    </row>
    <row r="34" spans="1:1" x14ac:dyDescent="0.3">
      <c r="A34" s="465" t="s">
        <v>867</v>
      </c>
    </row>
    <row r="35" spans="1:1" x14ac:dyDescent="0.3">
      <c r="A35" s="465" t="s">
        <v>868</v>
      </c>
    </row>
    <row r="36" spans="1:1" x14ac:dyDescent="0.3">
      <c r="A36" s="465" t="s">
        <v>869</v>
      </c>
    </row>
    <row r="37" spans="1:1" x14ac:dyDescent="0.3">
      <c r="A37" s="465" t="s">
        <v>859</v>
      </c>
    </row>
    <row r="39" spans="1:1" x14ac:dyDescent="0.3">
      <c r="A39" s="464" t="s">
        <v>870</v>
      </c>
    </row>
    <row r="40" spans="1:1" x14ac:dyDescent="0.3">
      <c r="A40" s="466" t="s">
        <v>839</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23</vt:i4>
      </vt:variant>
    </vt:vector>
  </HeadingPairs>
  <TitlesOfParts>
    <vt:vector size="35" baseType="lpstr">
      <vt:lpstr>Instructions</vt:lpstr>
      <vt:lpstr>GMP-PO Breakdown</vt:lpstr>
      <vt:lpstr>Subcontractor Breakdown</vt:lpstr>
      <vt:lpstr>Cash Flow</vt:lpstr>
      <vt:lpstr>TI Allowance &amp; Contingency</vt:lpstr>
      <vt:lpstr>Developer Contingency</vt:lpstr>
      <vt:lpstr>Monthly Weather Report</vt:lpstr>
      <vt:lpstr>Construction Waste Tracker</vt:lpstr>
      <vt:lpstr>CM Worksheet</vt:lpstr>
      <vt:lpstr>Sustainability (GSF Only)</vt:lpstr>
      <vt:lpstr>Sheet1</vt:lpstr>
      <vt:lpstr>Drop Down</vt:lpstr>
      <vt:lpstr>ActualBill</vt:lpstr>
      <vt:lpstr>ActualDevCont</vt:lpstr>
      <vt:lpstr>Australia</vt:lpstr>
      <vt:lpstr>Brazil</vt:lpstr>
      <vt:lpstr>Canada</vt:lpstr>
      <vt:lpstr>Change_log_Freez</vt:lpstr>
      <vt:lpstr>Change_log_unfreeze</vt:lpstr>
      <vt:lpstr>Comments</vt:lpstr>
      <vt:lpstr>Country_Not_listed</vt:lpstr>
      <vt:lpstr>matrix_Freeze</vt:lpstr>
      <vt:lpstr>matrix_unfreeze</vt:lpstr>
      <vt:lpstr>Mexico</vt:lpstr>
      <vt:lpstr>'Developer Contingency'!Print_Area</vt:lpstr>
      <vt:lpstr>'GMP-PO Breakdown'!Print_Area</vt:lpstr>
      <vt:lpstr>'Monthly Weather Report'!Print_Area</vt:lpstr>
      <vt:lpstr>'TI Allowance &amp; Contingency'!Print_Area</vt:lpstr>
      <vt:lpstr>ProjDevCont</vt:lpstr>
      <vt:lpstr>RevProjBill</vt:lpstr>
      <vt:lpstr>Singapore</vt:lpstr>
      <vt:lpstr>startCashFlow</vt:lpstr>
      <vt:lpstr>startChangeDescri</vt:lpstr>
      <vt:lpstr>startSummary</vt:lpstr>
      <vt:lpstr>USA</vt:lpstr>
    </vt:vector>
  </TitlesOfParts>
  <Company>Amazon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Ding, Long [C]</dc:creator>
  <cp:lastModifiedBy>Ding, Long [C]</cp:lastModifiedBy>
  <cp:lastPrinted>2022-10-04T16:07:52Z</cp:lastPrinted>
  <dcterms:created xsi:type="dcterms:W3CDTF">2022-08-02T04:12:05Z</dcterms:created>
  <dcterms:modified xsi:type="dcterms:W3CDTF">2022-11-04T22:07:46Z</dcterms:modified>
</cp:coreProperties>
</file>